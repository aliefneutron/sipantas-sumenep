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Sehat Mandiri" sheetId="1" r:id="rId5"/>
    <sheet state="visible" name="2 Perkim dan Fasum" sheetId="2" r:id="rId6"/>
    <sheet state="visible" name="3 Satuan Pendidikan" sheetId="3" r:id="rId7"/>
    <sheet state="visible" name="4 Pasar" sheetId="4" r:id="rId8"/>
    <sheet state="visible" name="5 Perkantoran dan Perindustrian" sheetId="5" r:id="rId9"/>
    <sheet state="visible" name="6 Pariwisata" sheetId="6" r:id="rId10"/>
    <sheet state="visible" name="7 Transportasi dan Tertib Lalin" sheetId="7" r:id="rId11"/>
    <sheet state="visible" name="8 Sosial" sheetId="8" r:id="rId12"/>
    <sheet state="visible" name="9 Penanggulangan Bencana" sheetId="9" r:id="rId13"/>
    <sheet state="visible" name="Dataumum" sheetId="10" r:id="rId14"/>
    <sheet state="visible" name="Kelembagaan" sheetId="11" r:id="rId15"/>
  </sheets>
  <definedNames>
    <definedName localSheetId="10" name="YESNO">#REF!</definedName>
    <definedName localSheetId="0" name="YESNO">#REF!</definedName>
    <definedName localSheetId="6" name="YESNO">#REF!</definedName>
    <definedName localSheetId="2" name="YESNO">#REF!</definedName>
    <definedName name="YESNO">#REF!</definedName>
    <definedName localSheetId="9" name="YESNO">#REF!</definedName>
    <definedName localSheetId="4" name="YESNO">#REF!</definedName>
  </definedNames>
  <calcPr/>
</workbook>
</file>

<file path=xl/sharedStrings.xml><?xml version="1.0" encoding="utf-8"?>
<sst xmlns="http://schemas.openxmlformats.org/spreadsheetml/2006/main" count="1750" uniqueCount="1450">
  <si>
    <t>NO</t>
  </si>
  <si>
    <t>TATANAN  KEHIDUPAN MASYARAKAT SEHAT MANDIRI</t>
  </si>
  <si>
    <t>SKALA</t>
  </si>
  <si>
    <t>NILAI SELF-ASSESMENT</t>
  </si>
  <si>
    <t>LINK BUKTI DUKUNG</t>
  </si>
  <si>
    <t>NILAI VERIFIKASI PROVINSI</t>
  </si>
  <si>
    <t>CATATAN TIM PEMBINA PROVINSI</t>
  </si>
  <si>
    <t>DEFINISI OPERASIONAL</t>
  </si>
  <si>
    <t>KETERSEDIAAN DATA</t>
  </si>
  <si>
    <t>BUKTI DATA PENDUKUNG</t>
  </si>
  <si>
    <t xml:space="preserve">Jumlah Kematian Ibu </t>
  </si>
  <si>
    <t>https://drive.google.com/open?id=1PVjiItEUDkvnzfdSO1gyDRXzDJXpxQ7a</t>
  </si>
  <si>
    <t>mohon lengkapi data dokumen dan bukti resmi (tanda tangan stempel)</t>
  </si>
  <si>
    <t xml:space="preserve">Jumlah kematian perempuan selama kehamilan atau dalam periode 42 hari setelah berakhirnya kehamilan (tanpa memandang usia gestasi), akibat semua sebab yang terkait dengan atau diperberat oleh kehamilan atau penanganannya, tetapi bukan disebabkan oleh kecelakaan/cidera atau kejadian insidental
Peraturan Menteri Kesehatan Nomor 21 Tahun 2021 tentang Pelayanan Kesehatan Masa Sebelum Hamil, Masa Hamil, Persalinan, dan Masa Sesudah Melahirkan, Penyelenggaraan Pelayanan Kontrasepsi, serta Pelayanan Kesehatan Seksual
</t>
  </si>
  <si>
    <t xml:space="preserve">1. Dinkes Kab/Kota melalui Aplikasi Maternal Perinatal Death Notification (MPDN)
2. Target dari Kabupaten/Kota 
</t>
  </si>
  <si>
    <t>Laporan pada Aplikasi MPDN dari Fasyankes /Dinkes kab/kota</t>
  </si>
  <si>
    <t>a. jumlah kematian menurun dari tahun sebelumnya</t>
  </si>
  <si>
    <t>https://drive.google.com/open?id=1OeA9tMjyxPyuI_K-50eEMuF_iFgza-MG</t>
  </si>
  <si>
    <t>b. tetap atau meningkat</t>
  </si>
  <si>
    <t>https://drive.google.com/open?id=1L_UB1Bm2C1JGE_-huX1LPYbcpoqp_Uq2</t>
  </si>
  <si>
    <t>Jumlah Kematian Neonatus</t>
  </si>
  <si>
    <t>Jumlah bayi yang meninggal sebelum mencapai umur 28 hari karena sebab apapun
Peraturan Menteri Kesehatan Nomor 21 Tahun 2021 tentang Pelayanan Kesehatan Masa Sebelum Hamil, Masa Hamil, Persalinan, dan Masa Sesudah Melahirkan, Penyelenggaraan Pelayanan Kontrasepsi, serta Pelayanan Kesehatan Seksual</t>
  </si>
  <si>
    <t xml:space="preserve">Dinkes Kab/Kota melalui Aplikasi Maternal Perinatal Death Notification (MPDN)
</t>
  </si>
  <si>
    <t>https://drive.google.com/open?id=18fUrfNALC0OA20PdRmH5sEA8PrVB0i4Q</t>
  </si>
  <si>
    <t>lengkapi data dokumen</t>
  </si>
  <si>
    <t>https://drive.google.com/open?id=14rDbwIVzWL4cZ6QUWE55i3rPRPuYQZCY</t>
  </si>
  <si>
    <t xml:space="preserve">Prevalensi Stunting pada Balita </t>
  </si>
  <si>
    <t>Adalah Persentase anak umur 0 - 59 bulan dengan kategori status gizi berdasarkan indeks Panjang Badan menurut Umur (PB/U) atau Tinggi Badan menurut Umur (TB/U) memiliki Zscore kurang dari -2SD. Untuk perhitungan cakupan program, kategori stunting ditetapkan dengan hasil pengukuran antropometri. 
Prevalensi balita stunting (pendek dan sangat pendek)
adalah persentase anak yang berumur di bawah 5 tahun (0
sampai 59 bulan 29 hari) dengan kategori status gizi
berdasarkan indeks Panjang Badan menurut Umur (PB/U)
atau Tinggi Badan menurut Umur (TB/U) memiliki Z-score
kurang dari -2 Standar Deviasi (SD).
Rumus Perhitungan indikator: Jumlah balita pendek dan
sangat pendek dibagi jumlah balita diukur panjang atau
tinggi badan dikali 100.</t>
  </si>
  <si>
    <t>Sumber Data : Sigizi Terpadu
1) Survei terkait Status Gizi Balita Indonesia 
2) Hasil pemantauan pertumbuhan balita dalam Sigizi Terpadu (e-PPGBM)
Waktu Pelaporan
Pedoman yang dipakai
1) Permenkes No 2 tahun 2020 tentang Standar Antropometri Anak
2) Pedoman Pemantauan Pertumbuhan
3) Pedoman Pelaksanaan Teknis Surveilans Gizi
4) Petunjuk Teknis Sistem Informasi Gizi Terpadu (Sigizi Terpadu)</t>
  </si>
  <si>
    <t xml:space="preserve">Laporan hasil SSGI dan Aplikasi Si Gizi terpadu
Catatan:Dalam penilaian harus jelas target sebagai pembanding. Capaian indikator dilihat dari target kab/kota yang ada dalam dokumen Renstra atau RPJMD kab/kotanya
</t>
  </si>
  <si>
    <t>a. Prevalensi stunting pada balita mencapai target</t>
  </si>
  <si>
    <t>https://drive.google.com/open?id=1TBbdtqOtimMirh7t4IbYnKtq68UbHDpG</t>
  </si>
  <si>
    <t>b. Prevalensi stunting pada balita tidak mencapai target</t>
  </si>
  <si>
    <t>https://drive.google.com/open?id=1jozrFuWJAfCdMF84964kXmOZfXTMMVB2</t>
  </si>
  <si>
    <t>Cakupan Penemuan Kasus TBC mencapai 90%</t>
  </si>
  <si>
    <t>https://drive.google.com/open?id=1NcwmeqbK3aApHsDbpthmN2iAUi3-IDz4</t>
  </si>
  <si>
    <t>lengkapi dokumen dengan bukti dengan narasi dan yang telah disetujui dan di tanda tangani</t>
  </si>
  <si>
    <t>Jumlah  semua kasus tuberkulosis yang ditemukan diantara estimasi kasus TBC di wilayah kerja dalam kurun waktu satu tahun (Perpres 67 Tahun 2021 &amp; Permenkes 67 Tahun 2016)</t>
  </si>
  <si>
    <t xml:space="preserve">Sistem Informasi Tuberkulosis  (SITB) </t>
  </si>
  <si>
    <t xml:space="preserve">
Laporan Dinas Kesehatan Kabupaten Kota bersumber SITB </t>
  </si>
  <si>
    <t>a. mencapai target 90% atau menurun dari tahun sebelumnya</t>
  </si>
  <si>
    <t>b. tidak mencapai target 90% atau meningkat dari tahun sebelumnya</t>
  </si>
  <si>
    <t>https://drive.google.com/open?id=1dHfNtQG2ujS9_i6RWn-r8TCRj5cKB-0m</t>
  </si>
  <si>
    <t xml:space="preserve">Persentase orang terduga tuberkulosis yang mendapatkan pelayanan kesehatan sesuai standar </t>
  </si>
  <si>
    <t>https://drive.google.com/open?id=16qHfwy9EVK_GyrJcrmpVuXSs0iCHA_7b</t>
  </si>
  <si>
    <t>bukti dokumen tidak bisa terbaca dengan jelas mohon dilengkapi</t>
  </si>
  <si>
    <t>Persentase jumlah orang terduga TBC yang mendapatkan pelayanan TBC sesuai standar di wilayah kerjanya dalam kurun waktu satu tahun 
Dasar hukum : Permenkes No 4 Tahun 2019, PP No 2 tahun 2018, Permendagri 59 2021</t>
  </si>
  <si>
    <t xml:space="preserve">E-Monev SITB 
Laporan Capaian SPM / Web Monitoring SPM </t>
  </si>
  <si>
    <t xml:space="preserve">
Laporan Dinas Kesehatan Kabupaten Kota bersumber SITB
Laporan Capaian SPM / Web Monitoring SPM </t>
  </si>
  <si>
    <r>
      <rPr>
        <rFont val="Arial Narrow"/>
        <color theme="1"/>
        <sz val="14.0"/>
      </rPr>
      <t xml:space="preserve">a. </t>
    </r>
    <r>
      <rPr>
        <rFont val="Calibri"/>
        <color theme="1"/>
        <sz val="14.0"/>
      </rPr>
      <t>≥</t>
    </r>
    <r>
      <rPr>
        <rFont val="Arial Narrow"/>
        <color theme="1"/>
        <sz val="14.0"/>
      </rPr>
      <t xml:space="preserve"> 71%</t>
    </r>
  </si>
  <si>
    <t>https://drive.google.com/open?id=1ERcpR6ynHjYD3hJ52Lf53xlU6lYCSTMR</t>
  </si>
  <si>
    <t>b. &lt; 71%</t>
  </si>
  <si>
    <t>https://drive.google.com/open?id=1NvJwZvXEofpU7OAK04xB0NsI8icz_ZOO</t>
  </si>
  <si>
    <t>Persentase merokok penduduk usia 10-18 tahun (Indikator RPJMN)</t>
  </si>
  <si>
    <t>https://drive.google.com/open?id=1Gj7WDQzHm5DHR0mcu0SEDCMVpdX_Nxa5</t>
  </si>
  <si>
    <t>lengkapi dokumen dengan narasi yang mengarah sesuai komponen penilaian</t>
  </si>
  <si>
    <t xml:space="preserve">Persentase merokok penduduk usia 10 - 18 tahun dinilai dari 2 komponen yaitu capaian persentase skrining merokok dan proporsi merokok penduduk usia 10 - 18 tahun pada tahun berjalan.
1. capaian persentase skrining adalah jumlah penduduk usia 10 - 18 tahun yang diskrining merokok dibagi jumlah penduduk usia 10 - 18 tahun dikali 100%.
2. proporsi merokok penduduk usia 10 - 18 tahun adalah jumlah penduduk usia 10 - 18 tahun dibagi  jumlah penduduk usia 10 - 18 tahun yang diskrining merokok dikali 100%.
Catatan: target prevalensi merokok penduduk usia 10 - 18 tahun dalam tahun berjalan: tahun 2022 = 8,8; 2023 = 8,8; 2024 = 8,7. </t>
  </si>
  <si>
    <t>aplikasi ASIK</t>
  </si>
  <si>
    <t>laporan Dinas Kesehatan Kabupaten/Kota</t>
  </si>
  <si>
    <t>a. persentase skrining lebih dari 50% dan proporsi merokok lebih kecil dari  target prevalensi tahun berjalan</t>
  </si>
  <si>
    <t>https://drive.google.com/open?id=10HDAoSu0yho0WG7vcSuuRumLpM3Ukv5B</t>
  </si>
  <si>
    <t>b. persentase skrining kurang dari 50% dan proporsi merokok lebih besar dari target prevalensi tahun berjalan</t>
  </si>
  <si>
    <t>https://drive.google.com/open?id=1eG2y-XELkPYD6Mq2JGM2el8W5W7xtamf</t>
  </si>
  <si>
    <t>Angka kesakitan Dengue</t>
  </si>
  <si>
    <t>https://drive.google.com/open?id=1fRQF-2yt0kMNmaQ0mvNClhsNfAWWDZor</t>
  </si>
  <si>
    <t>lengkapi dengan narasi</t>
  </si>
  <si>
    <t xml:space="preserve">Angka kesakitan Dengue di Kab/Kota dalam tahun berjalan terjadi penurunan </t>
  </si>
  <si>
    <t>Laporan Manual Program / Sistem Aplikasi Arbovirosis</t>
  </si>
  <si>
    <t>a. menurun dari tahun sebelumnya</t>
  </si>
  <si>
    <t>https://drive.google.com/open?id=1x7EoN8QoDyuoM5pa0WIQDjW4O0_PBhCx</t>
  </si>
  <si>
    <t>b. tetap atau meningkat dari tahun sebelumnya</t>
  </si>
  <si>
    <t>https://drive.google.com/open?id=13ZKv1FtuGxzx6Fwkavjzx9HaByry8p74</t>
  </si>
  <si>
    <t>Persentase pangan segar yang memenuhi syarat keamanan pangan</t>
  </si>
  <si>
    <t>https://drive.google.com/open?id=1f55TvIgcACbOVtzDifSQh29yNxtvfpMR</t>
  </si>
  <si>
    <t>Sesuai</t>
  </si>
  <si>
    <t>Hasil pengawasan keamanan dan mutu pangan di Kabupaten/Kota yang dibuktikan dengan persentase pangan segar yang memenuhi persyaratan keamanan dan mutu pangan. 
Target Nasional tahun 2022 = 85-95% ; tahun 2023 = 85-95%; tahun 2024 = 85-95%.</t>
  </si>
  <si>
    <t>Sumber data: Dinas yang menangani ketahanan pangan/pangan di kab/kota
Capaian Pengawasan di peredaran: Realisasi PSAT yang memenuhi Persyaratan Keamanan dan Mutu pangan di peredaran  (Y) =  P/N x 100%</t>
  </si>
  <si>
    <t>Laporan Pengawasan Keamanan dan Mutu Pangan Segar di Kabupaten dan Kota  
Periode dokumen: Tahunan.</t>
  </si>
  <si>
    <t>a. ≥ 85%</t>
  </si>
  <si>
    <t>https://drive.google.com/open?id=17UtJa1_XeJugNt5drM9fT-Mi4ChpYqcg</t>
  </si>
  <si>
    <t>b. &lt; 85%</t>
  </si>
  <si>
    <t>https://drive.google.com/open?id=1B_fytjiLaqwJ9Jq1XLA256E-sfG3dX1I</t>
  </si>
  <si>
    <t>Kabupaten/Kota yang menerapkan kebijakan GERMAS dengan kriteria : memiliki kebijakan GERMAS dan melaksanakan penggerakan masyarakat dalam mendukung 5 klaster GERMAS minimal 3 kali dalam setahun</t>
  </si>
  <si>
    <t>https://drive.google.com/open?id=17SvN8BGDSUG6EDcKK5ICoKgh1SCLurqx</t>
  </si>
  <si>
    <t>sesuaikan dan lengkapi narasi</t>
  </si>
  <si>
    <t xml:space="preserve">Kabupaten/kota yang menerapkan kebijakan Germas dengan kriteria: Memiliki kebijakan Germas sesuai dengan Inpres No.1 Tahun 2017 (melaksanakan 5 kluster germas) dan atau kebijakan berwawasan kesehatan Melaksanakan penggerakkan masyarakat dalam mendukung 5 kluster Germas minimal 3 kali setahun, dengan melibatkan lintas sektor, pendidikan sekolah), Upaya Kesehatan Bersumberdaya Masyarakat (UKBM) dan atau mitra potensial. 
</t>
  </si>
  <si>
    <t>microsite promkes</t>
  </si>
  <si>
    <t>Peraturan Daerah/Gubernur/Bupati/Walikota, Surat Edaran, SK/kebijakan yang berwawasan Kesehatan
Laporan dan dokumentasi kegiatan penggerakan masyarakat
Penganggaran pelaksanaan kegiatan Germas di dokumen anggaran pemerintah daerah</t>
  </si>
  <si>
    <t>a. Ya</t>
  </si>
  <si>
    <t>https://drive.google.com/open?id=1h5GkjL4oqDEdXOPSlo2VXl5PbYXSuD0_</t>
  </si>
  <si>
    <t>b. Tidak</t>
  </si>
  <si>
    <t>0</t>
  </si>
  <si>
    <t>https://drive.google.com/open?id=1Zp4xKrGZdRDhpGuqMPfjRFelPBJlXB-i</t>
  </si>
  <si>
    <t>Persentase penderita Diabetes Melitus yang mendapatkan pelayanan kesehatan sesuai standar</t>
  </si>
  <si>
    <t>https://drive.google.com/open?id=1KU5G2FWUYqfh3X1SbKmO96Cf887wsDki</t>
  </si>
  <si>
    <t>dokumen tdk dilengkapi tanda tangan</t>
  </si>
  <si>
    <t xml:space="preserve">Persentase penyandang Diabetes Melitus (DM) yang gula darah puasa &lt;126 mg/dl atau gula darah 2 jam PP &lt;200 mg/dl sebanyak minimal 3 kali (3 bulan) atau HBA1C &lt;7% minimal 1 kali dalam kurun waktu 1 tahun 
</t>
  </si>
  <si>
    <t>Sumber Data : Laporan SPM, Aplikasi Sistem Informasi Penyakit Tidak Menular (SIPTM), Aplikasi Sehat Indonesiaku  (ASIK), Komdat Kemenkes</t>
  </si>
  <si>
    <t>Laporan SPM Pemerintah Daerah Kabupaten/Kota</t>
  </si>
  <si>
    <t xml:space="preserve">a. Mencapai target capaian penyandang diabetes terkendali tiap tahunnya </t>
  </si>
  <si>
    <t>https://drive.google.com/open?id=19L1KdU0_FgQZy4Mp5hBAoozye74hH8BK</t>
  </si>
  <si>
    <t xml:space="preserve">b. Tidak mencapai target capaian penyandang diabetes terkendali tiap tahunnya </t>
  </si>
  <si>
    <t>https://drive.google.com/open?id=1Pm3ZOmTZXkX2ra2eP9Fi1-EethvrVKFM</t>
  </si>
  <si>
    <t xml:space="preserve">Persentase penderita Hipertensi yang mendapatkan pelayanan kesehatan sesuai standar </t>
  </si>
  <si>
    <t>https://drive.google.com/open?id=19F0-iidVGfvUozHAQLqLzFYKTX88nRe8</t>
  </si>
  <si>
    <t>Persentase penyandang Hipertensi yang tekanan darah sistolik dan diastolik turun dan kurang dari 140/90 mmHg dalam kurun waktu3 bulan atau 3 kali dalam kurun waktu 1 tahun</t>
  </si>
  <si>
    <t xml:space="preserve">Sumber Data : Aplikasi Sistem Informasi Penyakit Tidak Menular (SIPTM), Aplikasi Sehat Indonesiaku  (ASIK), Laporan SPM </t>
  </si>
  <si>
    <t>1. Laporan SPM Pemerintah Daerah Kabupaten/Kota melalui ASIK, SI PTM dan lainnya)                    
     2. Adanya Penetapan sasaran Penyandang hipertensi oleh bupati/walikota dalam bentuk SK</t>
  </si>
  <si>
    <t>a &gt;60</t>
  </si>
  <si>
    <t>https://drive.google.com/open?id=1jmg5gGpvXVriKxnlDF-KmW5Be6ddJkL_</t>
  </si>
  <si>
    <t>b &lt; 60</t>
  </si>
  <si>
    <t>https://drive.google.com/open?id=1TdxRtXWi1I-wv-kPdNyU-40K5z3fQzie</t>
  </si>
  <si>
    <t>Persentase Orang Dengan Gangguan Jiwa Berat  yang mendapatkan pelayanan sesuai standar dan eliminasi pasung</t>
  </si>
  <si>
    <t>https://drive.google.com/open?id=1xUnVsfyvQnCDJ0nbz83yDfvmuNziODGu</t>
  </si>
  <si>
    <t xml:space="preserve">Persentase penderita orang dengan gangguan jiwa berat yang mendapatkan pelayanan sesuai standar (Media KIE dan Diagnosis).
</t>
  </si>
  <si>
    <t>Sumber Data : Laporan SPM, Aplikasi Sehat Indonesiaku, Komdat Kemenkes</t>
  </si>
  <si>
    <t>a. 100% Orang Dengan Gangguan Jiwa Berat  yang mendapatkan pelayanan sesuai standar dan komitmen Kepala Daerah dalam bentuk surat pernyataan tidak ada pasung dan SK Tim Penggerak Kesehatan Jiwa Masyarakat (TPKJM) Tingkat Kab/Kota</t>
  </si>
  <si>
    <t>https://drive.google.com/open?id=1OWTycYXZuLVhmmB3iTT-rhAk2q6IbT3f</t>
  </si>
  <si>
    <t>b. 100% Orang Dengan Gangguan Jiwa Berat  yang mendapatkan pelayanan sesuai standar dan komitmen Kepala Daerah dalam bentuk surat pernyataan untuk menuju eliminasi pasung dan SK Tim Penggerak Kesehatan Jiwa Masyarakat (TPKJM) Tingkat Kab/Kota</t>
  </si>
  <si>
    <t>https://drive.google.com/open?id=1uBiKGQr3K-9EtO2yId0w7mqbg7XRgGVg</t>
  </si>
  <si>
    <t>c. 100% Orang Dengan Gangguan Jiwa Berat  yang mendapatkan pelayanan sesuai standar</t>
  </si>
  <si>
    <t>d. &lt; 100% Orang Dengan Gangguan Jiwa Berat  yang mendapatkan pelayanan sesuai standar</t>
  </si>
  <si>
    <t xml:space="preserve">Persentase Bayi usia 0-11 bulan yang mendapatkan Imunisasi Lengkap </t>
  </si>
  <si>
    <t>https://drive.google.com/open?id=1OwrWxMDrpa-izA2s61SUYX4SxIdwiVNP</t>
  </si>
  <si>
    <r>
      <rPr>
        <rFont val="Arial Narrow"/>
        <color theme="1"/>
        <sz val="14.0"/>
      </rPr>
      <t xml:space="preserve">Persentase bayi usia 0-11 bulan yang mendapat imunisasi lengkap meliputi 1 dosis Hepatitis B pada usia 0-7 hari, 1 dosis BCG, 4 dosis Polio tetes (bOPV), 1 dosis Polio suntik (IPV), </t>
    </r>
    <r>
      <rPr>
        <rFont val="Arial Narrow"/>
        <color theme="1"/>
        <sz val="14.0"/>
      </rPr>
      <t xml:space="preserve"> 3 dosis DPT-HB-Hib, serta 1 dosis Campak Rubela (MR) </t>
    </r>
    <r>
      <rPr>
        <rFont val="Arial Narrow"/>
        <color theme="1"/>
        <sz val="14.0"/>
      </rPr>
      <t xml:space="preserve">di satu wilayah dalam kurun waktu tertentu. </t>
    </r>
  </si>
  <si>
    <r>
      <rPr>
        <rFont val="Arial Narrow"/>
        <color theme="1"/>
        <sz val="14.0"/>
      </rPr>
      <t>Menggunakan Dashboard ASIK (Aplikasi Sehat Indonesiaku)/ data laporan rutin di Dinas Kesehatan Kabupaten/Kota yang telah dilaporkan ke Dinkes Provinsi pada tahun berjalan 
Data pusat dari Direktorat Pengelolaan Imunisasi</t>
    </r>
    <r>
      <rPr>
        <rFont val="Arial Narrow"/>
        <color theme="1"/>
        <sz val="14.0"/>
      </rPr>
      <t xml:space="preserve">
</t>
    </r>
  </si>
  <si>
    <t>Data capaian imunisasi di aplikasi ASIK di Kabupaten/Kota/ Laporan rutin di Dinas Kesehatan Kabupaten/Kota dan bukti pengiriman laporan ke Dinkes Provinsi  pada tahun berjalan</t>
  </si>
  <si>
    <r>
      <rPr>
        <rFont val="Arial Narrow"/>
        <color theme="1"/>
        <sz val="14.0"/>
      </rPr>
      <t xml:space="preserve">a. </t>
    </r>
    <r>
      <rPr>
        <rFont val="Calibri"/>
        <color theme="1"/>
        <sz val="14.0"/>
      </rPr>
      <t xml:space="preserve">≥ </t>
    </r>
    <r>
      <rPr>
        <rFont val="Arial Narrow"/>
        <color theme="1"/>
        <sz val="14.0"/>
      </rPr>
      <t>80%</t>
    </r>
  </si>
  <si>
    <t>https://drive.google.com/open?id=1DBE1LsTGla0XSo1dfygTjl2zksX7PB66</t>
  </si>
  <si>
    <t xml:space="preserve">b. 70% - 79% </t>
  </si>
  <si>
    <t>https://drive.google.com/open?id=148qLA213Flmg_T86ijQdjcXM8fjm_lIV</t>
  </si>
  <si>
    <t xml:space="preserve">c. 60% - 69% </t>
  </si>
  <si>
    <t>d. &lt; 60%</t>
  </si>
  <si>
    <t>Pesentase penduduk sesuai kelompok usia yang dilakukan skrining PTM</t>
  </si>
  <si>
    <r>
      <rPr>
        <rFont val="Arial Narrow"/>
        <color theme="1"/>
        <sz val="14.0"/>
      </rPr>
      <t xml:space="preserve">Persentase Penduduk Sesuai Kelompok Sasaran Yang Mendapatkan Skrining PTM Prioritas  Yaitu Hipertensi, DM, Obesitas, Stroke, Jantung, PPOK, Kanker Payudara, Kanker Leher Rahim, Katarak Dan Kelainan Refraksi, Tuli Kongenital, Dan Otitis Media Supurative Kronis (OMSK).
</t>
    </r>
  </si>
  <si>
    <t>Sumber Data : Aplikasi Sehat Indonesiaku  (ASIK).</t>
  </si>
  <si>
    <t>Laporan Dinas Kesehatan Kabupaten/Kota</t>
  </si>
  <si>
    <t>a.  ≥ 70%</t>
  </si>
  <si>
    <t>https://drive.google.com/open?id=1tVp8BTxaxVelrxx_MzXZMDvJqKXw0D2J</t>
  </si>
  <si>
    <t>b. 50% - 70%</t>
  </si>
  <si>
    <t>https://drive.google.com/open?id=11YyDCYWAkpg6_D0yRK9CCGifwliUfl3y</t>
  </si>
  <si>
    <t>c. &lt; 50%</t>
  </si>
  <si>
    <t>Persentase orang dengan HIV (ODHIV ) baru ditemukan yang mendapatkan pengobatan ARV</t>
  </si>
  <si>
    <t>https://drive.google.com/open?id=1VZgf5W5lDP5QJMRN28FnPOD14F-h09LN</t>
  </si>
  <si>
    <t>Jumlah ODHIV (Orang Dengan HIV) baru yang mendapatkan ART (Antiretroviral Therapy) dibagi ODHIV baru ditemukan dikali 100% berdasarkan periode tahun berjalan.</t>
  </si>
  <si>
    <t>Sistem Informasi HIV AIDS (SIHA)</t>
  </si>
  <si>
    <t xml:space="preserve">Laporan Dinas Kesehatan Kabupaten/Kota </t>
  </si>
  <si>
    <t xml:space="preserve">a. ≥ 90% </t>
  </si>
  <si>
    <t>https://drive.google.com/open?id=1zXzW_Oq4C02ShKkaWJs9QIVLsRJt5WVN</t>
  </si>
  <si>
    <t xml:space="preserve">b. 80% - 90 % </t>
  </si>
  <si>
    <t>https://drive.google.com/open?id=1ecThYB9tJXNi3v40QcTXrk-manVZYrPn</t>
  </si>
  <si>
    <t xml:space="preserve">c. &lt; 80% </t>
  </si>
  <si>
    <t>Kabupaten/Kota yang telah eliminasi malaria</t>
  </si>
  <si>
    <t>https://drive.google.com/open?id=13tOz9bfoIwpk4fMyQHidbUOcWaONJxRW</t>
  </si>
  <si>
    <t xml:space="preserve">Syarat utama Eliminasi Malaria yakni tidak ada penularan setempat atau kasus indigenous selama tiga tahun berturut-turut, Positivity Rate kurang dari 5%, dan API kurang dari 1 Per 1.000 penduduk. </t>
  </si>
  <si>
    <t>Aplikasi Sistem Informasi Malaria (E-Sismal)</t>
  </si>
  <si>
    <t>a. memenuhi 3 kriteria syarat utama elminasi kriteria dan sudah terverivikasi (eliminasi malaria)</t>
  </si>
  <si>
    <t>https://drive.google.com/open?id=141ovS34UHvJNCmasheSDRM2xlvp5zyTz</t>
  </si>
  <si>
    <t>b. memenuhi 3 kriteria syarat utama elminasi kriteria namun belum terverivikasi</t>
  </si>
  <si>
    <t>https://drive.google.com/open?id=1NGF76cw-8bbZeh60_RIMYdNxZLYjluVX</t>
  </si>
  <si>
    <t>b. belum memenuhi</t>
  </si>
  <si>
    <t xml:space="preserve">Persentase Fasilitas Pelayanan Kesehatan Terakreditasi </t>
  </si>
  <si>
    <t>https://drive.google.com/open?id=12F5kN7NWYjgbDmhV4fmaLf9-62iM0mVZ</t>
  </si>
  <si>
    <t>dokumen dilengkapi</t>
  </si>
  <si>
    <t>Persentase Fasilitas Pelayanan Kesehatan (Rumah Sakit, Puskesmas, dan Klinik) yang memiliki sertifikat terakreditasi yang masih berlaku pada tahun berjalan (RPJMN)</t>
  </si>
  <si>
    <t>SINAF (Sistem Informasi Nasional Akreditasi Fasyankes) dan SINAR (Sistem Informasi Nasional Akreditasi Rumah Sakit)</t>
  </si>
  <si>
    <t>a. Tercapai 100%</t>
  </si>
  <si>
    <t>https://drive.google.com/open?id=1rF___jUJLfdVzxabyXf_DLgdZkdBs0lc</t>
  </si>
  <si>
    <t>b. Tercapai 80 - &lt;100%</t>
  </si>
  <si>
    <t>https://drive.google.com/open?id=124EHNbNikhAD71hw3MgY1CPCs7uu1_Uw</t>
  </si>
  <si>
    <t>c. &lt; 80 %</t>
  </si>
  <si>
    <t xml:space="preserve">Rasio ketersediaan tempat tidur rumah sakit terhadap jumlah penduduk yang dilayani </t>
  </si>
  <si>
    <t>https://drive.google.com/open?id=1fQXMWsDabIutWjCskeUAEfYz_wakBFh9</t>
  </si>
  <si>
    <t>Tingkat ketersediaan tempat tidur rumah sakit dan puskesmas perawatan dibandingkan populasi penduduk yang dilayani dalam tahun berjalan</t>
  </si>
  <si>
    <t>Standar WHO</t>
  </si>
  <si>
    <t>Data SIRS ONLINE</t>
  </si>
  <si>
    <r>
      <rPr>
        <rFont val="Arial Narrow"/>
        <color theme="1"/>
        <sz val="14.0"/>
      </rPr>
      <t xml:space="preserve">a. </t>
    </r>
    <r>
      <rPr>
        <rFont val="Calibri"/>
        <color theme="1"/>
        <sz val="14.0"/>
      </rPr>
      <t>≥ 1 tempat tidur per 1.000 penduduk</t>
    </r>
  </si>
  <si>
    <t>https://drive.google.com/open?id=1qYLm8EbDuWdaycySzW7HInG9L6bZymrK</t>
  </si>
  <si>
    <t>b. 0,5 - &lt; 1 tempat tidur per 1.000 penduduk</t>
  </si>
  <si>
    <t>https://drive.google.com/open?id=1HAS_Hf57sLEbam77E517GGOAHGgc5AWJ</t>
  </si>
  <si>
    <t>c. &lt; 0,5 tempat tidur per 1.000 penduduk</t>
  </si>
  <si>
    <t xml:space="preserve">Persentase Puskesmas yang menyelenggarakan pelayanan kesehatan remaja  
 </t>
  </si>
  <si>
    <t>https://drive.google.com/open?id=1xbNf9tgf03coROJ-sFIlQjWPhikL9-5e</t>
  </si>
  <si>
    <t>dokumen dilengkapi dengan bukti resmi dan di tanda tangani</t>
  </si>
  <si>
    <t>Jumlah puskesmas yang melaksanakan kegiatan kesehatan remaja
di suatu wilayah kerja pada kurun waktu tertentu dibagi Jumlah puskesmas di wilayah kerja dan kurun waktu yang sama dikali 100%</t>
  </si>
  <si>
    <t>Renstra Kemenkes, data statistik nasional atau sumber lainnya yang relevan</t>
  </si>
  <si>
    <r>
      <rPr>
        <rFont val="Arial Narrow"/>
        <color theme="1"/>
        <sz val="14.0"/>
      </rPr>
      <t xml:space="preserve">a. </t>
    </r>
    <r>
      <rPr>
        <rFont val="Arial Narrow"/>
        <color theme="1"/>
        <sz val="14.0"/>
        <u/>
      </rPr>
      <t>&gt;</t>
    </r>
    <r>
      <rPr>
        <rFont val="Arial Narrow"/>
        <color theme="1"/>
        <sz val="14.0"/>
      </rPr>
      <t xml:space="preserve"> 60%</t>
    </r>
  </si>
  <si>
    <t>https://drive.google.com/open?id=1r2jaSx0aLgon9BV9MSIiS-j4J0lkJCv-</t>
  </si>
  <si>
    <t>b. 50 - 59.99%</t>
  </si>
  <si>
    <t>https://drive.google.com/open?id=1gsbTlaIZbz9nf0AGRhlANctIILed8Biw</t>
  </si>
  <si>
    <t>c. 40 - 49.99%</t>
  </si>
  <si>
    <t>d. &lt; 40%</t>
  </si>
  <si>
    <t>Persentase puskesmas yang menyelenggarakan pelayanan kesehatan SANTUN LANSIA (UPL)</t>
  </si>
  <si>
    <t>https://drive.google.com/open?id=1uN_LGrib4GHbiCtshz-balED_3joU08F</t>
  </si>
  <si>
    <t>Persentase puskesmas yang menyelenggarakan pelayanan kesehatan SANTUN LANSIA di Kab/Kota dalam Tahun berjalan</t>
  </si>
  <si>
    <t>a. &gt; 40%</t>
  </si>
  <si>
    <t>https://drive.google.com/open?id=1m3mDoNXWEN-LDVIacozZJYu-2ol7rIjY</t>
  </si>
  <si>
    <t>b. 30 - 40%</t>
  </si>
  <si>
    <t>https://drive.google.com/open?id=1skYGZAbBuhHgOwylcy8SfPGmgK4SBjYn</t>
  </si>
  <si>
    <t>c. 20 - 29.99%</t>
  </si>
  <si>
    <t>d. &lt; 20%</t>
  </si>
  <si>
    <t>Persentase ibu hamil KEK (Gizi KIA)</t>
  </si>
  <si>
    <t>https://drive.google.com/open?id=1Sx9Ki-ff-Ije8X3CRq9q0QQaNgry_KTT</t>
  </si>
  <si>
    <t xml:space="preserve">
Proporsi ibu hamil yang diukur Lingkar Lengan Atasnya (LiLA) menggunakan pita LiLA dengan hasil ukur kurang dari 23,5 cm terhadap jumlah ibu hamil yang diukur LiLAnya pada periode
tertentu dikali 100%. 
</t>
  </si>
  <si>
    <t xml:space="preserve">Data Dinkes Kab/Kota yang dilaporkan
setiap bulan melalui aplikasi pemantauan pertumbuhan balita dalam Sigizi Terpadu (e-PPGBM)
</t>
  </si>
  <si>
    <t>a. &lt;13%</t>
  </si>
  <si>
    <t>https://drive.google.com/open?id=1IB2TYsT_51ztCy7GB47gsWAraPZj6k1l</t>
  </si>
  <si>
    <t>b. &gt;13%-23 %</t>
  </si>
  <si>
    <t>https://drive.google.com/open?id=1JqJPiUOJZ_XgM9LsHevecOlMa0jWZ2AB</t>
  </si>
  <si>
    <t>c. &gt;23%-33 %</t>
  </si>
  <si>
    <t>d. &gt; 33%</t>
  </si>
  <si>
    <t xml:space="preserve">Prevalensi Obesitas pada  Anak Usia Sekolah </t>
  </si>
  <si>
    <t>https://drive.google.com/open?id=1x2swCNc0i4Le9AbuRPCFnBhyyh7Opsd4</t>
  </si>
  <si>
    <t>Prevalensi Obesitas pada  Anak Usia Sekolah  di Kab/Kota dalam tahun berjalan</t>
  </si>
  <si>
    <t>a. &lt; 8%</t>
  </si>
  <si>
    <t>https://drive.google.com/open?id=14kdEQXLbk_b8yA-PzwSBKp2Y5QfIvk51</t>
  </si>
  <si>
    <t>b. 8 - 10%</t>
  </si>
  <si>
    <t>https://drive.google.com/open?id=1CyoJEh39fqJaZfH7cLq1XSdMpR7ndbYh</t>
  </si>
  <si>
    <t>c. &gt; 10%</t>
  </si>
  <si>
    <t>Persentase Puskesmas yang melaksanakan pelayanan kesehatan lingkungan dan ditindaklanjuti</t>
  </si>
  <si>
    <t>https://drive.google.com/open?id=1q3_nxhgQh8tQYPpN4oS0z6YH_Yhu3BpA</t>
  </si>
  <si>
    <t>jumlah puskesmas yang melaksanakan pelayanan kesehatan lingkungan dan ditindaklanjuti di Kab/Kota dalam tahun berjalan</t>
  </si>
  <si>
    <t>Data statistik nasional atau sumber lainnya yang relevan</t>
  </si>
  <si>
    <t>a. &gt; 80%</t>
  </si>
  <si>
    <t>https://drive.google.com/open?id=1aHRKj0W-s1WGFcE84_jAN84TU0t3SyeK</t>
  </si>
  <si>
    <t>b. 60 - 80%</t>
  </si>
  <si>
    <t>c. 40 - 59.99%</t>
  </si>
  <si>
    <t>Rumah Sakit dan Puskesmas telah mengelola limbah medis sesuai standar</t>
  </si>
  <si>
    <t>https://drive.google.com/open?id=1T-QWUCO990qIEKJ8a3rh1smTticyB7Is</t>
  </si>
  <si>
    <t>Jumlah Rumah Sakit dan Puskesmas telah mengelola limbah medis sesuai standar di Kab/Kota dalam tahun berjalan</t>
  </si>
  <si>
    <t>Aplikasi Sistem Informasi Kelola Limbah Medis (SIKELIM)</t>
  </si>
  <si>
    <t xml:space="preserve">a.Ya, ≥ 80%  </t>
  </si>
  <si>
    <t>https://drive.google.com/open?id=1xwI82cOYj-LFMqdPh8UJacgEUIFULEtN</t>
  </si>
  <si>
    <t xml:space="preserve">b.Ya, 60% - 79%  </t>
  </si>
  <si>
    <t xml:space="preserve">c.Ya, 40% - 59%   </t>
  </si>
  <si>
    <t xml:space="preserve">d. Ya, &lt;40%  </t>
  </si>
  <si>
    <t>Prevalensi Diare pada balita dalam 2 tahun terakhir</t>
  </si>
  <si>
    <t>https://drive.google.com/open?id=1Cn9Wlg8mY5U3P5ix7ApVxAX1IrgTj7LZ</t>
  </si>
  <si>
    <t>Jumlah kasus kejadian kecacingan dibagi jumlah penduduk di kab/kota pada tahun sebelumnya kali 100%</t>
  </si>
  <si>
    <t xml:space="preserve">a. Turun dari tahun sebelumnya </t>
  </si>
  <si>
    <t>https://drive.google.com/open?id=1tJmbW5fTZ0Wyfl9lJ33cqXJx7GyUaYAn</t>
  </si>
  <si>
    <t xml:space="preserve">b. Tetap </t>
  </si>
  <si>
    <t>https://drive.google.com/open?id=1glfk-IJsywJ-zt4YRzpyPQTK6VGcp34i</t>
  </si>
  <si>
    <t>c. Meningkat dari tahun sebelumnya</t>
  </si>
  <si>
    <t>Persentase Puskesmas yang melaksanakan deteksi dini penyalahgunaan Napza</t>
  </si>
  <si>
    <t>https://drive.google.com/open?id=1QzpYWzIpVue5qi4-yRpS81wjkmJNZJSa</t>
  </si>
  <si>
    <r>
      <rPr>
        <rFont val="Arial Narrow"/>
        <color theme="1"/>
        <sz val="14.0"/>
      </rPr>
      <t xml:space="preserve">Puskesmas yang melakukan deteksi dini penyalahgunaan Napza menggunakan instrumen ASSIST dibagi jumlah keseluruhan puskesmas dikali 100
Target : </t>
    </r>
    <r>
      <rPr>
        <rFont val="Calibri"/>
        <color theme="1"/>
        <sz val="14.0"/>
      </rPr>
      <t>≥</t>
    </r>
    <r>
      <rPr>
        <rFont val="Arial Narrow"/>
        <color theme="1"/>
        <sz val="11.0"/>
      </rPr>
      <t xml:space="preserve"> 90%</t>
    </r>
  </si>
  <si>
    <t>Dinas kesehatan kab/kota</t>
  </si>
  <si>
    <t>aplikasi Sinapza digitalisasi instrumen ASSIST</t>
  </si>
  <si>
    <t>a. &gt; 90% Puskesmas</t>
  </si>
  <si>
    <t>https://drive.google.com/open?id=1CTmwKZxjI7FeX8cPBpjVp6aWuymMlpp7</t>
  </si>
  <si>
    <t>b. 70% - 90% Puskesmas</t>
  </si>
  <si>
    <t>https://drive.google.com/open?id=1EX1OhJkRnYGnqTe79oyQfXEbIuYHiB9H</t>
  </si>
  <si>
    <t>c. &lt; 70% Puskesmas</t>
  </si>
  <si>
    <r>
      <rPr>
        <rFont val="Arial Narrow"/>
        <color theme="1"/>
        <sz val="14.0"/>
      </rPr>
      <t xml:space="preserve">Jumlah Penduduk usia </t>
    </r>
    <r>
      <rPr>
        <rFont val="Calibri"/>
        <color theme="1"/>
        <sz val="14.0"/>
      </rPr>
      <t>≥</t>
    </r>
    <r>
      <rPr>
        <rFont val="Arial Narrow"/>
        <color theme="1"/>
        <sz val="14.0"/>
      </rPr>
      <t xml:space="preserve"> 15 tahun yang memiliki risiko kesehatan jiwa yang mendapatkan skrining </t>
    </r>
  </si>
  <si>
    <t>https://drive.google.com/open?id=1GvLrH9QMMge8FGtdPqgkXNIiwLGjcV2v</t>
  </si>
  <si>
    <t>Jumlah Penduduk usia ≥ 15 tahun yang memiliki risiko kesehatan jiwa yang mendapatkan skrining  dengan menggunakan instrumen SDQ/ SRQ20
Target 2023 : 60%
Target 2024 : 90%</t>
  </si>
  <si>
    <t>Aplikasi SIMKESWA</t>
  </si>
  <si>
    <t>a. Mencapai target</t>
  </si>
  <si>
    <t>https://drive.google.com/open?id=1OJCmp52GdXdkbY-qkrVmpP2dp8BTWUn_</t>
  </si>
  <si>
    <t>b. 50% mencapai target</t>
  </si>
  <si>
    <t>https://drive.google.com/open?id=1yzv-0veoHXygYcP6EWUlKJKlHXb-ytBt</t>
  </si>
  <si>
    <t>c. Tidak mencapai target</t>
  </si>
  <si>
    <t>Persentase posyandu aktif di Kabupaten/Kota</t>
  </si>
  <si>
    <t>https://drive.google.com/open?id=10GCHKMJ-0wpKp2pg5mWSXxUZT0ImUZDx</t>
  </si>
  <si>
    <t>Posyandu aktif adalah ............ (Bu Nita)
&gt;50: 100
20 - 50: 50
&lt;20: 0</t>
  </si>
  <si>
    <t>SK Pokjanal Posyandu, laporan pelaksanaan kegiatan dan dokumentasi</t>
  </si>
  <si>
    <t xml:space="preserve">a. &gt; 50% </t>
  </si>
  <si>
    <t>https://drive.google.com/open?id=1R8WciLVNZSZ5tZC8jbeAeSEHaXqzOMft</t>
  </si>
  <si>
    <t>b. 20% - 50%</t>
  </si>
  <si>
    <t xml:space="preserve">c. &lt; 20% </t>
  </si>
  <si>
    <t>Adanya kebijakan Kawasan Tanpa Rokok (KTR) di setiap tatanan Kab/Kota Sehat dan menerapkan indikator prinsip 100% kepatuhan KTR</t>
  </si>
  <si>
    <t>https://drive.google.com/open?id=1b3Zh5miICQaGZwCE4YQyLRCX2dy1dNCj</t>
  </si>
  <si>
    <t>Kabupaten/Kota sudah memiliki kebijakan KTR, Satgas dan telah menerapkan KTR di Tatanan dengan indikator prinsip 100% kepatuhan KTR.
Indikator prinsip 100% kepatuhan KTR yaitu :
1. ada tanda dilarang merokok
2. tidak ditemukan orang merokok di dalam gedung
3. tidak ditemukan ruang merokok di dalam gedung
4. tidak ditemukan puntung rokok
5. tidak ditemukan penjualan rokok
6. tidak ditemukan asbak/korek api
7. tidak ditemukan iklan atau promosi rokok
8. tidak tercium asap rokok</t>
  </si>
  <si>
    <t>a. memiliki kebijakan KTR pada 7-6 tatanan dan menerapkan indikator 100 % KTR</t>
  </si>
  <si>
    <t>https://drive.google.com/open?id=1ha_x7fP4UkTyBuoDMz9KNSRSVJ1-MC-Q</t>
  </si>
  <si>
    <t>b. memiliki kebijakan KTR pada 5-4 tatanan dan menerapkan indikator 100 % KTR</t>
  </si>
  <si>
    <t>c. memiliki kebijakan KTR pada 3 tatanan dan menerapkan indikator 100 % KTR</t>
  </si>
  <si>
    <r>
      <rPr>
        <rFont val="Arial Narrow"/>
        <color theme="1"/>
        <sz val="14.0"/>
      </rPr>
      <t xml:space="preserve">d. memiliki kebijakan KTR pada </t>
    </r>
    <r>
      <rPr>
        <rFont val="Calibri"/>
        <color theme="1"/>
        <sz val="14.0"/>
      </rPr>
      <t>≤</t>
    </r>
    <r>
      <rPr>
        <rFont val="Arial Narrow"/>
        <color theme="1"/>
        <sz val="11.0"/>
      </rPr>
      <t xml:space="preserve"> </t>
    </r>
    <r>
      <rPr>
        <rFont val="Arial Narrow"/>
        <color theme="1"/>
        <sz val="14.0"/>
      </rPr>
      <t>2 tatanan dan menerapkan indikator 100 % KTR</t>
    </r>
  </si>
  <si>
    <t>Angka Bebas Jentik</t>
  </si>
  <si>
    <t>https://drive.google.com/open?id=1p4mrU7YjLo9uxj-Vx6HgOtPQWyBy6DGq</t>
  </si>
  <si>
    <t xml:space="preserve">Angka bebas jentik merupakan data yang dilihat melalui aplikasi SILANTOR dan minimal 80% puskesmas melakukan surveilans vektor </t>
  </si>
  <si>
    <t>SILANTOR (sistem surveilans vektor)</t>
  </si>
  <si>
    <t>Data laporan yang ada di aplikasi SILANTOR (data diinput puskesmas dan laporan dari Dinkes Kab/Kota)</t>
  </si>
  <si>
    <r>
      <rPr>
        <rFont val="Arial Narrow"/>
        <color theme="1"/>
        <sz val="14.0"/>
      </rPr>
      <t xml:space="preserve">a. </t>
    </r>
    <r>
      <rPr>
        <rFont val="Calibri"/>
        <color theme="1"/>
        <sz val="14.0"/>
      </rPr>
      <t>≥</t>
    </r>
    <r>
      <rPr>
        <rFont val="Arial Narrow"/>
        <color theme="1"/>
        <sz val="14.0"/>
      </rPr>
      <t xml:space="preserve"> 95%</t>
    </r>
  </si>
  <si>
    <t>https://drive.google.com/open?id=1-KIyGpdJPkRld3Q_rkYVJPbfBRFqEPsY</t>
  </si>
  <si>
    <t>b. &lt; 95%</t>
  </si>
  <si>
    <t>https://drive.google.com/open?id=1iUaxjBHP2biI77p6SiL3UQ8LFTZwNXwT</t>
  </si>
  <si>
    <t>Indeks Habitat Vektor Malaria atau Filariasis</t>
  </si>
  <si>
    <t>https://drive.google.com/open?id=1x-foUJunpUcc8P7_yic5eCv1fr4ReEC5</t>
  </si>
  <si>
    <t>Indeks habitat merupakan data yang dilihat melalui aplikasi SILANTOR dan minimal 80% puskesmas melakukan surveilans vektor</t>
  </si>
  <si>
    <r>
      <rPr>
        <rFont val="Arial Narrow"/>
        <color theme="1"/>
        <sz val="14.0"/>
      </rPr>
      <t xml:space="preserve">a. </t>
    </r>
    <r>
      <rPr>
        <rFont val="Calibri"/>
        <color theme="1"/>
        <sz val="14.0"/>
      </rPr>
      <t xml:space="preserve">&lt; </t>
    </r>
    <r>
      <rPr>
        <rFont val="Arial Narrow"/>
        <color theme="1"/>
        <sz val="14.0"/>
      </rPr>
      <t>1</t>
    </r>
  </si>
  <si>
    <t>https://drive.google.com/open?id=1fpxft_3Ig7_RnTEBB4e9RinXIJmC7JJG</t>
  </si>
  <si>
    <t>b. &gt; 1</t>
  </si>
  <si>
    <t>https://drive.google.com/open?id=176sQEaiSLMmuUvALyKEDf3ndeYxSrPrJ</t>
  </si>
  <si>
    <r>
      <rPr>
        <rFont val="Arial Narrow"/>
        <i/>
        <color theme="1"/>
        <sz val="14.0"/>
      </rPr>
      <t>Success trap</t>
    </r>
    <r>
      <rPr>
        <rFont val="Arial Narrow"/>
        <color theme="1"/>
        <sz val="14.0"/>
      </rPr>
      <t xml:space="preserve"> tikus</t>
    </r>
  </si>
  <si>
    <t>https://drive.google.com/open?id=1UX-qh98kyBZXwiQGLM9j6BuAXzulva7l</t>
  </si>
  <si>
    <r>
      <rPr>
        <rFont val="Arial Narrow"/>
        <color theme="1"/>
        <sz val="14.0"/>
      </rPr>
      <t xml:space="preserve"> </t>
    </r>
    <r>
      <rPr>
        <rFont val="Arial Narrow"/>
        <i/>
        <color theme="1"/>
        <sz val="14.0"/>
      </rPr>
      <t>Success trap</t>
    </r>
    <r>
      <rPr>
        <rFont val="Arial Narrow"/>
        <color theme="1"/>
        <sz val="14.0"/>
      </rPr>
      <t xml:space="preserve"> tikus merupakan data yang dilihat melalui aplikasi SILANTOR dan minimal 80% puskesmas melakukan surveilans vektor</t>
    </r>
  </si>
  <si>
    <t>a. &lt; 1</t>
  </si>
  <si>
    <t>https://drive.google.com/open?id=12OhFxbw2TzyfJlXQfK6A1aqWmGT9bKKv</t>
  </si>
  <si>
    <t>https://drive.google.com/open?id=1d_uaotCui_uqJYzF2rB1NCLD8YXWHWFb</t>
  </si>
  <si>
    <t>Persentase Puskesmas yang melaksanakan pelayanan ramah anak (PRAP)</t>
  </si>
  <si>
    <t>https://drive.google.com/open?id=1g8-o78IgXXXalCfeJLyqW0eMpiNdTdfx</t>
  </si>
  <si>
    <t>Puskesmas yang telah menginisiasi pelayanan ramah anak adalah puskesmas yang telah memiliki SK sebagai PRAP dari pemerintah daerah. Upaya atau pelayanan kesehatan di  Puskesmas dilakukan berdasarkan  pemenuhan, perlindungan dan penghargaan  atas hak-hak anak sesuai empat prinsip  hak anak yaitu non diskriminasi,  kepentingan terbaik bagi anak, hak untuk  hidup, kelangsungan dan perkembangan  serta penghargaan terhadap pendapat anak</t>
  </si>
  <si>
    <t>Dinas PPPA</t>
  </si>
  <si>
    <t xml:space="preserve">data pembanding berdasarkan laporan dari Dinas PPPA Prov ke KemenPPPA https://bit.ly/datamasterphakp </t>
  </si>
  <si>
    <t>a. &gt;75% puskesmas memiliki SK sebagai PRAP</t>
  </si>
  <si>
    <t>https://drive.google.com/open?id=1lO7dflmARpiWwFHaFm5Q8NUrchlKpC-x</t>
  </si>
  <si>
    <t>b. 25 - 75% puskesmas memiliki SK sebagai PRAP</t>
  </si>
  <si>
    <t>https://drive.google.com/open?id=1SdU6YH1B-SIFRYKp0gwsDo9xgQlaJKs3</t>
  </si>
  <si>
    <t>c. &lt; 25% puskesmas  memiliki SK sebagai PRAP</t>
  </si>
  <si>
    <t>TOTAL NILAI</t>
  </si>
  <si>
    <t>PROSENTASE</t>
  </si>
  <si>
    <t>TATANAN PERMUKIMAN DAN FASILITAS UMUM</t>
  </si>
  <si>
    <t>Nilai Indeks Kualitas Lingkungan Hidup (IKLH)</t>
  </si>
  <si>
    <t>https://drive.google.com/open?id=1bGkNvalrbXlotb0PgaWlpfGdkOCaRW1t</t>
  </si>
  <si>
    <t>Lampiran agar dijadikan satu folder setiap 1 indikator dan menuliskan link bukti dukung berupa link foldernya saja atau seluruh file digabung dalam 1 file</t>
  </si>
  <si>
    <t>PermenLHK Nomor 27 Tahun 2021, yaitu nilai yang menggambarkan kualitas lingkungan hidup dalam suatu wilayah pada waktu tertentu, yang merupakan nilai komposit dari indeks kualitas air, indeks kualitas udara, indeks kualitas lahan dan indeks kualitas air laut.</t>
  </si>
  <si>
    <t xml:space="preserve">Data dari Dinas LH kabupaten/kota tentang laporan perhitungan indeks kualitas lingkungan hidup
</t>
  </si>
  <si>
    <t>Laporan indeks kualitas lingkungan hidup</t>
  </si>
  <si>
    <t>a. 100 - 50</t>
  </si>
  <si>
    <t>https://drive.google.com/open?id=1-rQUoUQoHhWK3dnyTjakg_2vA_8xyxIp</t>
  </si>
  <si>
    <t>b. &lt; 50</t>
  </si>
  <si>
    <t>https://drive.google.com/open?id=1ImNOQfzQSONyNBpTmBb-J48NZ_lGt3Gm</t>
  </si>
  <si>
    <t xml:space="preserve">Akses Air Minum Aman di Kabupaten/Kota </t>
  </si>
  <si>
    <t>https://drive.google.com/open?id=1xRmQuL9k6QJU710LbdX1VYICXDKxlatt</t>
  </si>
  <si>
    <t xml:space="preserve">Sumber air utama yang digunakan rumah tangga untuk minum/masak/ yaitu ledeng/sumur/mata air terlindung/air hujan/keran umum/hidran umum/ terminal umum.  Air minum adalah sumber air utama yang digunakan rumah tangga untuk minum/masak/cuci/mandi/dll, yaitu leding, sumur bor/pompa, sumur terlindung, mata air terlindung, air hujan, kran umum, hidran umum, terminal Air yang jarak ke tempat penampungan limbah/kotoran/tinja lebih dari 10 meter. Sumber air terlindung tidak termasuk sumur tak terlindung, air permukaan, mata air tak terlindung, dan lainnya. (Sumber: Permen PUPR Nomor 29 /PRT/M/2018 tentang SPM).
Akses aman adalah apabila rumah tangga menggunakan sumber air layak, lokasi sumber berada di dalam atau di halaman rumah, tersedia setiap dibutuhkan, dan kualitas sumber air memenuhi syarat kualitas air minum (Metadata SDGs Tujuan 6.1 Pilar Lingkungan)
Setiap kabupaten/kota mencapai target tahunan akses air minum aman sesuai dengan target yang telah ditetapkan dalam RPJMD/ RISPAM di masing-masing daerah
Sesuai Rencana Pembangunan Jangka Menengah Nasional (RPJMN) periode 2020-2024 untuk memastikan layanan air minum layak, aman, dan berkelanjutan bagi semua, pemerintah telah menetapkan target akses air minum layak sebesar 100% termasuk 15% akses aman di tahun 2024.  Serta komitmen Tujuan Pembangunan Berkelanjutan (TPB)/Sustainable Development Goals (SDGs) untuk mencapai akses air minum aman 100% di tahun 2030.
</t>
  </si>
  <si>
    <t xml:space="preserve">Capaian akses air minum sesuai dengan SPM dapat dilihat berdasarkan 4K (kualitas, kontinuitas, ketersediaan dan keterjangkauan)  dapat diakses melalu SICALMERS yang dibuat oleh Kementerian PUPR yang diinput oleh balai di daerah
Capaian akses air minum sesuai SPM Kemendagri dapat diakses melalui E-SPM yang diiput oleh daerah
Uji kualitas air minum dan akses air minum aman dapat diakses meluai E-PKAM/ E-STBM kementerian PUPR yang diinput oleh Dinas Kesehatan di Daerah
</t>
  </si>
  <si>
    <t xml:space="preserve">
Capaiaan Tahunan dari data SUSENAS BPS yang diolah Bappenas (untuk akses layak, perpipaan dan bukan jaringan perpipaan.
Akses Jaringan perpipaan dan Bukan Jaringan perpipaan dapat dilihat capaian melalui SIMSPAM PUPR
Hasil Monotoring STBM pilar 3 dan Pengawasan Kualitas Air Minum (PKAM) oleh kementerian kesehatan yang diinput oleh Dinas Kesehatan
</t>
  </si>
  <si>
    <t>a. Tercapai (Mencapai Target Tahunan Kab/Kota)</t>
  </si>
  <si>
    <t>https://drive.google.com/open?id=146wfbiTD9iPgkJ7ZSWSFlvPH0xkkBe64</t>
  </si>
  <si>
    <t>Dituliskan berapa target sehingga dapat disimpulkan tercapai atau tidak</t>
  </si>
  <si>
    <t>b. Tidak tercapai (Tidak Mencapai Target Tahunan Kab/Kota)</t>
  </si>
  <si>
    <t>https://drive.google.com/open?id=1uTwXj46gWjx9tyNPU7irc9ZyE6fTZBlz</t>
  </si>
  <si>
    <t>Rumah tangga memiliki akses sanitasi aman</t>
  </si>
  <si>
    <t>https://drive.google.com/open?id=1TVxL906HT3oeh_iCUm6MWkhVWZj3iW47</t>
  </si>
  <si>
    <t>Fasilitas air limbah domestik yang dimiliki rumah tangga yang terhubung dengan tangki septik yang kedap dan lumpur tinjanya diolah di IPLT melalui penyedotan minimal setiap 3 tahun sekali per rumah tangga (PP 2/2018 tentang SPM)
Akses Aman adalah apabila rumah tangga memiliki fasilitas sanitasi sendiri, dengan bangunan atas dilengkapi kloset dengan leher angsa, dan bangunan bawahnya menggunakan tangki septik yang disedot setidaknya sekali dalam 5 (lima) tahun terakhir dan diolah dalam instalasi pengolahan lumpur tinja (IPLT), atau tersambung ke sistem pengolahan air limbah domestik terpusat (SPALD-T) (Metadata SDGs Tujuan 6.2 Pilar Lingkungan)
Setiap kabupaten/kota mencapai target tahunan akses air limbah domestik aman sesuai target yang telah ditetapkan dalam RPJMD/SSK di masing-masing daerah
Sesuai Rencana Pembangunan Jangka Menengah Nasional (RPJMN) periode 2020-2024 untuk memastikan layanan air minum layak, aman, dan berkelanjutan bagi semua, pemerintah telah menetapkan target akses air sanitasi layak sebesar 90% termasuk 15% akses aman di tahun 2024.  Serta komitmen Tujuan Pembangunan Berkelanjutan (TPB)/Sustainable Development Goals (SDGs) untuk mencapai 100% Akses Layak dan Pengurangan Setengah Porsi Air Limbah Tidak Terolah di tahun 2030</t>
  </si>
  <si>
    <t>SPM Capaian akses Air Limbah Domestik yang aman, Laporan hasil input Dinas PUTR pada aplikasi SICALMERS yang dibuat oleh Kementerian PUPR</t>
  </si>
  <si>
    <t>Laporan perhitungan SPM capaian akses air limbah domestik aman Kab/Kota, Bukti input data Aplikasi SICALMERS
Capaiaan Tahunan dari data SUSENAS BPS yang diolah Bappenas</t>
  </si>
  <si>
    <t>https://drive.google.com/open?id=1niutG3kqiO9pAXzX8MUgFXpBnjjTOWWI</t>
  </si>
  <si>
    <t>https://drive.google.com/open?id=1h7KAfU18BZ210dJqqaNIoDqLLViituot</t>
  </si>
  <si>
    <t>Tidak ada data sanitasi aman, yang ada adalah sanitasi layak</t>
  </si>
  <si>
    <t>Rumah tangga yang melakukan pengelolaan sampah berupa pengurangan dan penanganan sampah</t>
  </si>
  <si>
    <t>https://drive.google.com/open?id=1tTlFa1ZRhJI1DGrSEmuSql-9qPo4W2YS</t>
  </si>
  <si>
    <t xml:space="preserve">Dapat menambahkan target pengelolaan sampah dalam Renja / Renstra/ RKPD / RPJMD </t>
  </si>
  <si>
    <t>Capaian pengelolaan persampahan di rumah tangga baik dari penanganan maupun pengurangan sampah
Pengurangan sampah rumah tangga dan sampah sejenis rumah tangga dilakukan melalui a) pembatasan timbulan sampah; b) pendauran ulang sampah; c) pemanfaatan kembali sampah.
Penanganan sampah meliputi kegiatan: pemilahan, pengumpulan, pengangkutan, pengolahan dan pemrosesan akhir.
Setiap kabupaten/kota mencapai target tahunan pengelolaan sampah sesuai target yang telah ditetapkan dalam RPJMD/Jakstranas di masing masing daerah</t>
  </si>
  <si>
    <t>Data BPS dan Aplikasi SIPSN (Sistem Informasi Sampah Nasional) Kementerian  LHK
Dokumen Jakstrada kabupaten/kota dan Dokumen Jakstrada Provinsi</t>
  </si>
  <si>
    <t xml:space="preserve">Dokumen Data dan Bukti input data aplikasi SIPSN </t>
  </si>
  <si>
    <t>https://drive.google.com/open?id=1gqQg5cZWkaeS222xoYag64bRmw-7GN8L</t>
  </si>
  <si>
    <t>https://drive.google.com/open?id=10UzandNp0jqzquLh7c2sXhIOe3UXeeEQ</t>
  </si>
  <si>
    <t>Luas kawasan permukiman kumuh kewenangan pemerintah kota/kabupaten yang tertangani (luasan di bawah 10 hektar):</t>
  </si>
  <si>
    <t xml:space="preserve">Definisi operasional:
- Permukiman Kumuh adalah Permukiman yang tidak layak huni karena ketidakteraturan bangunan, tingkat kepadatan bangunan yang tinggi, dan kualitas bangunan serta Sarana dan Prasarana yang tidak memenuhi syarat. 
- Kriteria kekumuhan ditinjau dari bangunan gedung, jalan lingkungan, penyediaan air minum, drainase lingkungan, pengelolaan air limbah, pengelolaan persampahan; dan proteksi kebakaran.
- Klasifikasi kondisi kekumuhan:
   a. ringan;
   b. sedang; dan
   c. berat.
(Sumber: Peraturan Menteri PUPR no 14/PRT/M/2018 tentang Pencegahan dan Peningkatan Kualitas Terhadap Perumahan Kumuh dan Permukiman Kumuh)
- Keterangan penilaian:
   a. Nilai 100: apabila terjadi pengurangan luasan kawasan kumuhnya meskipun masih dalam klasifikasi kondisi kekumuhan yang sama dengan klasifikasi sebelumnya.
   b. Nilai 0: apabila tidak terjadi pengurangan luasan sama sekali, bahkan terjadi peningkatan luasan kumuh.
</t>
  </si>
  <si>
    <t xml:space="preserve">SK Kumuh ditetapkan oleh Bupati/Walikota muncul kawasan kumuh (ringan, sedang, berat). </t>
  </si>
  <si>
    <t>1. Data awal dari SK kumuh Kab/kota.
2. Capaiannya dilihat dari LKj atau dokumen resmi lainnya yg mencantumkan capaian penanganan kawasan kumuh Kab/kota.</t>
  </si>
  <si>
    <t>a. Terjadi penurunan luasan kumuh</t>
  </si>
  <si>
    <t xml:space="preserve">
b. Tidak terjadi penurunan luasan kumuh, bahkan meningkat</t>
  </si>
  <si>
    <t>Tidak ada bukti pendukung</t>
  </si>
  <si>
    <t xml:space="preserve">Persentase rumah ibadat yang menerapkan Kawasan Tanpa Rokok (KTR) </t>
  </si>
  <si>
    <t>https://drive.google.com/open?id=1-OVkQBHLjmiJv7LANkMQeml1YIVy5PtH</t>
  </si>
  <si>
    <t>lengkapi bukti dengan narasi dan dokumen yang di sesuai</t>
  </si>
  <si>
    <t xml:space="preserve"> Persentase rumah ibadat di suatu kabupaten/kota yang menerapkan KTR </t>
  </si>
  <si>
    <t xml:space="preserve">Dashboard E-KTR 
Surat Pernyataan yang ditandatangani oleh Bupati yang menyatakan Rumah Ibadat menerapkan KTR
JDIH (Jaringan Dokumentasi Informasi Hukum)
 </t>
  </si>
  <si>
    <t>Laporan Kabupaten/Kota dalam 
Implementasi KTR di Kab/Kota</t>
  </si>
  <si>
    <t xml:space="preserve">a.  ≥ 71% </t>
  </si>
  <si>
    <t xml:space="preserve">d. &lt; 71% </t>
  </si>
  <si>
    <t xml:space="preserve">Persentase taman bermain yang menerapkan Kawasan Tanpa Rokok (KTR) </t>
  </si>
  <si>
    <t xml:space="preserve">Ruang Bermain Ramah Anak definisinya adalah tempat atau wahana yang disediakan agar anak dapat melakukan kegiatan bersenag-senang, bersantai, berekreasi sesuai dengan bakat,minat, dan tingkat kecerdasannya demi pengembangan diri
</t>
  </si>
  <si>
    <t xml:space="preserve">Satgas KTR Kabupaten/Kota </t>
  </si>
  <si>
    <t>Dinas PU, Dinas PPA, Dinas Pariwisata, 
Dinas Lingkungan Hidup, Dinas Perhubungan
Dinas Pendidikan</t>
  </si>
  <si>
    <t>https://drive.google.com/open?id=1HzeDKroV1otIUqXkOTVkPTLkZqxFqp5Q</t>
  </si>
  <si>
    <t>Akses terhadap air minum yang layak melalui Sistem Penyediaan Air Minum (SPAM) jaringan perpipaan dan non perpipaan</t>
  </si>
  <si>
    <t>https://drive.google.com/open?id=1BhBafmFg2a6XTqQiZj8cwCBEX8rYAka7</t>
  </si>
  <si>
    <t>- Air minum yang berkualitas (layak) adalah air minum yang terlindung meliputi air ledeng (keran), keran umum, hydrant umum, terminal air, penampungan air hujan (PAH) atau mata air dan sumur terlindung, sumur bor atau sumur pompa, yang jaraknya minimal 10 m dari pembuangan kotoran, penampungan limbah dan pembuangan sampah. Tidak termasuk air kemasan, air dari penjual keliling, air yang dijual melalui tanki, air sumur dan mata air tidak terlindung. Proporsi rumah tangga dengan akses berkelanjutan terhadap air minum layak adalah perbandingan antara rumah tangga dengan akses terhadap sumber air minum berkualitas (layak) dengan rumah tangga seluruhnya, dinyatakan dalam persentase. (BPS)
- SPAM Jaringan Perpipaan adalah satu kesatuan sarana dan prasarana penyediaan air minum yang disalurkan kepada pelanggan melalui sistem perpipaan.
- SPAM Bukan Jaringan Perpipaan adalah satu kesatuan sarana prasarana penyediaan air minum yang disalurkan atau diakses pelanggan tanpa sistem perpipaan. (Permen PUPR No 27 Tahun 2016 tentang Penyelenggaraan SPAM)</t>
  </si>
  <si>
    <t>SIMSPAM Direktorat Air Minum (airminum.ciptakarya.pu.go.id), Data diinput oleh Dinas pengampu Air Minum di Kab/Kota</t>
  </si>
  <si>
    <t>Laporan data sambungan rumah/jiwa (JP)  dan data jumlah KK/Jiwa layanan BJP</t>
  </si>
  <si>
    <t xml:space="preserve">a. Tercapai </t>
  </si>
  <si>
    <t>https://drive.google.com/open?id=1OnHDyUsoMhN567fTy37v3Nz6gZgIufzM</t>
  </si>
  <si>
    <t>Sudah Sesuai</t>
  </si>
  <si>
    <t xml:space="preserve">b. Tidak Tercapai </t>
  </si>
  <si>
    <t>https://drive.google.com/open?id=1yOvy0njYq8Sz0_I1sR2R-EpW1RtACXzr</t>
  </si>
  <si>
    <t xml:space="preserve">Persentase Tempat Fasilitas Umum (TFU) yang dilakukan inspeksi kesehatan lingkungan </t>
  </si>
  <si>
    <t>Jumlah rumah ibadat di Kabupaten/Kota yang dilakukan Inspeksi Kesehatan Lingkungan (IKL)</t>
  </si>
  <si>
    <t>Dinas Kesehatan</t>
  </si>
  <si>
    <t>a. &gt;80%</t>
  </si>
  <si>
    <t>https://drive.google.com/open?id=1z1BTSC0q1qfawQkPiJfA-XM4rHlHsE4N</t>
  </si>
  <si>
    <t>b. 39%-79%</t>
  </si>
  <si>
    <t>https://drive.google.com/open?id=1CB6_TF-kwldSYk2bwTJe8MD0AiFbVyCE</t>
  </si>
  <si>
    <t>c. &lt;39%</t>
  </si>
  <si>
    <t xml:space="preserve">Adanya implementasi program langit biru </t>
  </si>
  <si>
    <t>https://drive.google.com/open?id=1G6sNUr-2x3A9CRQ_d1Q4N5F_Whn28gva</t>
  </si>
  <si>
    <t>Terlaksana, agar menambahkan peraturan perundang-undangan yang terkait dengan pengendalian pencemaran udara, seperti SE atau Perbup tentang pelaksanaan hari beebas kendaraan bermotor, SE atau Perbup tentang uji emisi kendaraan bermotor, tentang pemantauan kualitas udara, dll</t>
  </si>
  <si>
    <t>Perda/Perwali/SE Kepala Daerah
Baku Mutu Uji Emisi, Melakukan pemantauan udara ambien, 
Program Langit Biru adalah program pengendalian pencemaran udara dari sumber bergerak dan tidak bergerak (Kepmenlh Nomor 15 tahun 1996 tentang Program Langit Biru)</t>
  </si>
  <si>
    <t>Dinas LH</t>
  </si>
  <si>
    <t>Dinas LH terkait Program langit Biru dan Indeks Repon</t>
  </si>
  <si>
    <t>a. Ada, diatur melalui Perda</t>
  </si>
  <si>
    <t>https://drive.google.com/open?id=1YbKArd4OOt5lPFdkuVxqF9WpwJ86BcW3</t>
  </si>
  <si>
    <t>b. Ada, diatur melalui Perkada</t>
  </si>
  <si>
    <t>https://drive.google.com/open?id=1NjE_oOf3hbp2LC1sG8RYjx8QCWXLgE_Y</t>
  </si>
  <si>
    <t>c. Ada, diatur melalui SE Kepala Daerah</t>
  </si>
  <si>
    <t>d. Tidak ada</t>
  </si>
  <si>
    <r>
      <rPr>
        <rFont val="Arial Narrow"/>
        <color theme="1"/>
        <sz val="12.0"/>
      </rPr>
      <t xml:space="preserve">Pelaksanaan </t>
    </r>
    <r>
      <rPr>
        <rFont val="Arial Narrow"/>
        <i/>
        <color theme="1"/>
        <sz val="12.0"/>
      </rPr>
      <t>car free day</t>
    </r>
    <r>
      <rPr>
        <rFont val="Arial Narrow"/>
        <color theme="1"/>
        <sz val="12.0"/>
      </rPr>
      <t xml:space="preserve"> </t>
    </r>
  </si>
  <si>
    <t>Agar menambahkan keterangan waktu pada setiap dokumentasi yang dilampirkan dan menambahkan dokumentasi pelaksanaan tahun 2023
Agar menambahkan dasar pelaksanaan car free day di Kab. Sumenep</t>
  </si>
  <si>
    <t>Perda/Perkada/Perwali, Car Free Day adalah hari bebas kendaraan bermotor</t>
  </si>
  <si>
    <t>DLH Kabupaten Kota / provinsi</t>
  </si>
  <si>
    <t>Laporan pelaksanaan Car Free Day</t>
  </si>
  <si>
    <t xml:space="preserve">a. Pelaksanaan rutin </t>
  </si>
  <si>
    <t>https://drive.google.com/open?id=19aGuLQPNyX03pmWkvyGGda69zNdoAMwR</t>
  </si>
  <si>
    <t>b. Tidak rutin dilaksanakan</t>
  </si>
  <si>
    <t>https://drive.google.com/open?id=1qHqVGQCTvzzcc80zjfW-jed_g8TAwTjd</t>
  </si>
  <si>
    <t xml:space="preserve">c. Tidak ada CFD </t>
  </si>
  <si>
    <t xml:space="preserve">Peningkatan pengelolaan sungai dan keterlibatan masyarakat melalui Program Kali Bersih (PROKASIH)
 </t>
  </si>
  <si>
    <t>https://drive.google.com/open?id=1IzI0YyS0YGZ7xrGEWhcL707gQrpVrGhY</t>
  </si>
  <si>
    <t>Agar menambahkan keterangan pada dokumentasi foto berupa nama kegiatan dan waktu pelaksanaan 
Menambahkan dokumentasi keterlibatan masyarakat dalam melakasanakan PROKASIH
Menambahkan regulasi mengenai pengendalian pencemaran air atau yg terkait dengan PROKASIH</t>
  </si>
  <si>
    <t xml:space="preserve">Perda/Perkada/SE Kepala Daerah yang diterbitkan oleh Pemerintah daerah terkait pengelolaan sungai. Program Kali Bersih disingkat dengan PROKASIH adalah program kerja pengendalian pencemaran air sungai dengan tujuan untuk meningkatkan  kualitas air sungai agar tetap berfungsi sesuai dengan peruntukannya ( KEPUTUSAN MENTERI NEGARA LINGKUNGAN HIDUP NO. 35 TAHUN 1995 TENTANG PROGRAM KALI BERSIH)
</t>
  </si>
  <si>
    <t>DLH/PUPR</t>
  </si>
  <si>
    <t>Nilai Indeks Respon Prokasih</t>
  </si>
  <si>
    <t xml:space="preserve">a. Adanya regulasi/kebijakan dan keterlibatan masyarakat </t>
  </si>
  <si>
    <t>https://drive.google.com/open?id=1WuNNN0lHM0FJlw0e39U73HPsTE_fsFPZ</t>
  </si>
  <si>
    <t>b. Ada, hanya regulasi/kebijakan atau keterlibatan masyarakat</t>
  </si>
  <si>
    <t>https://drive.google.com/open?id=1KQZQPwYmjQ94q0yxM_Os44zVbOGwe6ws</t>
  </si>
  <si>
    <t>c. Tidak ada</t>
  </si>
  <si>
    <t>Adanya Tim Koordinasi yang menangani Pengelolaan Sumber Daya Air di tingkat Kabupaten/Kota</t>
  </si>
  <si>
    <t>PP 22 Tahun2021 tentang Penyelenggaraan perlindungan dan pengelolaan LH</t>
  </si>
  <si>
    <t>DLH/ PUPR</t>
  </si>
  <si>
    <t xml:space="preserve">SK Tim </t>
  </si>
  <si>
    <t xml:space="preserve">a. Ada dan Aktif, Rencana Kerjanya terimplementasi </t>
  </si>
  <si>
    <t xml:space="preserve">b. Ada  dan Aktif namun Rencana Kerjanya terimplementasi </t>
  </si>
  <si>
    <t>https://drive.google.com/open?id=12AsP76wTNU_4wCpAo4kFXdqa9AdOGrIi</t>
  </si>
  <si>
    <t>e. Masyarakat tidak terlibat dalam  pengelolaan sungai</t>
  </si>
  <si>
    <t>Adanya Penyelenggara SPAM (BUMD/UPTD/BUMDES/POKMAS/BUKS/Swasta)
 dan memiliki dokumen RISPAM</t>
  </si>
  <si>
    <t>https://drive.google.com/open?id=1AaDdIU9fWWCWo-VYgBEAV_v6RRbAfPqS</t>
  </si>
  <si>
    <t>- Penyelenggaraan SPAM adalah serangkaian kegiatan dalam melaksanakan pengembangan dan pengelolaan sarana dan prasarana yang mengikuti proses dasar manajemen untuk penyediaan Air Minum kepada masyarakat,
- Rencana Induk Sistem Penyediaan Air Minum (RISPAM) adalah Dokumen perencanaan Air Minum jaringan perpipaan dan perencanaan Air Minum bukan jaringan perpipaan 
berdasarkan proyeksi kebutuhan Air Minum pada satu  periode yang dibagi dalam beberapa tahapan dan memuat komponen utama sistem beserta dimensi - dimensinya. 
(PP 122 Tahun 2015 tentang SPAM)</t>
  </si>
  <si>
    <t xml:space="preserve">Adanya penyelenggaraan SPAM: dibuktikan dengan a) SK Kepala Daerah tentang Struktur Organisasi dan Penugasan personil; b) Anggaran biaya OP yang tercantum dalam DIPDA
Dokumen RISPAM 
</t>
  </si>
  <si>
    <r>
      <rPr>
        <rFont val="Arial Narrow"/>
        <color theme="1"/>
        <sz val="12.0"/>
      </rPr>
      <t xml:space="preserve">
</t>
    </r>
    <r>
      <rPr>
        <rFont val="Arial Narrow"/>
        <color theme="1"/>
        <sz val="12.0"/>
      </rPr>
      <t>a. Ada dan dilengkapi dokumen RISPAM yang ditetapkan oleh kepala daerah</t>
    </r>
    <r>
      <rPr>
        <rFont val="Arial Narrow"/>
        <b/>
        <color theme="1"/>
        <sz val="12.0"/>
      </rPr>
      <t xml:space="preserve"> </t>
    </r>
  </si>
  <si>
    <t>https://drive.google.com/open?id=1-6FkYZ0UJNFidaooxXFJb29LQGUI2FVQ</t>
  </si>
  <si>
    <r>
      <rPr>
        <rFont val="Arial Narrow"/>
        <color theme="1"/>
        <sz val="12.0"/>
      </rPr>
      <t xml:space="preserve">
</t>
    </r>
    <r>
      <rPr>
        <rFont val="Arial Narrow"/>
        <color theme="1"/>
        <sz val="12.0"/>
      </rPr>
      <t xml:space="preserve">b. Ada penyelenggara SPAM namun tidak dilengkapi dokumen RISPAM atau ada dokumen namun disediakan oleh Kab/Kota lain </t>
    </r>
    <r>
      <rPr>
        <rFont val="Arial Narrow"/>
        <b/>
        <color theme="1"/>
        <sz val="12.0"/>
      </rPr>
      <t xml:space="preserve"> </t>
    </r>
  </si>
  <si>
    <t xml:space="preserve">c. Belum memiliki </t>
  </si>
  <si>
    <t>Adanya regulasi/kebijakan terkait Air Limbah Domestik (ALD) (Perda dan/atau Perkada terkait Pengelolaan ALD ) dan  Dokumen Perencanaan Sistem Pengelolaan ALD (Strategi Sanitasi Perkotaan dan/atau Rencana Induk Sistem Pengelolaan ALD)</t>
  </si>
  <si>
    <t>https://drive.google.com/open?id=1K_6n9FvW6_vUUU_iQ1DaxWr4n6gKlFib</t>
  </si>
  <si>
    <t>Regulasi/Kebijakan terkait Air Limbah Domestik bertujuan untuk mengendalikan serta memudahkan terciptanya ketertiban di dalam pengelolaan Air Limbah Domestik di seluruh lapisan masyarakat.</t>
  </si>
  <si>
    <t>Jaringan Dokumentasi dan Informasi Hukum (JDIH) Kab/Kota</t>
  </si>
  <si>
    <t>Dokumen Regulasi/Kebijakan terkait pengolahan Air Limbah Domestik di Kab/Kota</t>
  </si>
  <si>
    <t xml:space="preserve">a. Adanya regulasi/kebijakan dan dokumen perencanaan </t>
  </si>
  <si>
    <t>https://drive.google.com/open?id=1n-XHzn6dTBHR6uCzzue0z5A7ru0Oj83Z</t>
  </si>
  <si>
    <t xml:space="preserve">b. Ada, hanya regulasi/kebijakan atau dokumen perencanaan </t>
  </si>
  <si>
    <t>Adanya Pemisahan Peran Operator dan Regulator dalam Kelembagaan Pengelola Persampahan</t>
  </si>
  <si>
    <t>https://drive.google.com/open?id=1YvyvO9Ih1l7OsBLsLDUAkeC50bcVlgGj</t>
  </si>
  <si>
    <t>Agar menambahkan bukti beroperasinya IPL di TPA bisa dengan ceklis pemantauan harian atau bukti lainnya yang dilegalkan oleh kepala UPT atau Kepala PD</t>
  </si>
  <si>
    <t>Pemisahan peran operator dan regulator dalam kelembagaan pengelola persampahan bertujuan untuk mengoptimalkan pelayanan pengelolaan sampah kepada masyarakat, dimana dilakukan pemisahan kewenangan antara pemerintah sebagai regulator dan pengawas dengan badan/unit sebagai penyelenggara. Hal ini sudah diatur dalam Peraturan Pemerintah No. 16 Tahun 2005</t>
  </si>
  <si>
    <t>Dokumen Perkada terkait pembentukan kelembagaan pengelola Persampahan</t>
  </si>
  <si>
    <t>a. Ada  (Pengelola ALD adalah UPTD/BLUD/BUMD) dan beroperasi</t>
  </si>
  <si>
    <t>https://drive.google.com/open?id=1WEsvQNCWrbEE1OlMgNfs8uFJI3p2xUOx</t>
  </si>
  <si>
    <t>b. Pengelola Persampahan adalah Dinas dan beroperasi</t>
  </si>
  <si>
    <t>https://drive.google.com/open?id=1fDEzeH4LsnPhORUlJHeKDwuCzGGNXU_S</t>
  </si>
  <si>
    <t>c. Ada tetapi tidak beroperasi</t>
  </si>
  <si>
    <t>d. Tidak terdapat tusi pengelolaan persampahan pada OPD</t>
  </si>
  <si>
    <t>Terdapat Instalasi Pengolahan Lumpur Tinja (IPLT), dengan layanan penyedotan lumpur tinja serta truk tinja yang beroperasi</t>
  </si>
  <si>
    <t>https://drive.google.com/open?id=1YUkUtc1pZSdFq9vJ4s-PXY6wdaw5sv3W</t>
  </si>
  <si>
    <t>Layanan penyedotan lumpur tinja adalah layanan penyedotan lumpur tinja dari sub-sistem pengolahan setempat (tangki septik) oleh operator pengelola air limbah domestik (UPTD/BLUD maupun Badan Usaha). Instalasi Pengolahan Lumpur Tinja (IPLT) adalah Instalasi pengolahan air limbah domestik yang dirancang hanya menerima dan mengolah lumpur tinja yang berasal dari Sub Sistem Pengolahan Setempat. Truk tinja beroperasi dan masuk ke IPLT menunjukkan bahwa truk tinja difungsikan untuk menyedot lumpur tinja dari sub-sistem pengolahan setempat (tangki septik), kemudian lumpur tinja tersebut diangkut dan diolah di IPLT sehingga aman untuk dibuang ke badan air permukaan.</t>
  </si>
  <si>
    <t>Uji Lapangan atau Dinas yang memiliki tugas dan wewenang dalam penyelenggaraan ALD</t>
  </si>
  <si>
    <t>Dokumentasi dan laporan kegiatan penyedotan dan pengangkitan lumpur tinja dari operator pengelola limbah domestik, data keberfungsian IPLT</t>
  </si>
  <si>
    <t>a. Adanya layanan penyedotan, truk tinja yang beroperasi dan instalasi IPLT</t>
  </si>
  <si>
    <t>https://drive.google.com/open?id=13Z5cEUAAP7PBIBVFDmy_hGHGAQ-d_IT5</t>
  </si>
  <si>
    <t>b. Adanya layanan penyedotan dan truk tinja yang beroperasi</t>
  </si>
  <si>
    <t>https://drive.google.com/open?id=1UhcPwF3taIAT8Kf-QXZvgmzztYmiprRo</t>
  </si>
  <si>
    <t>c. Tidak ada layanan</t>
  </si>
  <si>
    <t xml:space="preserve">Terdapat instalasi pengolahan air limbah domestik (IPALD) serta tersambung ke rumah tangga </t>
  </si>
  <si>
    <t>Instalasi Pengolahan Air Limbah Domestik (IPALD) adalah bangunan air yang
berfungsi untuk mengolah air limbah domestik. IPALD merupakan bagian dari Sistem Pengelolaan Air Limbah Domestik Terpusat (SPALD-T). SPALD-T
adalah sistem pengelolaan yang dilakukan dengan mengalirkan air limbah domestik dari sumber secara kolektif ke Sub-sistem Pengolahan Terpusat untuk diolah sebelum dibuang ke badan air permukaaan.</t>
  </si>
  <si>
    <t>Dokumentasi IPALD dan Data keberfungsian IPALD</t>
  </si>
  <si>
    <t>a. Tersedia dengan idle capacity &lt;50%</t>
  </si>
  <si>
    <t>https://drive.google.com/open?id=1WStdRmqWV70FM8bg29PQsfYjroJtP1wu</t>
  </si>
  <si>
    <t>b. Tersedia dengan idle capacity 50-85%</t>
  </si>
  <si>
    <t>c. Tersedia dengan idle capacity &gt;85%</t>
  </si>
  <si>
    <t>d. Tidak tersedia IPALD</t>
  </si>
  <si>
    <t>Adanya regulasi/kebijakan terkait persampahan (Perda atau Perkada) dan Dokumen Perencanaan Sistem Pengelolaan Sampah (Strategi Sanitasi Kabupaten/Kota dan/atau Rencana Induk Sistem Pengelolaan Sampah)</t>
  </si>
  <si>
    <t>Jika ada dokumen perencanaan berupa Strategi Sanitasi Kabupaten atau Rencana Induk / Masterplan agar ditambahkan</t>
  </si>
  <si>
    <t>Peraturan/Regulasi terkait persampahan bertujuan untuk mengendalikan serta memudahkan terciptanya ketertiban di dalam pengolahan persampahan di seluruh lapisan masyarakat.</t>
  </si>
  <si>
    <t>Jaringan Dokumentasi dan Informasi Hukum (JDIH) Kab/Kota, Dinas LH</t>
  </si>
  <si>
    <t>Dokumen Regulasi/Kebijakan terkait pengelolaan persampahan di Kab/Kota</t>
  </si>
  <si>
    <t>https://drive.google.com/open?id=1xFwNI4CWBL5d8K_TP6RLQcBTo2biR-pj</t>
  </si>
  <si>
    <t>https://drive.google.com/open?id=1K9pHNjjTtcT0CpLxHdSN64vrloPBGOgd</t>
  </si>
  <si>
    <t>Adanya  pelaksanaan pemilahan sampah oleh kelompok masyarakat dan program pengelolaan sampah tingkat desa yang meliputi pemrosesan awal di tingkat rumah tangga sebelum diangkut ke TPS, adanya upaya pengolahan sampah organik menjadi kompos, memfungsikan TPS menjadi tempat daur ulang sampah rumah tangga, dan pengangkutan sampah dari TPS ke TPA secara rutin</t>
  </si>
  <si>
    <t>https://drive.google.com/open?id=13gBtWrByU70bxeYJZjyNnGVZiygll_jX</t>
  </si>
  <si>
    <t>Agar menambahkan daftar desa/kelurahan di seluruh Kab. Sumenep sebagai pembagi untuk mendapatkan angka persentase</t>
  </si>
  <si>
    <t>Pelaksanaan pemilahan sampah oleh kelompok masyarakat adalah kegiatan mengelompokkan dan memisahkan sampah sesuai dengan jenis, jumlah dan/atau sifat sampah yang dilakukan secara bersama-sama dalam kelompok masyarakat di tingkat desa/kelurahan.
Program pengelolaan sampah tingkat desa adalah kegiatan pengelolaan sampah yang meliputi:  pemrosesan awal di tingkat rumah tangga sebelum diangkut ke TPS (berupa pemilahan sampah di rumah dan menerapkan Reduce, Reuse, Recycle), adanya upaya pengolahan sampah organik menjadi kompos, memfungsikan TPS sebagai tempat daur ulang sampah rumah tangga dan pengangkutan sampah dari TPS ke TPA Sampah secara rutin, dimana hanya sampah residu yang dibawa ke TPA sampah.</t>
  </si>
  <si>
    <t>Data dari dokumen perencanaan Dinas LH (apakah terdapat program pengolahan sampah tingkat desa)</t>
  </si>
  <si>
    <t>Laporan pelaksanaan program dan dokumentasinya. Jumlah Desa/Kelurahan yang sudah melaksanakan pengelolaan sampah 3R tingkat desa dibandingkan dengan jumlah desa/kelurahan di kab/kota tersebut dan dihitung dalam persentase
SIPSN KLHK,  Susenas MKP BPS per 3 tahunan ini untuk pengurangan dan penanganan</t>
  </si>
  <si>
    <t>a. &gt; 80% desa/kelurahan</t>
  </si>
  <si>
    <t>https://drive.google.com/open?id=1VGFD6HYifj9xvoztFkvdQcHq9AXB84nA</t>
  </si>
  <si>
    <t>b. 50 - 80% desa/kelurahan</t>
  </si>
  <si>
    <t>https://drive.google.com/open?id=1fE0xTMVjqt_rjUes1vdrK2hlVcYmJwod</t>
  </si>
  <si>
    <t xml:space="preserve">c. &lt; 50% desa/kelurahan </t>
  </si>
  <si>
    <t>d. Tidak dilakukan pengelolaan sampah</t>
  </si>
  <si>
    <t>Persentase infrastruktur pengolahan sampah berbasis masyarakat (TPS 3R dan/atau bank sampah) terbangun serta sarana pengangkutan sampah sesuai standar dan beroperasi</t>
  </si>
  <si>
    <t>https://drive.google.com/open?id=110BGBM4fClO1qcCuwMfu-Eje_txWG7Xl</t>
  </si>
  <si>
    <t>Agar menambahkan rekap perhitungan presentase TPS 3R 
Agar menambahkan daftar sarana pengangkutan sampah dengan keterangan beroperasi atau tidak serta dokumentasinya</t>
  </si>
  <si>
    <t xml:space="preserve">Persentase Infrastruktur pengolahan sampah berbasis masyarakat (TPS 3R dan/atau bank sampah) dan sarana/armada pengangkutan sampah adalah jumlah TPS 3R dan/atau Bank Sampah yang beroperasi/berfungsi dengan baik dan jumlah sarana/armada yang sesuai standar serta dalam kondisi layak pakai dan beroperasi </t>
  </si>
  <si>
    <t>Perangkat daerah yang menangani urusan yang terkait persampahan (PUPR/KLHK)</t>
  </si>
  <si>
    <t>Laporan jumlah TPS 3R dan/atau bank sampah yang beroperasi. Laporan Jumlah sarana pengangkut sampah sesuai standar &amp; beroperasi, SIPSN KLHK,  Susenas MKP BPS per 3 tahunan ini untuk pengurangan dan penanganan</t>
  </si>
  <si>
    <t>a. &gt; 70% infrastruktur pengolahan sampah serta sarana pengangkutan sampah sesuai standar beroperasi</t>
  </si>
  <si>
    <t>https://drive.google.com/open?id=1NwG__P2OWP_R25FjJlXPY18tgz_nQ9OW</t>
  </si>
  <si>
    <t>b. 30% ≤ x ≤ 70% infrastruktur pengolahan sampah serta sarana pengangkutan sampah sesuai standar beroperasi</t>
  </si>
  <si>
    <t>https://drive.google.com/open?id=138hL52xOObVRklAPTEQtkSQM1XkDMDBq</t>
  </si>
  <si>
    <t>c. &lt; 30% infrastruktur pengolahan sampah serta sarana pengangkutan sampah sesuai standar beroperasi</t>
  </si>
  <si>
    <t>d. Tidak beroperasi</t>
  </si>
  <si>
    <t>Adanya penutupan sampah secara berkala dan tempat pemrosesan akhir  sampah (TPA) dilengkapi dengan Instalasi Pengolahan Lindi (IPL) di TPA</t>
  </si>
  <si>
    <t>https://drive.google.com/open?id=1L2V4Rq_ZgxOERpF6CQCtOT7OkwtVha7b</t>
  </si>
  <si>
    <t>Agar menambahkan dokumentasi penutupan sampah dengan keterangan lokasi dan waktu
Agar menambahkan foto IPL dan bukti pemantauan operasional IPL</t>
  </si>
  <si>
    <t xml:space="preserve">Penutupan sampah secara berkala adalah pengolahan sampah di TPA  dengan melakukan penanganan sampah yang masuk setiap hari, setelah dilakukan pemadatan kemudian dilakukan penutupan sampah dengan tanah secara berkala.
Keberadaan Tempat Pemrosesan Akhir (TPA) Sampah adalah terdapatnya Infrastruktur TPA Sampah dalam kondisi baik dan berfungsi/beroperasi dalam pengolahan sampah setiap hari. Keberadaan dan keberfungsian Instalasi Pengolahan Lindi (IPL) di TPA Sampah adalah tersedianya jaringan pipa pengumpul cairan lindi pada infrastrukutr TPA serta infrastrukutr IPL yang berfungsi mengolah cairan lindi yang dihasilkan oleh sampah sehingga memenuhi baku mutu yang aman sebelum dibuang ke badan air permukaan. </t>
  </si>
  <si>
    <t>Data dari UPTD Persampahan/Operator/ Dinas/ operator pengelola persampahan</t>
  </si>
  <si>
    <t>Laporan Jumlah Ritasi truk sampah yang masuk ke TPS, Laporan keberfungsian IPL di TPA
SIPSN KLHK,  Susenas MKP BPS per 3 tahunan ini untuk pengurangan dan penanganan</t>
  </si>
  <si>
    <t>a. Ada dan dilengkapi Instalasi Pengolahan Lindi (IPL), beroperasi setiap hari</t>
  </si>
  <si>
    <t>https://drive.google.com/open?id=1euwemFaQb3dIBbMtlUbn2fVlb_AbPDdv</t>
  </si>
  <si>
    <t>b. Ada namun tidak dilengkapi Instalasi Pengolahan Lindi (IPL), beroperasi tidak setiap hari</t>
  </si>
  <si>
    <t>https://drive.google.com/open?id=1qY6Lzk5Qe-F_WxE6UIRRd_s5pxf-iw_L</t>
  </si>
  <si>
    <t xml:space="preserve">c. Ada, hanya ditutup atau diproses </t>
  </si>
  <si>
    <t>Persentase korban kebakaran atau terdampak kebakaran yang mendapatkan pelayanan  penyelamatan dan evakuasi kebakaran</t>
  </si>
  <si>
    <t>https://drive.google.com/open?id=12ysAPTLd7k2TpuuwGH5njn7chruio9Ra</t>
  </si>
  <si>
    <t xml:space="preserve">Jumlah warga negara yang menjadi korban kebakaran atau terdampak kebakaran yang mendapatkan layanan penyelamatan serta evakuasi sesuai standar. </t>
  </si>
  <si>
    <t>Dinas Damkar</t>
  </si>
  <si>
    <t>https://drive.google.com/open?id=1YBIr-xZeIUTrfWowy1J4stkn-ghcBgTT</t>
  </si>
  <si>
    <t xml:space="preserve">b. 90% - 50% </t>
  </si>
  <si>
    <t>https://drive.google.com/open?id=1WYTeHDTrUOZxOqL622JGhU7yfgGMthFE</t>
  </si>
  <si>
    <t xml:space="preserve">c. &lt; 50% </t>
  </si>
  <si>
    <t>d.Tidak ada</t>
  </si>
  <si>
    <t xml:space="preserve">Keberadaan fasilitas dan sarana di kawasan pertamanan yang ramah anak, ramah lansia dan ramah difable </t>
  </si>
  <si>
    <t>Tersedianya fasilitas dan sarana di kawasan pertamanan yang ramah anak, ramah lansia dan ramah difable di Kabupaten/Kota</t>
  </si>
  <si>
    <t>Dinas Perkim/PUPR/Dinas Pertamanan
SIPSN KLHK</t>
  </si>
  <si>
    <t>Dinas Perkim/PUPR/Dinas Pertamanan</t>
  </si>
  <si>
    <t>a.Ya, tersedia lengkap dan terpelihara</t>
  </si>
  <si>
    <t>https://drive.google.com/open?id=1gzUR9hEyD2kbXVIvYc0nHPlONLbFleFZ</t>
  </si>
  <si>
    <t>b.Ya, tersedia sebagian dan terpelihara</t>
  </si>
  <si>
    <t>https://drive.google.com/open?id=1g5La_6rsZKR8gpWQ4DIFBIfHFPkIDXHO</t>
  </si>
  <si>
    <t>c. Ya, tersedia tidak terpelihara</t>
  </si>
  <si>
    <t>https://drive.google.com/open?id=1Msa4pWfd8tsQsz1zQjfRLOKqsuuDfnUS</t>
  </si>
  <si>
    <t>d. Tidak tersedia</t>
  </si>
  <si>
    <t>https://drive.google.com/open?id=1gxnKPJk9JR0W0gksnvMtti_aM1wdzY8s</t>
  </si>
  <si>
    <t>Implementasi ketersediaan/akses tempat pengumpulan limbah B3 yang memenuhi syarat di tingkat Kabupaten/Kota</t>
  </si>
  <si>
    <t>Dapat dilampirkan TPS B3 di puskesmas / rumah sakit</t>
  </si>
  <si>
    <t>- Mengacu pada UU 11 Tahun 2020: pengelolaan limbah B3 wajib mendapat perizinan berusaha, atau persetujuan pemerintah pusat dan pemerintah daerah.
- Mengacu pada PermenLHK Nomor 22 Tahun 2021:
Limbah Bahan Berbahaya dan Beracun yang selanjutnya disebut Limbah 83 adalah sisa suatu usaha dan/atau kegiatan yang rnengandung B3. 
Rezim pengelolaan limbah B3 adalah perizinan berusaha, bukan kewenangan perangkat daerah untuk melaksanakan. Sehingga kurang pas dijadikan indikator kinerja pemda</t>
  </si>
  <si>
    <t>a. Tersedianya akses terhadap depo/tempat pengumpulan limbah B3 
dan ]</t>
  </si>
  <si>
    <t xml:space="preserve">b. Ada, hanya regulasi/kebijakan atau depo/tempat pengumpulan
 limbah B3 sebagian berfungsi </t>
  </si>
  <si>
    <t>c. Ada, hanya regulasi/kebijakan atau depo/tempat pengumpulan
 limbah B3 berfungsi sebagian</t>
  </si>
  <si>
    <t xml:space="preserve">Akses rumah tangga yang memenuhi kriteria rumah layak huni </t>
  </si>
  <si>
    <t>https://drive.google.com/open?id=1rN5gSsgNCbPWp5q_IywwH1P56DKwC_S2</t>
  </si>
  <si>
    <t>kriteria rumah layak huni mengacu pada Kepmenkimpraswil 403/2002, UU Nomor 28 Tahun 2002, Permen PUPR nomor 5 Tahun 2016 dan kriteria menurut SDG's . Menurut penjelasan pasal 24 UU Nomor 1 Tahun 2011 rumah layak huni adalah rumah yang memenuhi presyaratan keselamatan bangunan dan persyaratan minimum luas bangunan serta kesehatan penghuni. Dalam rangka kesehatan penghuni, rumah perlu dilengkapi dengan indikator pencahayaan 10% dari luas lantai dan penghawaan 5% dari luas lantai</t>
  </si>
  <si>
    <t>dinas perumahan dan kawasan permukiman</t>
  </si>
  <si>
    <t>LAKIP, RPJMD, RP3KP</t>
  </si>
  <si>
    <t xml:space="preserve">a. Terjadi peningkatan persentase rumah layak huni </t>
  </si>
  <si>
    <t>https://drive.google.com/open?id=1YM8pYrU5NmwZllKLnoFXMWO2YBcSuoFa</t>
  </si>
  <si>
    <t xml:space="preserve">Laporan Kinerja Pemerintah Kab/Kota </t>
  </si>
  <si>
    <t xml:space="preserve">b. Tetap atau tidak meningkat persentase rumah layak huni </t>
  </si>
  <si>
    <t>https://drive.google.com/open?id=1GjnHxWanF5riPR4e7OpH8V9oN6podOrY</t>
  </si>
  <si>
    <t>TATANAN SATUAN PENDIDIKAN</t>
  </si>
  <si>
    <t>Keberadaan regulasi daerah tentang pelaksanaan program Usaha Kesehatan Sekolah/Madrasah (UKS/M)</t>
  </si>
  <si>
    <t>Pemda mengeluarkan Perda/Perbub/Perwali/Kebijakan Kadis  Pendidikan/Kesehatan terkait dengan program Usaha Kesehatan Sekolah/Madrasah (UKS/M)</t>
  </si>
  <si>
    <t>Perda/Perbub/Perwali/Kebijakan Kadis Pendidikan/ Kesehatan terkait dengan program Usaha Kesehatan Sekolah/Madrasah (UKS/M) diperoleh dari Dinas Pendidikan/Kesehatan</t>
  </si>
  <si>
    <t xml:space="preserve">Dokumen Perda/Perbub/Perwali/Kebijakan Kadis Pendidikan/Kesehatan terkait dengan program Usaha Kesehatan Sekolah/Madrasah (UKS/M)
Data dari Dinas Pendidikan dan Kemenag, Ada surat Edaran Dirjen PDM ttg Gerakan Sekolah Sehat ke Dinas Pendidikan di 514 Kab/Kota, 38 Provinsi. </t>
  </si>
  <si>
    <t xml:space="preserve">a. Ada </t>
  </si>
  <si>
    <t>https://drive.google.com/open?id=17z0tFciNcwKAnoGs23goASj5LzfjumsV</t>
  </si>
  <si>
    <t>Adanya Perbub terkait Sekretariat tetap UKS/M Kabupaten Sumenep</t>
  </si>
  <si>
    <t xml:space="preserve">b. Tidak  </t>
  </si>
  <si>
    <t>Keberadaan program Usaha Kesehatan Sekolah/Madrasah (UKS/M) dalam  perencanaan daerah (RPJMD, RKPD, Renstra PD dan Renja PD)</t>
  </si>
  <si>
    <t>https://drive.google.com/open?id=1yQtlSkyc8C7uI9_CLD06JzhFNe7V5sKo</t>
  </si>
  <si>
    <t>Pemda mengeluarkan RPJMD/ RKPD/ Renstra PD/ Renja PD untuk mendukung program UKS/M termasuk Gerakan Sekolah Sehat sebagai revitalisasi UKS masuk dalam dokumen perencanaan pembangunan daerah.</t>
  </si>
  <si>
    <t>Dokumen RPJMD/ RKPD/ Renstra PD/ Renja PD diperoleh dari Bappeda/ Dinas Pendidikan/Kesehatan, SIPD (Sistem Informasi Perencanaan Daerah)</t>
  </si>
  <si>
    <t>a. Masuk dalam dokumen perencanaan daerah</t>
  </si>
  <si>
    <t>https://drive.google.com/open?id=1dOc9Go5HBtJRn3tA927RL6nd15qewMXe</t>
  </si>
  <si>
    <t>Adanya RKPD Kabupaten Sumenep</t>
  </si>
  <si>
    <t>b. Tidak ada</t>
  </si>
  <si>
    <t>https://drive.google.com/open?id=1XXsMcN0ZvyGompyleRBducoDNel5LHei</t>
  </si>
  <si>
    <t xml:space="preserve">Persentase Sekolah/Madrasah/Pondok Pesantren yang menerapkan Satuan Pendidikan Ramah Anak </t>
  </si>
  <si>
    <t>https://drive.google.com/open?id=11usqvz0tN8TA9QL3z30joFgEtVXbAtsc</t>
  </si>
  <si>
    <t xml:space="preserve">Jumlah satuan pendidikan yang telah memiliki SK sebagai Satuan Pendidikan Ramah Anak (SRA) dari Kepala Daerah atau Dinas Pendidikan/Dinas PPPA/Kanwil Kemenag, SOP penanganan kasus dan laporan penanganan kasus dibagi jumlah total satuan pendidikan dikali 100. Jumlah sekolah yang telah memiliki SK TPPKS (Tim Pencegahan dan Penanganan Kekerasan Di Satuan Pendidikan)  dan melakukan  sosialisasi ttg pencegahan dan penanganan kekerasan di satuan pendidikan minimal 1x setahun (SK TPPKS di upload di DAPODIK). </t>
  </si>
  <si>
    <t xml:space="preserve">1. SK untuk SRA baik yang_x000b_dikeluarkan oleh kepala daerah, Kepala Dinas Pendidikan, Kanwil Kemenag, ataupun oleh Kepala Dinas PPPA.
2. SOP penanganan kasus
3. Laporan pendampingan penanganan kasus </t>
  </si>
  <si>
    <t>a. ≥ 71%</t>
  </si>
  <si>
    <t>Adanya rekap SK Sekolah Ramah Anak lebih dari 71%</t>
  </si>
  <si>
    <t xml:space="preserve">Persentase sekolah/madrasah yang minimal mencapai stratifikasi standar Usaha Kesehatan Sekolah/Madrasah (UKS/M) atau yg mengimplementasikan Gerakan Sekolah Sehat secara berkelanjutan. </t>
  </si>
  <si>
    <t>https://drive.google.com/open?id=1q8X6llQTrIP4Z4USj_4ZCOneNKRx7Qyl</t>
  </si>
  <si>
    <t xml:space="preserve">Jumlah satuan pendidikan yang telah memenuhi kriteria stratifikasi minimal standar minimum UKS/M dalam tahun berjalan atau telah menerapkan kegiatan prioritas Gerakan Sekolah Sehat secara berkelanjutan. </t>
  </si>
  <si>
    <t>Dinas Pendidikan Kabupaten/Kota dan Provinsi, Kanwil Kemenag, Data Sekolah Binaan dan Non Binaan GSS Kemendikbud di Kab / Kota</t>
  </si>
  <si>
    <t>Rekapitulasi hasil stratifikasi UKS/M tahun berjalan</t>
  </si>
  <si>
    <t xml:space="preserve">a.  &gt; 50% </t>
  </si>
  <si>
    <t>https://drive.google.com/open?id=1gxSo7wZKLlEeq77x95wBF_MmSGHbrAHC</t>
  </si>
  <si>
    <t>b. 30%-50%</t>
  </si>
  <si>
    <t>https://drive.google.com/open?id=1_FXmWB9Y8Azy-2L05HuaICEV1q-1kIfE</t>
  </si>
  <si>
    <t>Data yang ada hanya di tahun 2024</t>
  </si>
  <si>
    <t xml:space="preserve">c. &lt; 30% </t>
  </si>
  <si>
    <t>https://drive.google.com/open?id=1h7l2qL6BpfEF0OmYRDuqkW0Kt7fX7lTe</t>
  </si>
  <si>
    <t>Adanya penerapan Kawasan Tanpa Rokok di satuan pendidikan usia dini, dasar dan menengah pertama atau sederajat</t>
  </si>
  <si>
    <t>https://drive.google.com/open?id=1ibmdfsXAhMzfjcqdF0bRRdXYdKaaAKKA</t>
  </si>
  <si>
    <t>Satuan pendidikan yang menerapkan Kawasan Tanpa Rokok</t>
  </si>
  <si>
    <t>Dinas Pendidikan Kabupaten/Kota dan Provinsi, Kanwil Kemenag</t>
  </si>
  <si>
    <t>Rekapitulasi satuan pendidikan yang menerapkan tanpa rokok</t>
  </si>
  <si>
    <t>a. Seluruh satuan pendidikan atau sederajat</t>
  </si>
  <si>
    <t>https://drive.google.com/open?id=1wmJFQpd94DdhdlQZ-6Ym4nGnOE-1Wr_s</t>
  </si>
  <si>
    <t>b. Sebagian satuan  pendidikan atau sederajat</t>
  </si>
  <si>
    <t>https://drive.google.com/open?id=1UbFYmHAmdjlpzpKOdVuY3v6KEmA56EBU</t>
  </si>
  <si>
    <t xml:space="preserve">Persentase Sekolah/Madrasah yang telah dilakukan Inspeksi Kesehatan Lingkungan (IKL) </t>
  </si>
  <si>
    <t>Jumlah satuan pendidikan yang telah dilakukan IKL dalam tahun berjalan</t>
  </si>
  <si>
    <t>Dinas Pendidikan Kabupaten/Kota dan Provinsi, Dinas Kesehatan dan Balai POM</t>
  </si>
  <si>
    <t>Rekapitulasi hasil IKL satuan pendidikan tahun berjalan</t>
  </si>
  <si>
    <t xml:space="preserve">a.  ≥ 80% </t>
  </si>
  <si>
    <t>https://drive.google.com/open?id=1_HB6U9mrydWvQUwX3Uum94sj3ZCGf31E</t>
  </si>
  <si>
    <t>b. 50 - 80%</t>
  </si>
  <si>
    <t>https://drive.google.com/open?id=1sjrezyhgYHywONX0RREjNlqOSHUdPVyD</t>
  </si>
  <si>
    <t>Keberadaan Tim Pembina UKS/M tingkat Kabupaten/Kota dan tingkat Kecamatan</t>
  </si>
  <si>
    <t>https://drive.google.com/open?id=1ldZ2p4mjaGQ-BchV0Opzi2gOCewqcNBH</t>
  </si>
  <si>
    <t>sesuai</t>
  </si>
  <si>
    <t xml:space="preserve">Tim Pembina UKS/M Kabupaten/Kota  adalah Tim yang diketuai oleh Bupati/Walikota dan tingkat Kecamatan diketuai oleh Camat untuk membina dan mengembangkan UKS/M secara terpadu. </t>
  </si>
  <si>
    <t>Dinas Pendidikan, Dinas Kesehatan dan Kandep Kemenag</t>
  </si>
  <si>
    <t>Dokumen SK Tim Pembina Kabupaten/Kota sampai tingkat Kecamatan, Rencana Kerja dan realisasinya</t>
  </si>
  <si>
    <t>a. Ada</t>
  </si>
  <si>
    <t>https://drive.google.com/open?id=1T0hjS_SCCjsKRzfJ8opV8_bPLOSxbkIk</t>
  </si>
  <si>
    <t>Adanya SK Tim Pembina UKS/M tingkat Kabupaten Sumenep dan Sekretarist tetap tingkat Kabupaten, Sedangkan tingkat Kecamatan belum ada SK</t>
  </si>
  <si>
    <t>https://drive.google.com/open?id=1WdPXWnRcptsJBxzegSr10mjD3m4W1f9p</t>
  </si>
  <si>
    <t xml:space="preserve">Presentase Sekolah/Madrasah yang memiliki tim pelaksana UKS/M dibuktikan dengan SK, Rencana Kerja dan Realisasi </t>
  </si>
  <si>
    <t>Tim Pelaksana UKS/M Kecamatan adalah Tim diketuai oleh Kepala Satuan Pendidikan untuk mengimplementatsikan UKS/M di Satuan pendidikan</t>
  </si>
  <si>
    <t>Dinas Pendidikan, Dinas Kesehatan dan Kandep Kemenag dan Satuan Pendidikan</t>
  </si>
  <si>
    <t>Dokumen SK Tim Pelaksana UKS/M</t>
  </si>
  <si>
    <r>
      <rPr>
        <rFont val="Arial Narrow"/>
        <color theme="1"/>
        <sz val="12.0"/>
      </rPr>
      <t xml:space="preserve">a. </t>
    </r>
    <r>
      <rPr>
        <rFont val="Calibri"/>
        <color theme="1"/>
        <sz val="12.0"/>
      </rPr>
      <t xml:space="preserve">≥ </t>
    </r>
    <r>
      <rPr>
        <rFont val="Arial Narrow"/>
        <color theme="1"/>
        <sz val="12.0"/>
      </rPr>
      <t>80</t>
    </r>
    <r>
      <rPr>
        <rFont val="Calibri"/>
        <color theme="1"/>
        <sz val="12.0"/>
      </rPr>
      <t xml:space="preserve"> </t>
    </r>
    <r>
      <rPr>
        <rFont val="Arial Narrow"/>
        <color theme="1"/>
        <sz val="12.0"/>
      </rPr>
      <t xml:space="preserve">% </t>
    </r>
  </si>
  <si>
    <t>https://drive.google.com/open?id=1SMRCY1TvHPKNc9Z0GgrAEnBD86bdrU3d</t>
  </si>
  <si>
    <t xml:space="preserve">b. 60 - 79% </t>
  </si>
  <si>
    <t>https://drive.google.com/open?id=19vk6DPDPhCpgNBKkQ4vZSPj_CK_zS41V</t>
  </si>
  <si>
    <t xml:space="preserve">c. 40 - 59% </t>
  </si>
  <si>
    <t>https://drive.google.com/open?id=18JICNUJ1lk4orpqyWffqxvDsYZHmMKAK</t>
  </si>
  <si>
    <t>Hanya ada 2 SK Sekolah</t>
  </si>
  <si>
    <t>Persentase sekolah/madrasah yang melakukan pengawasan internal</t>
  </si>
  <si>
    <t>Jumlah satuan pendidikan yang melaksanakan pengawasan internal implementasi UKS/M atau GSS.</t>
  </si>
  <si>
    <t> Dinas Pendidikan, Dinas Kesehatan dan Kandep Kemenag dan Satuan Pendidikan</t>
  </si>
  <si>
    <t>Dokumen Laporan evaluasi Implementasi UKS/M pada tahun berjalan</t>
  </si>
  <si>
    <r>
      <rPr>
        <rFont val="Arial Narrow"/>
        <color theme="1"/>
        <sz val="12.0"/>
      </rPr>
      <t xml:space="preserve">a. </t>
    </r>
    <r>
      <rPr>
        <rFont val="Calibri"/>
        <color theme="1"/>
        <sz val="12.0"/>
      </rPr>
      <t xml:space="preserve">≥ </t>
    </r>
    <r>
      <rPr>
        <rFont val="Arial Narrow"/>
        <color theme="1"/>
        <sz val="12.0"/>
      </rPr>
      <t>80</t>
    </r>
    <r>
      <rPr>
        <rFont val="Calibri"/>
        <color theme="1"/>
        <sz val="12.0"/>
      </rPr>
      <t xml:space="preserve"> </t>
    </r>
    <r>
      <rPr>
        <rFont val="Arial Narrow"/>
        <color theme="1"/>
        <sz val="12.0"/>
      </rPr>
      <t xml:space="preserve">% </t>
    </r>
  </si>
  <si>
    <t>https://drive.google.com/open?id=17U9e0SG43iHblfjEfcaJXHZt4Aofj1Jy</t>
  </si>
  <si>
    <t>https://drive.google.com/open?id=19f-3J6-CpJ2PTSMEQq3c3PAewnnyhkrW</t>
  </si>
  <si>
    <t>https://drive.google.com/open?id=1XeaZBWLFD1K_6aQnC5y5_nknfTMgjfUw</t>
  </si>
  <si>
    <t>https://drive.google.com/open?id=19k2rsvGGHZpg9mLUebe_WDc_6altOQrS</t>
  </si>
  <si>
    <t>Presentase Sekolah/Madrasah yang menerapkan dan mengajukan konsep sekolah Adiwiyata secara berkelanjutan.</t>
  </si>
  <si>
    <t>Agar menambahkan data jumlah sekolah di Kab. Sumenep
Dapat ditambahkan juga surat usulan sekolah adiwiyata kabupaten atau dokumen resmi lainnya</t>
  </si>
  <si>
    <t>PermenLHK Nomor P.53/MENLHK/SETJEN/KUM.1/9/2019 tentang Penghargaan Adiwiyata:_x000b_- Adiwiyata adalah penghargaan yang diberikan olehPemerintah, pemerintah daerah provinsi, dan pemerintahdaerah kabupaten/kota kepada sekolah yang berhasil_x000b_melaksanakan gerakan peduli dan berbudaya lingkungan hidup di sekolah._x000b_- Sekolah Adiwiyata adalah sekolah yang berhasil melaksanakan gerakan peduli dan berbudaya lingkungan hidup di sekolah.</t>
  </si>
  <si>
    <t>Data dari Dinas LH</t>
  </si>
  <si>
    <t>SK Bupati/Walikota tentang Penetapan Sekolah Adiwiyata</t>
  </si>
  <si>
    <r>
      <rPr>
        <rFont val="Arial Narrow"/>
        <color theme="1"/>
        <sz val="12.0"/>
      </rPr>
      <t xml:space="preserve">a. </t>
    </r>
    <r>
      <rPr>
        <rFont val="Calibri"/>
        <color theme="1"/>
        <sz val="12.0"/>
      </rPr>
      <t xml:space="preserve">≥ </t>
    </r>
    <r>
      <rPr>
        <rFont val="Arial Narrow"/>
        <color theme="1"/>
        <sz val="12.0"/>
      </rPr>
      <t>80</t>
    </r>
    <r>
      <rPr>
        <rFont val="Calibri"/>
        <color theme="1"/>
        <sz val="12.0"/>
      </rPr>
      <t xml:space="preserve"> </t>
    </r>
    <r>
      <rPr>
        <rFont val="Arial Narrow"/>
        <color theme="1"/>
        <sz val="12.0"/>
      </rPr>
      <t xml:space="preserve">% </t>
    </r>
  </si>
  <si>
    <t>https://drive.google.com/open?id=1h6-3hS_LSN7xm6ObGfPSc-sqcY12uF3n</t>
  </si>
  <si>
    <t>https://drive.google.com/open?id=1Ffj32VKmc548fDAFHe0hXtuFw_7LFfTd</t>
  </si>
  <si>
    <t>Presentase Sekolah/Madrasah  yang menyelenggarakan  skrining kesehatan siswa SD dan SMP.</t>
  </si>
  <si>
    <t>dokumen tdk bisa terbaca dengan jelas</t>
  </si>
  <si>
    <t>Jumlah Satuan pendidikan yang menyelenggarakan promosi kesehatan dan skrining kesehatan bekerja sama dengan  FKTP (Fasilitas Kesehatan Tingkat Pertama).</t>
  </si>
  <si>
    <t>Dinas Pendidikan, Dinas Kesehatan dan Kandep Kemenag dan Puskesmas</t>
  </si>
  <si>
    <t>Dokumen Laporan pelaksanaan promosi kesehatan dan penjaringan kesehatan pada tahun berjalan</t>
  </si>
  <si>
    <r>
      <rPr>
        <rFont val="Arial Narrow"/>
        <color theme="1"/>
        <sz val="12.0"/>
      </rPr>
      <t xml:space="preserve">a. </t>
    </r>
    <r>
      <rPr>
        <rFont val="Calibri"/>
        <color theme="1"/>
        <sz val="12.0"/>
      </rPr>
      <t xml:space="preserve">≥ </t>
    </r>
    <r>
      <rPr>
        <rFont val="Arial Narrow"/>
        <color theme="1"/>
        <sz val="12.0"/>
      </rPr>
      <t>80</t>
    </r>
    <r>
      <rPr>
        <rFont val="Calibri"/>
        <color theme="1"/>
        <sz val="12.0"/>
      </rPr>
      <t xml:space="preserve"> </t>
    </r>
    <r>
      <rPr>
        <rFont val="Arial Narrow"/>
        <color theme="1"/>
        <sz val="12.0"/>
      </rPr>
      <t xml:space="preserve">% </t>
    </r>
  </si>
  <si>
    <t>https://drive.google.com/open?id=1Gmeojykhqku9MVr8gSPuCuXoc_VGrdrL</t>
  </si>
  <si>
    <t>https://drive.google.com/open?id=1K8DDQvz45VLE8JsBNHHDvgOa8Q3yIyLB</t>
  </si>
  <si>
    <t>https://drive.google.com/open?id=1lDClnOfltYLhuovlD3pp0aAoSt2th-_O</t>
  </si>
  <si>
    <t>Persentase anak usia sekolah dasar dan sederajat yang mendapatkan Imunisasi Sekolah Lengkap (ISL)</t>
  </si>
  <si>
    <t>Jumlah anak kelas 6 yang telah mendapatkan imunisasi MR 1kali, DT 1 kali dan Td 2 kali atau MR 1 dosis dan Td 3 dosis dibagi jumlah seluruh anak kelas 6 di Kabupaten/Kota  dikali 100 dalam tahun berjalan</t>
  </si>
  <si>
    <t>Menggunakan Dashboard ASIK (Aplikasi Sehat Indonesiaku)/ data laporan rutin di Dinas Kesehatan Kabupaten/Kota yang telah dilaporkan ke Dinkes Provinsi pada tahun berjalan 
Data pusat dari Direktorat Pengelolaan Imunisasi</t>
  </si>
  <si>
    <r>
      <rPr>
        <rFont val="Arial Narrow"/>
        <color theme="1"/>
        <sz val="12.0"/>
      </rPr>
      <t xml:space="preserve">a. </t>
    </r>
    <r>
      <rPr>
        <rFont val="Calibri"/>
        <color theme="1"/>
        <sz val="12.0"/>
      </rPr>
      <t xml:space="preserve">≥ </t>
    </r>
    <r>
      <rPr>
        <rFont val="Arial Narrow"/>
        <color theme="1"/>
        <sz val="12.0"/>
      </rPr>
      <t>80%</t>
    </r>
  </si>
  <si>
    <t>https://drive.google.com/open?id=1oMSghvJqbWu31iXqYIO2VSZql9mt_XJg</t>
  </si>
  <si>
    <t>https://drive.google.com/open?id=1_smIL8AqRvSRCdJqwkEkYV7uHbWOELXq</t>
  </si>
  <si>
    <t xml:space="preserve">TATANAN PASAR </t>
  </si>
  <si>
    <t>Adanya regulasi daerah tentang pasar sehat</t>
  </si>
  <si>
    <t>https://drive.google.com/open?id=12GzmU5-0RYkDjesZNuVbBIpmBHHtLlT0</t>
  </si>
  <si>
    <t>Tersedianya regulasi daerah tentang pasar sehat dengan satuan ukur dokumen</t>
  </si>
  <si>
    <t>Biro Hukum Pemerintah Daerah</t>
  </si>
  <si>
    <t>Perda, Perwali/Perbup, atau SE Kepala Daerah</t>
  </si>
  <si>
    <t>https://drive.google.com/open?id=1gocB1BqJBu-yQCoPCRr4ybEwTDubxQ_M</t>
  </si>
  <si>
    <t>https://drive.google.com/open?id=1bJVq58l-pkkQP776ICjLiGZT9n3TL8UP</t>
  </si>
  <si>
    <t>Adanya regulasi penanganan Pedagang Kaki Lima (PKL)</t>
  </si>
  <si>
    <t>https://drive.google.com/open?id=1LHEqxsbdHhk8HKLW9dY90LSWbaiMcdwi</t>
  </si>
  <si>
    <t>Tersedianya regulasi daerah tentang penanganan PKL dengan satuan ukur dokumen</t>
  </si>
  <si>
    <t>https://drive.google.com/open?id=18T5fVJ5ECL9UPunnQineFZj-WuJzok87</t>
  </si>
  <si>
    <t>https://drive.google.com/open?id=1dJneV7hTv_d49LQC5lghVBd8LVuccFDl</t>
  </si>
  <si>
    <r>
      <rPr>
        <rFont val="Arial"/>
        <color theme="1"/>
        <sz val="10.0"/>
      </rPr>
      <t xml:space="preserve">Adanya </t>
    </r>
    <r>
      <rPr>
        <rFont val="Arial"/>
        <color theme="1"/>
        <sz val="10.0"/>
      </rPr>
      <t xml:space="preserve">penerapan Kawasan Tanpa Rokok </t>
    </r>
  </si>
  <si>
    <r>
      <rPr>
        <rFont val="Arial"/>
        <color theme="1"/>
        <sz val="10.0"/>
      </rPr>
      <t xml:space="preserve">Adanya </t>
    </r>
    <r>
      <rPr>
        <rFont val="Arial"/>
        <color theme="1"/>
        <sz val="10.0"/>
      </rPr>
      <t xml:space="preserve"> penerapan kawasan Tanpa Rokok di Lokasi Pasar Rakyat dengan bukti monitoring (stiker, tidak ada orang merokok, tidak ada puntung rokok, tidak ada asbak….) 8 indikator</t>
    </r>
  </si>
  <si>
    <t>Perangkat daerah yang membidangi terkait Pasar</t>
  </si>
  <si>
    <t xml:space="preserve">Perda </t>
  </si>
  <si>
    <t>https://drive.google.com/open?id=1LgYSKMmUOHwg1AkKrjy4V3N8ucrxIqVN</t>
  </si>
  <si>
    <t>tidak ada bukti dukung foto-foto kawasan bebas rokok</t>
  </si>
  <si>
    <t>Persentase pasar yang menerapkan Kesehatan dan Keselamatan Kerja (K3)</t>
  </si>
  <si>
    <t>Jumlah pasar yang menerapkan  Kesehatan dan Keselamatan Kerja (K3) dibandingkan dengan total jumlah pasar di kab/kota, dalam satuan ukur persentase (SOP dan penerapannya dilaksanakan)</t>
  </si>
  <si>
    <t>Rekap data pasar yang menerapkan Kesehatan dan Keselamatan Kerja (K3), Laporan dan dokumentasi setiap pasar sudah ada SOP dan menerapkan K3</t>
  </si>
  <si>
    <t>a. &gt; 80%</t>
  </si>
  <si>
    <t>https://drive.google.com/open?id=1qUSutblzUuIGVnZf3tKfhwGMeFumpyia</t>
  </si>
  <si>
    <t>tidak ada rekap  data pasar dan foto pendukung</t>
  </si>
  <si>
    <t>b. 60% - 80%</t>
  </si>
  <si>
    <t>c. 30% - 59%</t>
  </si>
  <si>
    <t>d. &lt; 30%</t>
  </si>
  <si>
    <t>Persentase Pasar yang menyediakan air bersih/air minum</t>
  </si>
  <si>
    <t>tidak ada bukti dukung</t>
  </si>
  <si>
    <t>Jumlah pasar yang menerapkan penyediaan air bersih/air minum perlu memenuhi persyaratan sesuai SNI Pasar No 8152:2021 berikut :
a. tersedianya air bersih/air minum dengan jumlah yang cukup secara berkesinambungan
b. tersedianya instalasai pengolahan air bersih pada area bahan pangan basah
c. pemeriksaan kualitas air bersih/air minum dilakukan melalui pengujian secara berkala
dibagi jumlah total pasar di Kabupaten/Kota dikali 100</t>
  </si>
  <si>
    <t>Data indikator pasar, Laporan dan dokumentasi</t>
  </si>
  <si>
    <t>Persentase pasar yang melakukan pengawasan internal dan memenuhi syarat</t>
  </si>
  <si>
    <t>https://drive.google.com/open?id=1j8Mc4BUiYkEC1bV7e1TTIOwlJj3MRR19</t>
  </si>
  <si>
    <t>bukti data pendukung dilengkapi lagi</t>
  </si>
  <si>
    <t>Jumlah pasar yang melakukan pengawasan internal dibandingkan dengan total jumlah pasar di kab/kota, dalam satuan ukur persentase</t>
  </si>
  <si>
    <t>Pencatatan dinas / pengelola Pasar, laporan</t>
  </si>
  <si>
    <t>a. &gt; 80% pasar telah melakukan pengawasan internal</t>
  </si>
  <si>
    <t>https://drive.google.com/open?id=1yoN2Mrn6272PzFKJDZnpt0bIRmOROsrj</t>
  </si>
  <si>
    <t>b. 60% - 80% pasar telah melakukan pengawasan internal</t>
  </si>
  <si>
    <t>https://drive.google.com/open?id=19RNn1ItL7ZMnRXGfL1eR09ik8pbXBlVR</t>
  </si>
  <si>
    <t>c. 30% - 59% pasar telah melakukan pengawasan internal</t>
  </si>
  <si>
    <t>https://drive.google.com/open?id=18FLgy3Wj-M_Y8qTdjgiupJPuftkvMTZ5</t>
  </si>
  <si>
    <t>d. &lt; 30% pasar telah melakukan pengawasan internal</t>
  </si>
  <si>
    <t xml:space="preserve">Persentase pasar yang melaksanakan Komunikasi, Informasi dan Edukasi (KIE) kesehatan  masyarakat bekerjasama dengan sektor terkait  kepada masyarakat pasar  </t>
  </si>
  <si>
    <t>Jumlah pasar yang sudah melaksanakan Komunikasi, Informasi dan Edukasi (KIE) kesehatan masyarakat (KTR, CTPS, PHBS, pengukuran kualitas lingkungan, PHAST Pasar dll.) kepada masyarakat pasar dibandingkan dengan total jumlah pasar di kab/kota, dalam satuan ukur persentase</t>
  </si>
  <si>
    <t xml:space="preserve">Perangkat daerah yang membidangi terkait Pasar dan urusan terkait lainnya </t>
  </si>
  <si>
    <t>https://drive.google.com/open?id=18cshckgzS3xNT-myDnrf0r1APu16S50u</t>
  </si>
  <si>
    <t>tidak dilengkapi bukti data pendukung, laporan dan foto</t>
  </si>
  <si>
    <t>https://drive.google.com/open?id=1NFUcCmjdtp5Dd7P4iysXz0e4ncRZ4717</t>
  </si>
  <si>
    <t>https://drive.google.com/open?id=1G6GWfi2nM_h9cZJF615uJUIk9mtVKWaX</t>
  </si>
  <si>
    <t>Persentase pasar yang memiliki fasilitas ruang ASI</t>
  </si>
  <si>
    <t>bukti data pendukung dilengkapi lagi, laporan dan foto-foto</t>
  </si>
  <si>
    <t>Jumlah  pasar yang memiliki fasilitas ruang ASI dibandingkan dengan total jumlah pasar di kab/kota, dalam satuan ukur persentase</t>
  </si>
  <si>
    <t>https://drive.google.com/open?id=1AgA5KifslLQcCYg5kg-0W66MoGDCclgr</t>
  </si>
  <si>
    <t>https://drive.google.com/open?id=1oqJxOfOPPLM0wGAyb5aGPoM_0Mm3LRmr</t>
  </si>
  <si>
    <t>Persentase pasar  yang menjual daging berasal dari RPH/distributor yang memiliki Nomor Kontrol Veteriner (NKV) dan bersertifikat Halal</t>
  </si>
  <si>
    <t xml:space="preserve">Jumlah  pasar  yang menjual daging berasal dari RPH/distributor yang memiliki Nomor Kontrol Veteriner (NKV) dan bersertifikat Halal dibandingkan dengan total jumlah pasar di kab/kota, dalam satuan ukur persentase
</t>
  </si>
  <si>
    <t>https://drive.google.com/open?id=1JkMiMaUxmszB05ha0jibOvxK2inLXNYz</t>
  </si>
  <si>
    <t>https://drive.google.com/open?id=1v5iRpXW4rSAEuzhEOSnQDWs6LlyI-glS</t>
  </si>
  <si>
    <t>https://drive.google.com/open?id=1RlXZoLcAQqEgIW0ZDAF8O90VsyDNoAO4</t>
  </si>
  <si>
    <t>Persentase pasar  yang menjual daging unggas berasal dari Rumah Potong Ayam (RPA)/ Rumah Potong Unggas (RPU) yang memiliki Nomor Kontrol Veteriner (NKV) dan bersertifikat Halal</t>
  </si>
  <si>
    <t xml:space="preserve">Jumlah pasar  yang menjual daging unggas berasal dari Rumah Potong Ayam (RPA)/ Rumah Potong Unggas (RPU) yang memiliki Nomor Kontrol Veteriner (NKV) dan bersertifikat Halal dibandingkan dengan total jumlah pasar di kab/kota, dalam satuan ukur persentase
</t>
  </si>
  <si>
    <t>Persentase pasar yang melakukan pengelolaan sampah dengan prinsip 3 R (reduce, reuse, dan recyle)</t>
  </si>
  <si>
    <t>Agar menambahkan keterangan foto berupa nama kegiatan dan waktu pelaksanaan
Menambahkan data jumlah pasar di Kab. Sumenep</t>
  </si>
  <si>
    <t>Jumlah   pasar yang melakukan pengelolaan sampah dengan prinsip 3 R (reduce, reuse, dan recyle) dibagi dengan total jumlah pasar di kab/kota dikali 100</t>
  </si>
  <si>
    <t>https://drive.google.com/open?id=1Vbg1735KZuD5NGq2gjM_uNTzk5arC5D8</t>
  </si>
  <si>
    <t>https://drive.google.com/open?id=1HiwZ8QOzwnHI0Jze7uDCDQAlD2BfkpWP</t>
  </si>
  <si>
    <t>https://drive.google.com/open?id=1vUdvm3SmYW5CDIfRoQvHFf7mnKbyJT8L</t>
  </si>
  <si>
    <t xml:space="preserve">Persentase pasar yang melakukan pengelolaan air limbah </t>
  </si>
  <si>
    <t>Agar menambahkan data dukung</t>
  </si>
  <si>
    <t>Jumlah   pasar yang melakukan pengelolaan air limbah  dibagi dengan total jumlah pasar di kab/kota dikali 100</t>
  </si>
  <si>
    <t>TATANAN  PERKANTORAN DAN PERINDUSTRIAN</t>
  </si>
  <si>
    <t xml:space="preserve">Persentase industri kecil dan menengah yang memenuhi standar kegiatan usaha dan/atau standar produk sesuai persyaratan dan/atau kewajiban perizinan berusaha pada sektor perindustrian
</t>
  </si>
  <si>
    <t>data tidak dapat dibuka</t>
  </si>
  <si>
    <t xml:space="preserve">- Merujuk pada Permenperin No. 9 tahun 2021 tentang Standar Kegiatan Usaha dan/atau Produk pada Penyelenggaraan Perizinan Berusaha Berbasis Risiko Sektor Perindustrian.
</t>
  </si>
  <si>
    <t>- Sistem Informasi Industri Nasional (SIINAS)
- Laporan Dinas Kesehatan Kabupaten/Kota/Provinsi</t>
  </si>
  <si>
    <t xml:space="preserve">Sistem Informasi Industri Nasional (SIINAS)
</t>
  </si>
  <si>
    <r>
      <rPr>
        <rFont val="Arial Narrow, Arial"/>
        <color theme="1"/>
        <sz val="12.0"/>
      </rPr>
      <t xml:space="preserve">a. </t>
    </r>
    <r>
      <rPr>
        <rFont val="Arial Narrow"/>
        <color theme="1"/>
        <sz val="12.0"/>
        <u/>
      </rPr>
      <t>&gt;</t>
    </r>
    <r>
      <rPr>
        <rFont val="Arial Narrow"/>
        <color theme="1"/>
        <sz val="12.0"/>
      </rPr>
      <t xml:space="preserve"> 80% </t>
    </r>
  </si>
  <si>
    <r>
      <rPr>
        <rFont val="Arial Narrow, Arial"/>
        <color theme="1"/>
        <sz val="12.0"/>
      </rPr>
      <t xml:space="preserve">b. </t>
    </r>
    <r>
      <rPr>
        <rFont val="Arial Narrow"/>
        <color theme="1"/>
        <sz val="12.0"/>
        <u/>
      </rPr>
      <t>&gt;</t>
    </r>
    <r>
      <rPr>
        <rFont val="Arial Narrow"/>
        <color theme="1"/>
        <sz val="12.0"/>
      </rPr>
      <t xml:space="preserve"> 60 sd &lt; 80% </t>
    </r>
  </si>
  <si>
    <t>https://drive.google.com/open?id=12MPktb7q5cZ5BbCL5yNaWuqhLBx9KuNz</t>
  </si>
  <si>
    <r>
      <rPr>
        <rFont val="Arial Narrow, Arial"/>
        <color theme="1"/>
        <sz val="12.0"/>
      </rPr>
      <t xml:space="preserve">c. </t>
    </r>
    <r>
      <rPr>
        <rFont val="Arial Narrow"/>
        <color theme="1"/>
        <sz val="12.0"/>
        <u/>
      </rPr>
      <t>&gt;</t>
    </r>
    <r>
      <rPr>
        <rFont val="Arial Narrow"/>
        <color theme="1"/>
        <sz val="12.0"/>
      </rPr>
      <t xml:space="preserve"> 30 sd &lt; 60% </t>
    </r>
  </si>
  <si>
    <t>https://drive.google.com/open?id=1fPkOWLT8wD35a59il71-6rfXlm6QvE7L</t>
  </si>
  <si>
    <t xml:space="preserve">d. &lt;30% </t>
  </si>
  <si>
    <t>Persentase tempat kerja/ perusahaan yang menerapkan Kawasan Tanpa Rokok (KTR)</t>
  </si>
  <si>
    <t xml:space="preserve">Jumlah tempat kerja atau perusahaan yang menerapkan Kawasan Tanpa rokok (KTR) dibagi jumlah total kantor di Kab/Kota dikali 100, dalam satuan ukur persentase.
</t>
  </si>
  <si>
    <t xml:space="preserve">Pencatatan Dinas Tenaga Kerja Provinsi,
Data Wajib Lapor Ketenagakerjaan atau Germas bidang Ketenagakerjaan
</t>
  </si>
  <si>
    <t>Laporan Dinas Tenaga Kerja Provinsi, Dokumentasi yang diperoleh dari Dinas Tenaga Kerja/ Kesehatan</t>
  </si>
  <si>
    <r>
      <rPr>
        <rFont val="Arial Narrow, Arial"/>
        <color theme="1"/>
        <sz val="12.0"/>
      </rPr>
      <t xml:space="preserve">a.  </t>
    </r>
    <r>
      <rPr>
        <rFont val="Arial Narrow"/>
        <color theme="1"/>
        <sz val="12.0"/>
        <u/>
      </rPr>
      <t>&gt;</t>
    </r>
    <r>
      <rPr>
        <rFont val="Arial Narrow"/>
        <color theme="1"/>
        <sz val="12.0"/>
      </rPr>
      <t xml:space="preserve"> 80% </t>
    </r>
  </si>
  <si>
    <t>https://drive.google.com/open?id=1JaUluQqnTWf3wOikVEOXR2zqWFm0csH9</t>
  </si>
  <si>
    <t>b. &lt; 80% (Tidak tersedia data/NA)</t>
  </si>
  <si>
    <t>https://drive.google.com/open?id=18hrG1iEETAlNT5n9Ag0T4R0__oxW4jfg</t>
  </si>
  <si>
    <r>
      <rPr>
        <rFont val="Arial Narrow"/>
        <b/>
        <color theme="1"/>
        <sz val="12.0"/>
      </rPr>
      <t>Jumlah/Persentase</t>
    </r>
    <r>
      <rPr>
        <rFont val="Arial Narrow"/>
        <b/>
        <color theme="1"/>
        <sz val="12.0"/>
      </rPr>
      <t xml:space="preserve"> tempat kerja atau perusahaan yang memiliki unit (Panitia Pembina Keselamatan dan Kesehatan Kerja (P2K3)
</t>
    </r>
  </si>
  <si>
    <t>Persentase tempat kerja yang memiliki unit (Panitia Pembina Keselamatan dan Kesehatan Kerja (P2K3)  dibandingkan jumlah total tempat kerja di Kab/Kota
*perusahaan harus memiliki sistem manajemen K3. syarat perusahaan memiliki SMK3 yaitu memiliki 100 atau lebih karyawan dan sudah ada penghargaannya. P2K3 lebih kearah kelembagaan. Dengan banyaknya suatu perusahaan mendapatkan banyak penghargaan K3, maka penerapan K3 lebih baik.</t>
  </si>
  <si>
    <t xml:space="preserve">Pencatatan atau Laporan Dinas Ketenagakerjaan Provinsi </t>
  </si>
  <si>
    <t xml:space="preserve">Data Tempat Kerja, Laporan, Dokumentasi yang diperoleh dari Dinas Ketenagakerjaan Provinsi </t>
  </si>
  <si>
    <t>a.  ≥ 80% tempat kerja telah memiliki unit P2K3</t>
  </si>
  <si>
    <t>https://drive.google.com/open?id=1Iwhdw70EW-5n6bN1VTmw3wUChjNk88-L</t>
  </si>
  <si>
    <t>b. &lt; 80% tempat kerja telah memiliki unit P2K3</t>
  </si>
  <si>
    <t>https://drive.google.com/open?id=1XFd3bmSB4yV3RhRvdb8NR4eFFJVGC2U4</t>
  </si>
  <si>
    <t>Persentase tempat kerja yang telah memfasilitasi pemeriksaan kesehatan berkala (deteksi dini) pada pegawainya minimal 1 tahun sekali</t>
  </si>
  <si>
    <t>sebaiknya dokumen pendukung tidak dalam bentuk scane</t>
  </si>
  <si>
    <t>Jumlah tempat kerja yang telah memfasilitasi pemeriksaan kesehatan pada pegawainya dalam satu tahun dibandingkan dengan jumlah total tempat kerja terdaftar di Kab/kota dikali 100 persen , dalam satuan presentase</t>
  </si>
  <si>
    <t>Pencatatan/ Laporan / Dokumen berasal dari Dinas Ketenagakerjaan Provinsi
Pencatatan/ Laporan / Dokumen berasal dari Dinas Kesehatan Kabupaten/Kota/Provinsi</t>
  </si>
  <si>
    <t>Pencatatan/Laporan/ Dokumentasi 
Dinas Tenaga Kerja Provinsi, Dinas Kesehatan Provinsi/Kabupaten/Kota</t>
  </si>
  <si>
    <r>
      <rPr>
        <rFont val="Arial Narrow, Arial"/>
        <color theme="1"/>
        <sz val="12.0"/>
      </rPr>
      <t xml:space="preserve">a.  </t>
    </r>
    <r>
      <rPr>
        <rFont val="Arial Narrow"/>
        <color theme="1"/>
        <sz val="12.0"/>
        <u/>
      </rPr>
      <t>&gt;</t>
    </r>
    <r>
      <rPr>
        <rFont val="Arial Narrow"/>
        <color theme="1"/>
        <sz val="12.0"/>
      </rPr>
      <t xml:space="preserve"> 80% </t>
    </r>
  </si>
  <si>
    <r>
      <rPr>
        <rFont val="Arial Narrow, Arial"/>
        <color theme="1"/>
        <sz val="12.0"/>
      </rPr>
      <t xml:space="preserve">b. </t>
    </r>
    <r>
      <rPr>
        <rFont val="Arial Narrow"/>
        <color theme="1"/>
        <sz val="12.0"/>
        <u/>
      </rPr>
      <t>&gt;</t>
    </r>
    <r>
      <rPr>
        <rFont val="Arial Narrow"/>
        <color theme="1"/>
        <sz val="12.0"/>
      </rPr>
      <t xml:space="preserve"> 50 sd &lt; 80% </t>
    </r>
  </si>
  <si>
    <t>https://drive.google.com/open?id=1lM-rbalK8lasQoob0tQZkadzBCTcnhZQ</t>
  </si>
  <si>
    <t>d. Tidak ada (Tidak tersedia data/NA)</t>
  </si>
  <si>
    <t xml:space="preserve">Angka kecelakaan kerja di tempat kerja setahun terakhir </t>
  </si>
  <si>
    <t xml:space="preserve">Tersedianya angka kecelakaan kerja di lingkungan tempat kerja yang dibuktikan dengan laporan tahunan. Yang dimasukan dalam kategori Keselakaan kerja adalah kecelakaan kerja dan penyakit akibat kerja.
</t>
  </si>
  <si>
    <t xml:space="preserve">Pencatatan/ Laporan Dinas Tenaga Kerja Provinsi (Data kecelakaan nihil/zero accident) dan BPJS Ketenagakerjaan wilayah setempat </t>
  </si>
  <si>
    <t>a. Menurun</t>
  </si>
  <si>
    <t>https://drive.google.com/open?id=1L0UG5Vw8bv9wrYdqsKzs8T3hTbHYDDX0</t>
  </si>
  <si>
    <t>b. Tetap</t>
  </si>
  <si>
    <t>https://drive.google.com/open?id=18RSB7lsfUgnNvL09QG0LVpRZyod7BqpM</t>
  </si>
  <si>
    <t>c. Meningkat</t>
  </si>
  <si>
    <t>d. (Tidak tersedia data/NA)</t>
  </si>
  <si>
    <r>
      <rPr>
        <rFont val="Arial Narrow"/>
        <b/>
        <color theme="1"/>
        <sz val="12.0"/>
      </rPr>
      <t>Jumlah</t>
    </r>
    <r>
      <rPr>
        <rFont val="Arial Narrow"/>
        <b/>
        <color theme="1"/>
        <sz val="12.0"/>
      </rPr>
      <t xml:space="preserve"> perusahaan yang mendapatkan penghargaan dibidang kesehatan yang diberikan oleh pemerintah pusat atau daerah, seperti:                                                       Penghargaan HIV/AIDS, TBC di tempat kerja, GP2SP, K3 Perkantoran</t>
    </r>
  </si>
  <si>
    <t>sebaiknya dokumen yang dilampirkan dalam bentuk yang sesuai dan tdk di scrensot</t>
  </si>
  <si>
    <t xml:space="preserve">Jumlah tempat kerja yang mendapatkan penghargaan dibidang kesehatan untuk kategori berikut: Penghargaan HIV/AIDS, TBC di tempat kerja, GP2SP, K3 Perkantoran 
</t>
  </si>
  <si>
    <t>- Pencatatan atau Laporan Dinas Ketenagakerjaan Provinsi atau Laporan Dinas Kesehatan Kabupaten/Kota/Provinsi</t>
  </si>
  <si>
    <t>a. Jumlah perusahaan yang mendapatkan penghargaan dibidang kesehatan &gt; 10 perusahaan</t>
  </si>
  <si>
    <t xml:space="preserve">b. 6 - 9 perusahaan </t>
  </si>
  <si>
    <t>c. 4 - 6 perusahaan</t>
  </si>
  <si>
    <t xml:space="preserve">c. 1 - 3  perusahaan </t>
  </si>
  <si>
    <t>https://drive.google.com/open?id=119sxogyfk1Jel6L9iEu3EuzFssDE0ve3</t>
  </si>
  <si>
    <t>d. 0</t>
  </si>
  <si>
    <t>Persentase jumlah puskesmas membina Pos UKK</t>
  </si>
  <si>
    <t>lengkapi bukti dengan narasi dan dokumen yang di sesuai dan tdk di scane</t>
  </si>
  <si>
    <t>Jumlah Puskesmas membina Pos UKK adalah Jumlah puskesmas melakukan kegiatan kegiatan promotif, preventif  kesehatan kerja dan P3K pada Pos UKK di wilayah Kabupaten/ Kota dikali 100, dalam satuan ukur persentase.
Pos UKK adalah wadah untuk UKBM pada pekerja sektor informal yang dikelola dan diselenggarakan dari, oleh, untuk dan bersama masyarakat pekerja melalui pemberian pelayanan kesehatan dengan pendekatan utama promotif dan preventif, disertai kuratif dan rehabilitatif sederhana/terbatas. Pos UKK Terintegrasi adalah Pos UKK yang dalam pelaksanaan kegiatan dan substansinya dipadukan dengan program atau kegiatan kesehatan lainnya yang terdapat pada kelompok pekerja dan bentuk peran serta masyarakat dalam melakukan kegiatan deteksi dini, pemantauan faktor risiko pada penyakit akibat kerja dan kecelakaan kerja, pengendalian penyakit menular dan tidak menular, pengendalian penyakit bersumber binatang, serta program gizi, kesehatan reproduksi, kesehatan olahraga, kesehatan jiwa, kesehatan lingkungan, dan PHBS yang dilaksanakan secara terpadu, rutin dan periodik
Usaha Mikro adalah adalah usaha produktif milik orang perorangan dan/atau badan usaha perorangan yang memenuhi kriteria, seperti Aset maksimal 50 Juta, Omset maksimal 300 Juta.
Usaha Kecil adalah usaha ekonomi produktif yang berdiri sendiri, yang dilakukan oleh orang perorangan atau badan usaha yang bukan merupakan anak perusahaan atau bukan cabang perusahaan yang dimiliki, dikuasai, atau menjadi bagian baik langsung maupun tidak langsung dari usaha menengah atau usaha besar yang memenuhi kriteria Usaha Kecil, seperti Aset &gt; 50 Juta - 500 Juta, Omset &gt; 300 Juta - 2,5 Miliar.
Usaha Menengah adalah Usaha Menengah adalah usaha ekonomi produktif yang berdiri sendiri, yang dilakukan oleh orang perseorangan atau badan usaha yang bukan merupakan anak perusahaan atau cabang perusahaan yang dimiliki, dikuasai, atau menjadi bagian baik langsung maupun tidak langsung dengan Usaha Kecil atau usaha besar dengan jumlah kekayaan bersih atau hasil penjualan tahunan, dengan kriteria di antaranya Aset &gt; 500 Juta - 10 Miliar, Omset &gt; 2,5 Miliar - 50 Miliar.</t>
  </si>
  <si>
    <t xml:space="preserve">Dokumen kegiatan pelayanan kesehatan/Pos Upaya Kesehatan Kerja (UKK)  diperoleh dari 
Dinas Kesehatan melalui Komdat Kesmas
</t>
  </si>
  <si>
    <t>Aplikasi Komdat Kesmas/ SITKO/Satu Sehat</t>
  </si>
  <si>
    <t xml:space="preserve">a.  &gt; 80% </t>
  </si>
  <si>
    <t>https://drive.google.com/open?id=1v2IHwPp8QvGEYvZJPuzO6ad70iCXxeZ3</t>
  </si>
  <si>
    <t xml:space="preserve">b.  &gt; 50 sd &lt; 80% </t>
  </si>
  <si>
    <t>https://drive.google.com/open?id=1xw63NslSijVaN9kFg1RU18p2Z9pFQ-Hf</t>
  </si>
  <si>
    <r>
      <rPr>
        <rFont val="Aptos Narrow"/>
        <color theme="1"/>
        <sz val="12.0"/>
      </rPr>
      <t>≥</t>
    </r>
    <r>
      <rPr>
        <rFont val="Arial Narrow"/>
        <color theme="1"/>
        <sz val="12.0"/>
      </rPr>
      <t xml:space="preserve"> 25 % -  </t>
    </r>
    <r>
      <rPr>
        <rFont val="Aptos Narrow"/>
        <color theme="1"/>
        <sz val="12.0"/>
      </rPr>
      <t>≤</t>
    </r>
    <r>
      <rPr>
        <rFont val="Arial Narrow"/>
        <color theme="1"/>
        <sz val="12.0"/>
      </rPr>
      <t xml:space="preserve"> 50%</t>
    </r>
  </si>
  <si>
    <t xml:space="preserve">c. &gt; 0 sampai &lt; 25% </t>
  </si>
  <si>
    <t xml:space="preserve">Jumlah  perusahaan menerapkan Gerakan Pekerja Perempuan Sehat Produktif (GP2SP)  </t>
  </si>
  <si>
    <t>tdk ada data dokumen</t>
  </si>
  <si>
    <t>Jumlah perusahaan yang menerapkan GP2SP (Gerakan Pekerja Perempuan Sehat Produktif) dengan kategori minimal cukup dari hasil pengisian penilaian mandiri/ pemerintah daerah satuan jumlah</t>
  </si>
  <si>
    <t>Pencatatan/Laporan/Dokumen berasal dari Dinas Ketenagakerjaan Provinsi
Pencatatan/Laporan/Dokumen berasal dari Dinas Kesehatan Kabupaten/Kota/Provinsi
Data Satu Sehat</t>
  </si>
  <si>
    <t>Pencatatan, Laporan dan Dokumentasi dari Dinas Kesehatan Provinsi/Kabupaten/Kota</t>
  </si>
  <si>
    <t>a. &gt; 200</t>
  </si>
  <si>
    <t>b. &gt; 100 - 200</t>
  </si>
  <si>
    <t>c. Jumlah 1 - 100 perusahaan diisi sesuai angka capaian GP2SP (isian terbuka range 1 - 100)</t>
  </si>
  <si>
    <t>Adanya kasus pencemaran lingkungan akibat industri dalam setahun terakhir</t>
  </si>
  <si>
    <t>Terdapat potensi pencemaran oleh industri dengan dibuangnya air limbah langsung ke badan air</t>
  </si>
  <si>
    <t>Terdapat kasus pencemaran lingkungan akibat industri dengan satuan ukur dokumen</t>
  </si>
  <si>
    <t>Dokumen kegiatan/ Laporan Dinas Lingkungan Hidup/ Perindustrian/ Kesehatan</t>
  </si>
  <si>
    <t>Pencatatan, Laporan dan Dokumentasi</t>
  </si>
  <si>
    <t>a. Tidak ada pencemaran lingkungan</t>
  </si>
  <si>
    <t>https://drive.google.com/open?id=1raFLrV_-aLl4RYa4G5xRSs3K8uI6Kixj</t>
  </si>
  <si>
    <t>b. Ada pencemaran lingkungan dan ditindaklanjuti seluruhnya</t>
  </si>
  <si>
    <t>https://drive.google.com/open?id=1cpL-SXYFKrh2K0BRtHnrTUOfVV6R-Eow</t>
  </si>
  <si>
    <t>c. Ada pencemaran lingkungan dan ditindaklanjuti sebagian</t>
  </si>
  <si>
    <t>https://drive.google.com/open?id=1w_38kNYNXr-yJOgp8x4B8lwFADp0DqSE</t>
  </si>
  <si>
    <t>d. Ada pencemaran lingkungan namun tidak ditindaklanjuti (Tidak tersedia data/NA)</t>
  </si>
  <si>
    <t>https://drive.google.com/open?id=1xkinmq5Fsd5nEUfvpSSnf907GUCUDeZl</t>
  </si>
  <si>
    <t xml:space="preserve">Persentase perusahaan menyampaikan laporan Rencana Pengelolaan Lingkungan (RKL)/ Rencana Pemantauan Lingkungan (RPL) / Upaya Pengelolaan Lingkungan (UKL)/ Upaya Pemantauan Lingkungan (UPL)  secara berkala 6 bulan sekali </t>
  </si>
  <si>
    <t>Agar menambahkan keterangan waktu pelaporan semesteran oleh seluruh pelaku usaha dan/atau kegiatan di Kab. Sumenep</t>
  </si>
  <si>
    <t>Jumlah perusahaan yang menyampaikan laporan Rencana Pengelolaan Lingkungan (RKL)/ Rencana Pemantauan Lingkungan (RPL)/Upaya Pengelolaan Lingkungan (UKL)/ Upaya Pemantauan Lingkungan (UPL)  secara berkala 6 bulan sekali dibagi jumlah total perusahaan di Kab/Kota, dalam satuan ukur persentase.</t>
  </si>
  <si>
    <t>Dokumen kegiatan/ Laporan Dinas Lingkungan Hidup/ Kesehatan</t>
  </si>
  <si>
    <r>
      <rPr>
        <rFont val="Arial Narrow, Arial"/>
        <color theme="1"/>
        <sz val="12.0"/>
      </rPr>
      <t xml:space="preserve">a.  </t>
    </r>
    <r>
      <rPr>
        <rFont val="Arial Narrow"/>
        <color theme="1"/>
        <sz val="12.0"/>
        <u/>
      </rPr>
      <t>&gt;</t>
    </r>
    <r>
      <rPr>
        <rFont val="Arial Narrow"/>
        <color theme="1"/>
        <sz val="12.0"/>
      </rPr>
      <t xml:space="preserve"> 80% </t>
    </r>
  </si>
  <si>
    <t>https://drive.google.com/open?id=1QtBSCxfIT_BZbMEdIweoesliB5Xlg-BJ</t>
  </si>
  <si>
    <r>
      <rPr>
        <rFont val="Arial Narrow, Arial"/>
        <color theme="1"/>
        <sz val="12.0"/>
      </rPr>
      <t xml:space="preserve">b. </t>
    </r>
    <r>
      <rPr>
        <rFont val="Arial Narrow"/>
        <color theme="1"/>
        <sz val="12.0"/>
        <u/>
      </rPr>
      <t>&gt;</t>
    </r>
    <r>
      <rPr>
        <rFont val="Arial Narrow"/>
        <color theme="1"/>
        <sz val="12.0"/>
      </rPr>
      <t xml:space="preserve"> 50 sd &lt; 80% </t>
    </r>
  </si>
  <si>
    <t xml:space="preserve">Persentase usaha mikro sektor makanan, minuman, industri pengolahan yang memiliki Sertifikat PIRT, MD BPOM/Izin Edar </t>
  </si>
  <si>
    <t xml:space="preserve">Pemda membantu mengurus  dokumen legalitas bagi pelaku UMKM sektor makanan, minuman, industri pengolahan yang memiliki Sertifikat Laik Higiene Sanitasi (SLHS), PIRT, MD BPOM/Izin Edar 
04102023: Jumlah produk UMKM (makanan dan minuman kemasan) yang sudah dilakukan sertifikasi </t>
  </si>
  <si>
    <t>Data Sertifikat Laik Higiene Sanitasi (SLHS), PIRT, MD BPOM/Izin Edar di peroleh dari Dinas KUMKM,BPOM daerah, Dinas Perindustrian atau Dinas Perijinan PTSP daerah</t>
  </si>
  <si>
    <r>
      <rPr>
        <rFont val="Arial Narrow, Arial"/>
        <color theme="1"/>
        <sz val="12.0"/>
      </rPr>
      <t xml:space="preserve">a.  </t>
    </r>
    <r>
      <rPr>
        <rFont val="Arial Narrow"/>
        <color theme="1"/>
        <sz val="12.0"/>
        <u/>
      </rPr>
      <t>&gt;</t>
    </r>
    <r>
      <rPr>
        <rFont val="Arial Narrow"/>
        <color theme="1"/>
        <sz val="12.0"/>
      </rPr>
      <t xml:space="preserve"> 80% </t>
    </r>
  </si>
  <si>
    <t>https://drive.google.com/open?id=1pDneqTpUAUyaSGVDS3IbEdwzjUUYSzCa</t>
  </si>
  <si>
    <t>sebaiknya dokumen tidak dalm bentuk scane</t>
  </si>
  <si>
    <r>
      <rPr>
        <rFont val="Arial Narrow, Arial"/>
        <color theme="1"/>
        <sz val="12.0"/>
      </rPr>
      <t xml:space="preserve">b. </t>
    </r>
    <r>
      <rPr>
        <rFont val="Arial Narrow"/>
        <color theme="1"/>
        <sz val="12.0"/>
        <u/>
      </rPr>
      <t>&gt;</t>
    </r>
    <r>
      <rPr>
        <rFont val="Arial Narrow"/>
        <color theme="1"/>
        <sz val="12.0"/>
      </rPr>
      <t xml:space="preserve"> 50 sd &lt; 80% </t>
    </r>
  </si>
  <si>
    <t>https://drive.google.com/open?id=1-Elr4Ye_VC3ONTu07I0wE-FZ4Ih8Ap2O</t>
  </si>
  <si>
    <t xml:space="preserve">TATANAN PARIWISATA </t>
  </si>
  <si>
    <t xml:space="preserve">Keberadaan regulasi daerah tentang Pariwisata Sehat </t>
  </si>
  <si>
    <t>Pemerintah daerah menyusun Regulasi terkait Penyelenggaraan Kepariwisataan dalam bentuk PerDa, dimana didalam pasal terdapat substansi yang berupa: pembangunan dan penguatan kepariwisataan ; Destinasi, SDM, dan industri pariwisata yang bertatanan pariwisata sehat, CHSE, berkelanjutan dan ramah wisatawan; sapta pesona;</t>
  </si>
  <si>
    <t>data dapat diperoleh pada Dinas Pariwisata / Bappeda</t>
  </si>
  <si>
    <t>Peraturan Daerah (Tentang penyelenggaraan Kepariwisataan), Perwali/Perbup</t>
  </si>
  <si>
    <t>https://drive.google.com/open?id=1ETFF445Q4i0NyZXVoVrUFyJmQpBXG5Vf</t>
  </si>
  <si>
    <t>https://drive.google.com/open?id=1IvKb-9SlG9fSqd1Q6TMszKgrNPvDKgDn</t>
  </si>
  <si>
    <t xml:space="preserve">Rencana Induk Pembangunan Pariwisata Daerah (RIPPARDA) masuk dalam dokumen perencanaan daerah (RPJMD/Renstra/RKPD) </t>
  </si>
  <si>
    <t>Rencana induk kepariwisataan nasional menjadi acuan bagi pemerintah daerah untuk menyusun Rencana Induk Kepariwisataan Daerah, berdasarkan Pasal 5 Peraturan Pemerintah Nomor 50 Tahun 2011 tentang Rencana Induk Pembangunan Kepariwisataan Nasional Tahun 2010-2025, Pemerintah Daerah mensinergikan penyusunan Rencana Induk Pembangunan Kepariwisataan Provinsi dan Kabupaten/Kota;</t>
  </si>
  <si>
    <t>Rencana Induk Pembangunan
Kepariwisataan Provinsi dan Kabupaten/Kota meliputi:
a. landasan pembangunan kepariwisataan;
b. muatan materi Rencana Induk Pembangunan
Kepariwisataan Provinsi (RIPPAR-PROV) dan Rencana Induk Pembangunan Kepariwisataan Kabupaten/Kota (RIPPAR-KAB/KOTA);</t>
  </si>
  <si>
    <t>sudah ditetapkan dalam bentuk Peraturan Daerah. Data dapat diperolah di Dinas Pariwisata dan Bappeda daerah</t>
  </si>
  <si>
    <t>https://drive.google.com/open?id=1G4-VOVqGLl4jYRjtangTxuajiCYFzF3A</t>
  </si>
  <si>
    <t>https://drive.google.com/open?id=1MpMva_kx3JOsW_bU-I8e3KD1N9-UkSef</t>
  </si>
  <si>
    <t>Jumlah Usaha Daya Tarik Wisata  yang mengimplementasi kawasan tanpa rokok (KTR)</t>
  </si>
  <si>
    <t>https://drive.google.com/open?id=1aGQzdxYzfw3mCE6r0EA7GnRZ6XoiC3pr</t>
  </si>
  <si>
    <t>Jumlah Usaha Daya Tarik Wisata (DTW) yang mengimplementasi kawasan tanpa rokok (KTR) serta dukungan media KIE.  
Usaha daya tarik wisata, merupakan usaha yang kegiatannya mengelola:
a. daya tarik wisata alam;
b. daya tarik wisata budaya; dan
c. daya tarik wisata buatan/binaan manusia</t>
  </si>
  <si>
    <t>Pendataan Perangkat daerah yang membidangi urusan Kepariwisataan kepada para pengelola daya tarik wisata</t>
  </si>
  <si>
    <t>Rekap Data Usaha Daya Tarik Wisata (DTW) yang mengimplementasikan kawasan tanpa rokok (KTR)</t>
  </si>
  <si>
    <t>a. Semua DTW mengimplementasikan KTR</t>
  </si>
  <si>
    <t>https://drive.google.com/open?id=129ttUEbA_E4oXBdblO_BnbuI7wb7Pe3v</t>
  </si>
  <si>
    <t>Tolong untuk ditambahkan data dukung dokumentasi terkait KTR</t>
  </si>
  <si>
    <t>b. Sebagian DTW mengimplementasikan KTR</t>
  </si>
  <si>
    <t>https://drive.google.com/open?id=1x_cl4Dqouot4YHMP25_EPXsshPPmr7WE</t>
  </si>
  <si>
    <t>https://drive.google.com/open?id=12GiNF_miLHW8tWgG07I8rEgkn9_yezYX</t>
  </si>
  <si>
    <t xml:space="preserve">Persentase sarana akomodasi pariwisata yang laik sehat </t>
  </si>
  <si>
    <t>Kemenkes : Permenkes 14/2021</t>
  </si>
  <si>
    <t>Laporan Dinas Kesehatan</t>
  </si>
  <si>
    <t xml:space="preserve">a. ≥ 71% </t>
  </si>
  <si>
    <t>https://drive.google.com/open?id=1LkgG0KhsJaP4W9N3xZ0jCi3Dp8bXDFbR</t>
  </si>
  <si>
    <t xml:space="preserve">b. &lt; 71% </t>
  </si>
  <si>
    <t>https://drive.google.com/open?id=1x70C02CE73_gu-REd9FbP_an-HKigsIo</t>
  </si>
  <si>
    <t>Persentase restoran yang memiliki sertifikat laik hygiene sanitasi (SLHS)</t>
  </si>
  <si>
    <t>https://drive.google.com/open?id=17QXz50j_Rk9PHGiM6_qkTxU2rXTKmcvx</t>
  </si>
  <si>
    <t>Seluruh restoran baik berdiri sendiri ataupun bergabung dengan akomodasi/hotel di lokasi Daya Tarik Wisata (DTW) yang memiliki sertifikat laik hygiene sanitasi (SLHS) dibagi jumlah restoran baik berdiri sendiri ataupun bergabung dengan akomodasi/hotel yang ada di Daya Tarik Wisata (DTW) dikali 100</t>
  </si>
  <si>
    <t>Perangkat daerah yang membidangi terkait urusan kepariwisataan berkoordinasi dengan kesehatan &amp; DPMPTSP</t>
  </si>
  <si>
    <t>Laporan Dinas Kesehatan dan DPMPTSP</t>
  </si>
  <si>
    <t xml:space="preserve">a. ≥ 65% </t>
  </si>
  <si>
    <t>https://drive.google.com/open?id=1-BUrtYJEVzWYULO5fKKs4tGBLDegI7y5</t>
  </si>
  <si>
    <t xml:space="preserve">b. &lt; 65% </t>
  </si>
  <si>
    <t>https://drive.google.com/open?id=159eQf3dHSzm8Jr8wZ5bIj29um9aLfjLN</t>
  </si>
  <si>
    <t>Keberadaan Daya Tarik Wisata (DTW) yang menyediakan fasilitas pelayanan kesehatan atau bekerjasama dengan fasilitas pelayanan kesehatan terdekat</t>
  </si>
  <si>
    <t>https://drive.google.com/open?id=1aGR06B8eEl6eg5_LKU0KodiouI_Ep5Ua</t>
  </si>
  <si>
    <r>
      <rPr>
        <rFont val="Arial Narrow"/>
        <color theme="1"/>
        <sz val="12.0"/>
      </rPr>
      <t xml:space="preserve">PP. 50 2011 Pasal 25, destinasi mempunyai fasilitas:
fasilitas umum diantaranya :
</t>
    </r>
    <r>
      <rPr>
        <rFont val="Arial Narrow"/>
        <i/>
        <color theme="1"/>
        <sz val="12.0"/>
      </rPr>
      <t>fasilitas kesehatan berupa poliklinik 24 (dua puluh empat) jam dan fasilitas  pertolongan pertama pada kecelakaan;</t>
    </r>
    <r>
      <rPr>
        <rFont val="Arial Narrow"/>
        <color theme="1"/>
        <sz val="12.0"/>
      </rPr>
      <t xml:space="preserve">
dll</t>
    </r>
  </si>
  <si>
    <t>Perangkat daerah yang membidangi urusan Kepariwisataan berkoordinasi dengan kesehatan atau pihak ketiga lainnya</t>
  </si>
  <si>
    <t>1. Terdapat fasilitas layanan kesehatan bagi wisatawan di Daya Tarik Wisata (cek fisik lapangan)
2. Dokumen kerjasama dengan faskes terdekat
3. Rekap data Daya Tarik Wisata (DTW) yang menyediakan fasilitas pelayanan kesehatan atau bekerjasama dengan fasilitas pelayanan kesehatan terdekat</t>
  </si>
  <si>
    <t>a. Seluruh DTW menyediakan fasilitas pelayanan kesehatan</t>
  </si>
  <si>
    <t>https://drive.google.com/open?id=1IU_mopxc0nqxH6XAphczVNvS5QWyUady</t>
  </si>
  <si>
    <t>Tolong ditambahkan data dukung dokumentasi, dan kalau bisa kerjasama sama piskesmas terdekat</t>
  </si>
  <si>
    <t>b. Sebagian DTW menyediakan fasilitas pelayanan kesehatan</t>
  </si>
  <si>
    <t>https://drive.google.com/open?id=1ZZDjFbbF7dAbDP1d8jnP728A-dF0lcj7</t>
  </si>
  <si>
    <t>Jumlah Daya Tarik Wisata (DTW) yang memiliki sertifikat laik sehat (SLS)</t>
  </si>
  <si>
    <t>https://drive.google.com/open?id=1wocevw5UscA_JOzHIHgVeI7-Ltd9fqlF</t>
  </si>
  <si>
    <t xml:space="preserve">
Jumlah Daya Tarik Wisata (DTW) yang memiliki sertifikat laik sehat (SLS) dalam waktu setiap tahun sesuai Permenkes Nomor 14/2021</t>
  </si>
  <si>
    <t>Dinas Kesehatan, Dinas Pariwisata, DPMPTSP</t>
  </si>
  <si>
    <t>a. Meningkat dari tahun sebelumnya</t>
  </si>
  <si>
    <t>https://drive.google.com/open?id=1tt40yLK50pNhagF8m7j6wACltl58_edq</t>
  </si>
  <si>
    <t>b. Tidak ada peningkatan dari tahun sebelumnya</t>
  </si>
  <si>
    <t>https://drive.google.com/open?id=1Fm_Jj0RqxGnwOhFYLYNaupWGziV0jYbO</t>
  </si>
  <si>
    <t>Persentase Daya Tarik Wisata (DTW) yang menerapkan pariwisata inklusif</t>
  </si>
  <si>
    <r>
      <rPr>
        <rFont val="Arial Narrow"/>
        <color theme="1"/>
        <sz val="12.0"/>
      </rPr>
      <t>Jumlah Daya Tarik Wisata (DTW) yang memiliki  fasilitas khusus bagi penyandang disabilitas, anak-anak dan lanjut usia dibagi Jumlah Daya Tarik Wisata (DTW) di Kabupaten/Kota dikali 100</t>
    </r>
    <r>
      <rPr>
        <rFont val="Arial Narrow"/>
        <i/>
        <color theme="1"/>
        <sz val="12.0"/>
      </rPr>
      <t xml:space="preserve">
</t>
    </r>
  </si>
  <si>
    <t xml:space="preserve">Rekap data Jumlah Daya Tarik Wisata (DTW) yang memiliki  fasilitas khusus bagi penyandang disabilitas, anak-anak dan lanjut usia </t>
  </si>
  <si>
    <t xml:space="preserve">a. ≥ 75% </t>
  </si>
  <si>
    <t>https://drive.google.com/open?id=1pRa3lsuH-rBV7RMkK3KPc26ZJRcGgjac</t>
  </si>
  <si>
    <t>Tolong ditambahkan data dukung yg real. Berupa dokumentasi dan kalau bisa di list mana yg sudah dan belum menerapkan pariwisata insklusif</t>
  </si>
  <si>
    <t xml:space="preserve">b. 50-75% </t>
  </si>
  <si>
    <t>https://drive.google.com/open?id=1UthlDJhxnT3HWlEQ4zaxVG_DJlr1EkHR</t>
  </si>
  <si>
    <t>https://drive.google.com/open?id=12lAVcUCjYiTLI1UdVS3HWMdw3JqvKTcZ</t>
  </si>
  <si>
    <t>Daya Tarik Wisata (DTW) menyediakan asuransi keselamatan bagi wisatawan</t>
  </si>
  <si>
    <t>https://drive.google.com/open?id=1-b9Rg8cXXG0FJjH7ZgDfeVe_Uybtr0pL</t>
  </si>
  <si>
    <t>Tolong ditambahkan data dukung berupa dokumentasi yg berada di DTW yg menyediakan asuransi</t>
  </si>
  <si>
    <t>Jumlah Daya Tarik Wisata (DTW) menyediakan asuransi keselamatan bagi wisatawan 
Pasal 26 UU Cipta kerja, butir d dan e, menyebut bahwa 
d. memberikan kenyamanan, keramahan, pelindungan keamanan, dan keselamatan wisatawan;
e. memberikan pelindungan asuransi pada usaha pariwisata dengan kegiatan yang berisiko tinggi;</t>
  </si>
  <si>
    <t>Rekap data Daya Tarik Wisata (DTW) menyediakan asuransi keselamatan bagi wisatawan</t>
  </si>
  <si>
    <t>a.   Seluruh DTW menyediakan asuransi bagi wisatawan</t>
  </si>
  <si>
    <t>https://drive.google.com/open?id=1fD9w_oOtCttF9zBcfGJB5zhXY4TT_-MZ</t>
  </si>
  <si>
    <t>b.   Tidak semua DTW menyediakan asuransi</t>
  </si>
  <si>
    <t>https://drive.google.com/open?id=1KCpCEN5G8b9j6iWxR-pbo0d0Nbdss1tf</t>
  </si>
  <si>
    <t>c.   Tidak ada</t>
  </si>
  <si>
    <t>Tersedianya Daya Tarik Wisata (DTW) yang kondusif</t>
  </si>
  <si>
    <t>https://drive.google.com/open?id=1zbYRSU9I31nufYgDXnKWHN_3BzR_95Xt</t>
  </si>
  <si>
    <t xml:space="preserve">Tersedianya Daya Tarik Wisata (DTW)  yang memiliki kerja sama antara pengelola Daya Tarik Wisata (DTW) dengan pemangku kepentingan (stakeholder terkait) antara lain : Bhabinkamtibmas/Obvit (POLRI), Babinsa (TNI), atau satuan pengamanan/ kelompok masyarakat  </t>
  </si>
  <si>
    <t>Perangkat daerah yang membidangi urusan Kepariwisataan berkoordinasi dengan pengelola Daya Tarik Wisata (DTW)</t>
  </si>
  <si>
    <t>Rekap data Daya Tarik Wisata (DTW) yang kondusif yang diperoleh dari pengelola Daya Tarik Wisata (DTW)</t>
  </si>
  <si>
    <t xml:space="preserve">a. Ya, pada semua daya tarik wisata </t>
  </si>
  <si>
    <t>https://drive.google.com/open?id=14hTeUNYeYCRrPemJAlpplkxgxZVN445c</t>
  </si>
  <si>
    <t>Apakah ada data dukung yang spesifik, yg berprosentase dan terdapat dokumentasi yg menunjukan kenyamanan pengunjung</t>
  </si>
  <si>
    <t xml:space="preserve">b. Ya, namun belum di semua daya tarik wisata </t>
  </si>
  <si>
    <t>https://drive.google.com/open?id=1vlH3dQ5mFIJnJmJdcdXsglTo-mJN5AG_</t>
  </si>
  <si>
    <t xml:space="preserve">Kabupaten/Kota memiliki Desa/Kampung Wisata </t>
  </si>
  <si>
    <t>https://drive.google.com/open?id=1ZXAII0oYMcQF1xnMmkuPCp8CpHgTh2Jf</t>
  </si>
  <si>
    <t xml:space="preserve">Desa wisata (Kampung, Nagari, Gampong, atau sebutan lainnya) adalah kawasan yang memiliki potensi dan keunikan daya tarik wisata yang khas yaitu merasakan pengalaman keunikan kehidupan dan tradisi masyarakat di perdesaan dengan segala potensinya. </t>
  </si>
  <si>
    <t>Perangkat daerah yang membidangi urusan Kepariwisataan</t>
  </si>
  <si>
    <t>daftar desa wisata yang sudah di SK kan Kepala Daerah</t>
  </si>
  <si>
    <t>https://drive.google.com/open?id=1Dcc9k-6wL61-C6KcyZ2r9G89oXOWMNjW</t>
  </si>
  <si>
    <t>Tolong dibuatkan data pendukung.. DTW Mana saja? Beserta data dukung dokumentasi DTW</t>
  </si>
  <si>
    <t>https://drive.google.com/open?id=1Gw-_zPGNA-iRw6o9dydw1ht_nhWzMeRq</t>
  </si>
  <si>
    <t>https://drive.google.com/open?id=1Yj9VZTcPl-XHg898W0ccF9RWBUFo4xGs</t>
  </si>
  <si>
    <t xml:space="preserve">Tedapat Kelompok Sadar Wisata (Pokdarwis) di setiap Desa/Kampung Wisata
</t>
  </si>
  <si>
    <t>Setiap Desa/Kampung Wisata memliki Kelompok Sadar Wisata (Pokdarwis) yang dibuktikan dengan keberadaan SK, rencana kerja, laporan dan implementasi inovasi yang teraplikasi. 
Ada : SK 
berfungsi : rencana kerja dan laporan
berkelanjutan :   implementasi inovasi yang teraplikasi
Kampung Wisata : di Kota, SK ditetapkan oleh Lurah
5000 Desa wisata (jejaring desa wisata)</t>
  </si>
  <si>
    <t xml:space="preserve">Perangkat daerah yang membidangi urusan Kepariwisataan </t>
  </si>
  <si>
    <t>data di Dinas Pariwisata</t>
  </si>
  <si>
    <t>a.   Ada, berfungsi dan berkelanjutan</t>
  </si>
  <si>
    <t>https://drive.google.com/open?id=1UBgaltOF840_nu8d5qfhNzbHUT4Guy_6</t>
  </si>
  <si>
    <t>Apakah semuanya punya pokdarwis? Kontribusi pokdarwis seperti apa untuk desa wisata? Tolong ditambakan bukti dukung yg lengkap seperi cp pokdarwis</t>
  </si>
  <si>
    <t>b.   Ada, berfungsi</t>
  </si>
  <si>
    <t>https://drive.google.com/open?id=1yG9lAskAZE4n8S_OQBHTmsr6PdNw0bTn</t>
  </si>
  <si>
    <t>https://drive.google.com/open?id=1pfSP7ozlppobG6qYcK5qIBUjsFF89B8D</t>
  </si>
  <si>
    <t>https://drive.google.com/open?id=1cWEYRMNrh7E_uMF916OOENlOJMwLJIYy</t>
  </si>
  <si>
    <t>Persentase Tempat Pengolahan Pangan (TPP) Sertifikat dan Non Sertifikat Laik higiene Sanitasi (SLHS) yang dilakukan pembinaan/pengawasan dengan pemberian label</t>
  </si>
  <si>
    <t>Jumlah Tempat Pengolahan Pangan (TPP) Sertifikat SLHS dan Non Sertifikat Laik higiene Sanitasi yang dilakukan pembinaan/pengawasan dengan pemberian label di Kabupaten/Kota dibagi jumlah seluruh TPP di Kabupaten/Kota dikali 100.</t>
  </si>
  <si>
    <t>Perangkat daerah yang membidangi terkait pembinaan Tempat Pengolahan Pangan (TPP) (dinas kesehatan)</t>
  </si>
  <si>
    <t>laporan dan data di Dinas Kesehatan, E-Monev HSP, PTSP SLHS</t>
  </si>
  <si>
    <r>
      <rPr>
        <rFont val="Arial Narrow"/>
        <color theme="1"/>
        <sz val="12.0"/>
      </rPr>
      <t xml:space="preserve">a. </t>
    </r>
    <r>
      <rPr>
        <rFont val="Calibri"/>
        <color theme="1"/>
        <sz val="12.0"/>
      </rPr>
      <t xml:space="preserve">≥ </t>
    </r>
    <r>
      <rPr>
        <rFont val="Arial Narrow"/>
        <color theme="1"/>
        <sz val="10.0"/>
      </rPr>
      <t xml:space="preserve">71% </t>
    </r>
    <r>
      <rPr>
        <rFont val="Arial Narrow"/>
        <color theme="1"/>
        <sz val="12.0"/>
      </rPr>
      <t>TPP SLHS dan ≥ 71% TPP Non SLHS</t>
    </r>
  </si>
  <si>
    <t>https://drive.google.com/open?id=1iipB5pDbtgVpDF0hghtZZKWX9YoiyHWb</t>
  </si>
  <si>
    <t>b. 51 - 70% TPP SLHS dan 51 - 70% TPP Non SLHS</t>
  </si>
  <si>
    <t>https://drive.google.com/open?id=1HJDL9egq43fCmvzVc6JtQA9jTVILthQY</t>
  </si>
  <si>
    <t>c. 31 - 50 % TPP SLHS dan 31 - 50 % TPP Non SLHS</t>
  </si>
  <si>
    <t>https://drive.google.com/open?id=1QTyq_R-LbJ_VV7HY5yopYgAoIi1skbMS</t>
  </si>
  <si>
    <t>d. &lt; 30% TPP SLHS dan &lt; 30% TPP Non SLHS</t>
  </si>
  <si>
    <t>https://drive.google.com/open?id=1oVSfqybXElg_A6l_pt9esIOVKQSO-PMt</t>
  </si>
  <si>
    <t>Persentase Usaha Daya Tarik Wisata yang memiliki upaya pengelolaan sampah secara mandiri</t>
  </si>
  <si>
    <t>https://drive.google.com/open?id=1hlL-rZKvRiWTxUfFZv0_2lGBn5SNEyQ5</t>
  </si>
  <si>
    <t>Usaha Daya Tarik Wisata yang memiliki Unit Pengelolaan Sampah berupa bank sampah, TPS 3R, Unit Pengelolaan Sampah)</t>
  </si>
  <si>
    <t xml:space="preserve">terbentuknya kelompok masyarakat mengelola sampah secara mandiri (bank sampah, TPS, 3R, Unit Pengelolaan Sampah, TPA) </t>
  </si>
  <si>
    <t>KLHK, SIPSN ( Sistem Informasi Pengelolaan Sampah Nasiional)
Dinas LH Provinsi, Kab/Kota</t>
  </si>
  <si>
    <t>https://drive.google.com/open?id=1h9g9vsuxbZL62IHYPB0lZ9F4QQ8qu_8R</t>
  </si>
  <si>
    <t>Jumlah Usaha Daya Tarik Wisata yang memiliki Unit Pengelolaan Sampah berupa bank sampah, TPS 3R, Unit Pengelolaan Sampah)</t>
  </si>
  <si>
    <t>https://drive.google.com/open?id=1TUtO7EVcrodfGeevlVSZy9KrOaHGJ7bB</t>
  </si>
  <si>
    <t>https://drive.google.com/open?id=1OshriKIA7Ku6idPR8iRiOOrW18H_cwU7</t>
  </si>
  <si>
    <t>https://drive.google.com/open?id=1ut5-SR75CoZqVjhybECUf3hoGwTBk9WG</t>
  </si>
  <si>
    <t>TATANAN TRANSPORTASI DAN  TERTIB LALU LINTAS JALAN</t>
  </si>
  <si>
    <t>Adanya regulasi terkait penyediaan layanan transportasi jalan, kawasan tertib lalu lintas, sistem manajemen keselamatan lalu lintas dan angkutan jalan</t>
  </si>
  <si>
    <t>https://drive.google.com/open?id=16HuWzCAPsx0Nf9tDw3NBFQXVbDw7QdH4</t>
  </si>
  <si>
    <t>Sesuai UU No 23 tahun 2014 tentang pembagian kewenangan dan UU No 22 tahun 2009 tentang LLAJ, ada Pembagian kewenangan pembinaan antara pemerintah pusat dan daerah, dimaksudkan agar tugas dan tanggung jawab setiap pembina bidang Lalu Lintas dan Angkutan Jalan terlihat lebih jelas dan transparan sehingga penyelenggaraan Lalu Lintas dan Angkutan Jalan dapat terlaksana dengan selamat, aman, tertib, lancar, dan efisien, serta dapat dipertanggungjawabkan</t>
  </si>
  <si>
    <t xml:space="preserve">
Perda/Perbub/Perwali tentang Transportasi yang didalamnya setidaknya mengakomodir salah satu diantaranya tentang penyelenggaraan transportasi lalu lintas dan angkutan jalan </t>
  </si>
  <si>
    <t xml:space="preserve">Dokumen Perda/Perbub/Perwali tentang Transportasi yang didalamnya setidaknya mengakomodir salah satu diantaranya tentang penyelenggaraan transportasi lalu lintas dan angkutan jalan </t>
  </si>
  <si>
    <t>https://drive.google.com/open?id=171FbacIbDfnFh7XLEsz5fZDXI3kKUnnD</t>
  </si>
  <si>
    <t xml:space="preserve">b. Tidak </t>
  </si>
  <si>
    <t>https://drive.google.com/open?id=1xnFoFUhaWdJFLNKy8S4zAWlyCuDereoY</t>
  </si>
  <si>
    <t>Persentase kendaraan umum yang laik jalan</t>
  </si>
  <si>
    <t>https://drive.google.com/open?id=15w5EBN2b81mqfKCdHcE2GF2cTpxMc9dB</t>
  </si>
  <si>
    <t>Pelaksanaan kegiatan pengecekan kendaraan yang laik jalan masuk dalam sistem keselamatan jalan yang tertuang dalam peraturan menteri perhubungan republik indonesia nomor pm 85 tahun 2018 tentang sistem manajemen keselamatan perusahaan angkutan umum serta keputusan dirjen perhubungan darat no KP 1990/AJ.503/DRJD/ tahun 2019 tentang tata cara penilaian sistem manajemn keselamatan angkutan umum pasal 4
Jumlah kendaraan yang laik jalan masuk dalam sistem keselamatan jalan yang dibagi dengan jumlah total kendaraan yang masuk 
Peraturan menteri perhubungan republik indonesia nomor pm 85 tahun 2018 tentang sistem manajemen keselamatan perusahaan angkutan umum serta keputusan dirjen perhubungan darat no KP 1990/AJ.503/DRJD/ tahun 2019 tentang tata cara penilaian sistem manajemn keselamatan angkutan umum pasal 4</t>
  </si>
  <si>
    <t xml:space="preserve">data dapat diperoleh pada dinas perhubungan </t>
  </si>
  <si>
    <t xml:space="preserve">Laporan Dinas Perhubungan Kabupaten/Kota terkait cek fisik dan data dukung lainnya </t>
  </si>
  <si>
    <t>a. ≥ 80% dari jumlah kendaraan</t>
  </si>
  <si>
    <t>https://drive.google.com/open?id=1ZR9kiHFQrUkJbFqctCL86Hiq7M9bPIFt</t>
  </si>
  <si>
    <t>b. &lt; 80% dari jumlah kendaraan</t>
  </si>
  <si>
    <t>https://drive.google.com/open?id=13w1Jx_PLJdp7pf2AF2mePzer-vxpAuG3</t>
  </si>
  <si>
    <t>Persentase penurunan tingkat fatalitas akibat kecelakaan dalam tahun berjalan</t>
  </si>
  <si>
    <t xml:space="preserve">Penurunan tingkat fatalitas korban kecelakaan dalam 1 tahun terakhir </t>
  </si>
  <si>
    <t xml:space="preserve">
Sumber data : Satlantas Kabupaten/Kota atau pihak PT Jasa Raharja Kabupaten/Kota </t>
  </si>
  <si>
    <t xml:space="preserve">Laporan Polisi terkait kecelakaan </t>
  </si>
  <si>
    <t>a. Kurang atau sama dengan minimal per tahun 62-65%</t>
  </si>
  <si>
    <t>https://drive.google.com/open?id=1wGfdstYGj5Xd-4iA8YU8F5J_Yhy_Xphv</t>
  </si>
  <si>
    <t>b. Meningkat atau tidak ada penurunan</t>
  </si>
  <si>
    <t xml:space="preserve">Adanya penerapan Kawasan Tanpa Rokok di Terminal
</t>
  </si>
  <si>
    <t xml:space="preserve">Terdapat area merokok 
Berdasarkan Permenhub No 24 Tahun 2021 pasal 42 menyatakan semua terminal baik yang beroperasi atau yang tidak beroperasi wajib menyediakan area untuk merokok </t>
  </si>
  <si>
    <t xml:space="preserve">
foto atau dokumentasi seluruh terminal yang menunjukkan area untuk merokok </t>
  </si>
  <si>
    <t xml:space="preserve">
Foto atau dokumentasi seluruh terminal yang menunjukkan area untuk merokok 
Cek fisik dengan verifikasi lapangan </t>
  </si>
  <si>
    <t>https://drive.google.com/open?id=1f2g4W1ybw3RdS8bOcmx_XCsGDVeCCfi7</t>
  </si>
  <si>
    <t>mohon dokumentasi menunjukkan lokasi di Terminal</t>
  </si>
  <si>
    <t xml:space="preserve">Keberadaan sistem layanan pertolongan kecelakaan yang cepat dan terintegrasi
Kesiapsiagaan dalam penanganan korban kecelakaan </t>
  </si>
  <si>
    <t xml:space="preserve">Sistem aplikasi online layanan dalam penanganan korban kecelakaan yang terintegrasi antara satuan perangkat pemerintah yang memiliki tanggung jawab dalam penanganan kecelakaan (misal dinas kesehatan dalam menyediakan ambulance dan pertolongan pertama, dinas perhubungan dalam pengaturan lalu lintas dan lain-lain) dan tersosialisasi di masyarakat serta dapat diakses oleh masyarakat. Sebagai contoh layanan pengaduan kecelakaan.
</t>
  </si>
  <si>
    <t xml:space="preserve">Kepolisian Kabupaten/Kota, Diskominfo, Dinas Perhubungan, Dinas Kesehatan </t>
  </si>
  <si>
    <t xml:space="preserve">Berita Acara bahwa kabupaten/kota memiliki sistem aplikasi online atau mencantumkan tautan sistem aplikasinya </t>
  </si>
  <si>
    <t>a. Tersedianya sistem layanan dalam penanganan korban kecelakaan 
sudah terintegrasi dan tersosialisasi di masyarakat</t>
  </si>
  <si>
    <t>https://drive.google.com/open?id=1oFEITUceNn70SLtLyz5APtt9g3OgefMV</t>
  </si>
  <si>
    <t>b. Tersedianya sistem layanan dalam penanganan korban kecelakaan dan tersosialisasi di masyarakat</t>
  </si>
  <si>
    <t>https://drive.google.com/open?id=1pIbcYW0TAPbY1xTmtfBbYL7sDN55nDEP</t>
  </si>
  <si>
    <t xml:space="preserve">c. Tersedianya sistem layanan dalam penanganan korban kecelakaan </t>
  </si>
  <si>
    <t>d. Tidak tersedianya sistem layanan dalam penanganan korban kecelakaan</t>
  </si>
  <si>
    <t>Adanya program atau kegiatan pemeriksaan NAPZA atau narkoba terhadap pengemudi yang dilakukan</t>
  </si>
  <si>
    <t>Pelaksanaan kegiatan P4GN dan transportasi sebagaimana dimaksud melalui kegiatan: a. Sosialisasi;b. Advokasi; c. Operasi Rutin;d. Operasi Khusus; dan e. Operasi Kontijensi Bertujuan memberikan hasil yang optimal dan kegiatan dapat dipertanggungjawabkan, baik secara administratif maupun teknis pelaksanaannya</t>
  </si>
  <si>
    <t>Sumber data dari dinas perhubungan,kementerian perhubungan dan perusahaan angkutan</t>
  </si>
  <si>
    <t>data, dokumentasi dan dokumen lainnya</t>
  </si>
  <si>
    <t>a. Ada, berkala dan dilengkapi dengan dokumen</t>
  </si>
  <si>
    <t>https://drive.google.com/open?id=1ebdAenzOxGyMFyrnL_FarBqcJJnwTooW</t>
  </si>
  <si>
    <t>data dan dokumen belum menggambarkan kondisi thn 2022 dan thn 2023</t>
  </si>
  <si>
    <t>b. Ada, tidak berkala namun dilengkapi dokumen</t>
  </si>
  <si>
    <t>https://drive.google.com/open?id=1UxJTZ2cA2CA0e_ozYZPW7s2iI1h5o-eE</t>
  </si>
  <si>
    <t>c. Ada, tidak berkala dan tidak dilengkapi dokumen</t>
  </si>
  <si>
    <t>https://drive.google.com/open?id=1rvUHdRMaaYOZu_8iu8D9uB2f2yU6EpsR</t>
  </si>
  <si>
    <t>d. Tidak ada sama sekali</t>
  </si>
  <si>
    <t>Terminal yang memenuhi syarat kesehatan</t>
  </si>
  <si>
    <t>Kewajiban melaksanaan terminal yang sehat dan layak tertuang dalam Peraturan Menteri Perhubungan No 24 tahun 2021 tentang penyelenggaraan terminal angkutan jalan dan Peraturan Menteri Perhubungan no. 40 tahun 2015 tentang standar pelayanan penyelenggaraan terminal angkutan jalan sesuai dengan tolak ukur yang telah ditentukan</t>
  </si>
  <si>
    <t>Sumber data diterminal</t>
  </si>
  <si>
    <t>cek data dukung dan fisik diterminal</t>
  </si>
  <si>
    <t>a. Dilaksanakan inspeksi kesehatan lingkungan  dan memenuhi syarat kesehatan</t>
  </si>
  <si>
    <t>https://drive.google.com/open?id=1HhOYTlio59lWgNmZ8BOWcVuxZvWpMfhE</t>
  </si>
  <si>
    <t>bukti IKL belum ada</t>
  </si>
  <si>
    <t>b. Dilaksanakan inspeksi kesehatan lingkungan namun belum memenuhi syarat kesehatan</t>
  </si>
  <si>
    <t>https://drive.google.com/open?id=14HftMEr0xljBH2FQUB4KwUzglMxG2b_m</t>
  </si>
  <si>
    <t>c. Tidak dilaksanakan</t>
  </si>
  <si>
    <t>https://drive.google.com/open?id=1HYIlid_JAiLUakUWhsJNbzu4Vb_3chw-</t>
  </si>
  <si>
    <t>Persentase angkutan umum yang memiliki BLUe (Bukti Lulus Uji Elektronik)</t>
  </si>
  <si>
    <t>Peraturan menteri perhubungan republik indonesia nomor pm 19 tahun 2021 tentang pengujian berkala kendaraan bermotor bahwa pemerintah daerah wajib melaksanakan  Pengujian Kendaraan Bermotor                                         (Pengujian Kendaraan Bermotor adalah serangkaian kegiatan menguji dan/ atau memeriksa bagian atau komponen Kendaraan Bermotor, kereta gandengan, dan kereta tempelan dalam rangka pemenuhan terhadap persyaratan teknis dan laik jalan untuk memberikan jaminan keselamatan)</t>
  </si>
  <si>
    <t>sumber data pada dinas perhubungan untuk angkutan umum daerah dan kementerian perhubungan untuk angkutan umum lintas provinsi</t>
  </si>
  <si>
    <t>cek dokumen pada angkutan umum serta data dukung lainnya</t>
  </si>
  <si>
    <t>a. &gt; 80% dari jumlah kendaraan</t>
  </si>
  <si>
    <t>https://drive.google.com/open?id=1fWneK5HBmLhRsG5ygK2T26oqmpOQIjMe</t>
  </si>
  <si>
    <t>Data angkutan umum yang memiliki BLUe tidak ada</t>
  </si>
  <si>
    <t>b. 50 - 80% dari jumlah kendaraan</t>
  </si>
  <si>
    <t>https://drive.google.com/open?id=1ONOKy8Ki9VckVBndPxbfadfg76gC5bd4</t>
  </si>
  <si>
    <t>c. &lt; 50% dari jumlah kendaraan</t>
  </si>
  <si>
    <t>https://drive.google.com/open?id=11WuPN2wDzvW-nzzu4rdsCVZJmRrbWnif</t>
  </si>
  <si>
    <t>d. Tidak menerapkan BLUe</t>
  </si>
  <si>
    <t xml:space="preserve">Keberadaan fasilitas jalur pejalan kaki (trotoar) bagi masyarakat umum dan penyandang disabilitas </t>
  </si>
  <si>
    <t xml:space="preserve">https://drive.google.com/open?id=19J1_DfrE4OPw14FOe2jaALJhjs_mebZe, </t>
  </si>
  <si>
    <t>1. Peraturan Menteri PUPR Nomor 03/PRT/M/2014 tentang Perencanaan, Penyediaan, dan Pemanfaatan Prasarana dan Sarana Jaringan Pejalan Kaki diKawasan Perkotaan. 2. Bahwa fasilitas bagi penumpang penyandang disabilitas tertuang dalam peraturan menteri perhubungan nomor PM 98 tahun 2017 tentang penyediaan aksesblilitas pada pelayanan jasa trasnportasi publik bagi pengguna jasa berkebutuhan khusus</t>
  </si>
  <si>
    <t xml:space="preserve">sumber data dari dinas perhubungan </t>
  </si>
  <si>
    <t>cek fisik dilapangan</t>
  </si>
  <si>
    <t>a. Ada dan berfungsi sesuai peruntukannya</t>
  </si>
  <si>
    <t>https://drive.google.com/open?id=12qn1M-HGlySMXPFDnYqXMMRJAKEd0w3U</t>
  </si>
  <si>
    <t>b. Ada tapi tidak berfungsi sesuai peruntukkannya dan tidak ada</t>
  </si>
  <si>
    <t>https://drive.google.com/open?id=13CjXO7wyIR91_oA9DZ2QHG7rTlffRaIY</t>
  </si>
  <si>
    <t>Jumlah titik fasilitas jalur sepeda</t>
  </si>
  <si>
    <t>Peraturan Menhub Nomor 65 Tahun 1993 tentang Fasilitas Pendukung Kegiatan Lalu Lintas dan Angkutan Jalan</t>
  </si>
  <si>
    <t>cek fisik dilapangan serta data dukung lainnya</t>
  </si>
  <si>
    <t>a. Meningkat</t>
  </si>
  <si>
    <t>https://drive.google.com/open?id=1p1dS7H4ePJY6yoKSDcqpwl55spVedqmR</t>
  </si>
  <si>
    <t>data dan dokumentasi jalur sepeda belum ada</t>
  </si>
  <si>
    <t>c. Menurun</t>
  </si>
  <si>
    <t>Adanya zona selamat sekolah</t>
  </si>
  <si>
    <t>https://drive.google.com/open?id=1mUefjGLygw7KqDP_1NRX3KX_AXH6_3cP</t>
  </si>
  <si>
    <t>Peraturan Direktur Jenderal Perhubungan Darat No. SK.3582/AJ/403/DRJD/2018 tentang pedoman teknis pemberian prioritas keselamatan dan kenyamanan pejalan kaki pada kawasan sekolah melalui penyedian zona selamat  sekolah</t>
  </si>
  <si>
    <t>data dari kementerian perhubungan untuk diruas jalan nasional dan dinas perhubungan untuk dijalan kab/kota</t>
  </si>
  <si>
    <t>https://drive.google.com/open?id=1LBROwWrq6-HeNWW5yvtU2ZU1kQZTtuSu</t>
  </si>
  <si>
    <t>kondisi thn 2022 dan th 2023 belum dipilah</t>
  </si>
  <si>
    <t>https://drive.google.com/open?id=1kpXhBstj6LCVCAtf_rKIKEpvAYVa6kD8</t>
  </si>
  <si>
    <t>Pengawasan dan penindakan terhadap emisi gas buang kendaraan</t>
  </si>
  <si>
    <t>Tertuang dalam Peraturan Direktur Jenderal Perhubungan Darat No. SK.4963/AJ.402/DRDJ/2018 tentang pelaksanaan uji emisi gas buang pada pengujian tipe kendaraan bermotor</t>
  </si>
  <si>
    <t>data dan informasi dari dinas perhubungan</t>
  </si>
  <si>
    <t>a. Ada bengkel yang terakreditasi atau yang ditunjuk sesuai peraturan dan kegiatan pengawasan serta penindakan terdokumentasi</t>
  </si>
  <si>
    <t>https://drive.google.com/open?id=16nGQBkXtr3EaerfdarMO_5D47xTOmlsc</t>
  </si>
  <si>
    <t>bukti sertifikat bengkel (Pengujian Kendaraan Bermotor) yang terakreditasi belum ada</t>
  </si>
  <si>
    <t>b. Ada bengkel yang terakreditasi  atau ditunjuk sesuai peraturan yang ada dan kegiatan pengawasan serta penindakan tidak terdokumentasi</t>
  </si>
  <si>
    <t>https://drive.google.com/open?id=1SSBfECiDc-Kq53c5X_4TIoLH5a1AeCIX</t>
  </si>
  <si>
    <t>c. Tidak ada bengkel dan kegiatan pengawasan serta penindakan terdokumentasi</t>
  </si>
  <si>
    <t>d. Tidak ada bengkel dan tidak ada kegiatan pengawasan serta penindakan</t>
  </si>
  <si>
    <t>TATANAN PERLINDUNGAN SOSIAL</t>
  </si>
  <si>
    <t>Penerima Pelayanan Dasar yang diberikan layanan SPM Bidang Sosial</t>
  </si>
  <si>
    <t>https://drive.google.com/open?id=1eQwIfWA-MoePpiYgcPNev-juQ9u8ZDDL</t>
  </si>
  <si>
    <t>Penyandang Disabilitas Terlantar, Anak Terlantar, Lanjut Usia Terlantar, Gelandangan dan Pengemis mendapatkan layanan rehabilitasi sosial serta korban bencana yang mendapatkan perlindungan dan jaminan sosial sesuai SPM Bidang Sosial
(Permensos 9 Tahun 2018 dan Permengdari 59 Tahun 2021 Tentang Penerapan SPM )</t>
  </si>
  <si>
    <t>Dinas Sosial Kabupaten/Kota</t>
  </si>
  <si>
    <t>Capaian Penerapan SPM Bidang Sosial</t>
  </si>
  <si>
    <t>a. Memenuhi capaian SPM Bidang Sosial bernilai 100</t>
  </si>
  <si>
    <t>https://drive.google.com/open?id=1K6FBHRKgw05pk8uDI2fisvYX2Dv0cECv</t>
  </si>
  <si>
    <t>b. Tidak memenuhi capaian SPM</t>
  </si>
  <si>
    <t>https://drive.google.com/open?id=1qhSqkx_ULCNJJgMNDJopGyKKUsm42SgU</t>
  </si>
  <si>
    <t xml:space="preserve">Tersedianya data DTKS yang terverifikasi dan tervalidisasi </t>
  </si>
  <si>
    <t>https://drive.google.com/open?id=1-cI6EN7hdUcoFPwlHmIq7AP8dBDWui9Z</t>
  </si>
  <si>
    <r>
      <rPr>
        <rFont val="Arial Narrow"/>
        <color rgb="FF1E4E79"/>
        <sz val="12.0"/>
      </rPr>
      <t xml:space="preserve">Kegiatan pemberian kesejahteraan sosial </t>
    </r>
    <r>
      <rPr>
        <rFont val="Arial Narrow"/>
        <color theme="1"/>
        <sz val="12.0"/>
      </rPr>
      <t xml:space="preserve">melalui pemeriksaan data untuk memastikan proses usulan data yang telah dilakukan sesuai prosedur dan sesuai fakta dilapangan serta pengesahan data sehingga data valid untuk diusulkan ke dalam Sistem Informasi Kesejahteraan Sosial
(Permensos 3 Tahun 2021 Tentang Pengelolaan DTKS) </t>
    </r>
  </si>
  <si>
    <t xml:space="preserve">Data Terpadu Kesejahteraan Sosial ditetapkan setiap bulan </t>
  </si>
  <si>
    <t>Usulan hasil verifikasi dan validasi DTKS Kab/Kota, Aplikasi SIKSNG</t>
  </si>
  <si>
    <t>https://drive.google.com/open?id=1OhUSFpmXeWK5LxuWoq0b0m-gWjNwhBHM</t>
  </si>
  <si>
    <t>d. Tidak</t>
  </si>
  <si>
    <t>https://drive.google.com/open?id=1DKUbsnYhibU5qd6dlZUxgf32RQrBM-PE</t>
  </si>
  <si>
    <r>
      <rPr>
        <rFont val="Arial Narrow"/>
        <color theme="1"/>
        <sz val="12.0"/>
      </rPr>
      <t>Monitoring dan evaluasi program</t>
    </r>
    <r>
      <rPr>
        <rFont val="Arial Narrow"/>
        <strike/>
        <color theme="1"/>
        <sz val="12.0"/>
      </rPr>
      <t xml:space="preserve"> jaminan</t>
    </r>
    <r>
      <rPr>
        <rFont val="Arial Narrow"/>
        <color theme="1"/>
        <sz val="12.0"/>
      </rPr>
      <t xml:space="preserve"> perlindungan sosial yang dilakukan daerah 
</t>
    </r>
  </si>
  <si>
    <t>https://drive.google.com/open?id=11Sdc3-a1V3-7E5w2WI41FQewMRjTlcnN</t>
  </si>
  <si>
    <t>Kegiatan monitoring dan evaluasi untuk memastikan pelaksanaan program jaminan sosial untuk Keluarga Penerima Manfaat (KPM) yang mencakup bantuan langsung berkelanjutan dan bantuan sosial lainnya</t>
  </si>
  <si>
    <t>Dinas Sosial Kabupaten/Kota, Tim Koordinasi Penanggulangan Kemiskinan Daerah (TKPKD), UU 11 Tahun 2009 Tentang Kesejahteraan Sosial</t>
  </si>
  <si>
    <t xml:space="preserve">Laporan monitoring dan evaluasi </t>
  </si>
  <si>
    <t>a. Melakukan monitoring dan evaluasi</t>
  </si>
  <si>
    <t>https://drive.google.com/open?id=1y_uzzhjJceV6MG73-ljy53SoCPe1eBYv</t>
  </si>
  <si>
    <t>b. Tidak melakukan monitoring dan evaluasi</t>
  </si>
  <si>
    <t>https://drive.google.com/open?id=1gvkvUdk7j0e3dypJzHOcWDAFkqIHAFXy</t>
  </si>
  <si>
    <t>Persentase pelayanan komprehensif yang diberikan kepada perempuan dan anak korban kekerasan</t>
  </si>
  <si>
    <t>https://drive.google.com/open?id=1SRi_nM9ILrakXYKtCDSio4lb6Q8jJUnM</t>
  </si>
  <si>
    <t>prevalensi perempuan dan anak yang mengalami kekerasan fisik, psikis, seksual, penelantaran, eksploitasi dan/atau kekerasan lainnya yang mendapatkan pelayanan penanganan kasus secara komprehensif dibagi jumlah keseluruhan kasus sebagaimana dijelaskan dalam standar pelayanan minimal bidang layanan terpadu bagi perempuan dan anak korban kekerasan</t>
  </si>
  <si>
    <t>Dinas Sosial, UPTD PPA atau P2TP2A, BPBD, Kepolisian, dan anggota Gugus Tugas KLA</t>
  </si>
  <si>
    <t xml:space="preserve">laporan kasus kekerasan pada anak, laporan monitoring dan evaluasi perlindungan khusus anak
Data pembanding dapat dilihat di SIMFONI-PPA (sistem informasi online perlindungan perempuan dan anak) kekerasan.kemenpppa.go.id </t>
  </si>
  <si>
    <t>a. meningkat dari tahun sebelumnya</t>
  </si>
  <si>
    <t>https://drive.google.com/open?id=1ualyeXlhyG4f40KGwsh6MFDZhUM03hx3</t>
  </si>
  <si>
    <t>b. tetap dari tahun sebelumnya</t>
  </si>
  <si>
    <t>https://drive.google.com/open?id=1pinqTQTA2op4vt__I7XfW5EwNId8bZez</t>
  </si>
  <si>
    <t>Persentase pemerlu pelayanan kesejahteraan sosial (PPKS) yang memperoleh program perlindungan dan jaminan sosial, rehabilitasi sosial dan pemberdayaan sosial</t>
  </si>
  <si>
    <t>https://drive.google.com/open?id=1Ii_mY7QvT6ebgtX-lzZzOw36iaQuX_2z</t>
  </si>
  <si>
    <t xml:space="preserve">Perseorangan, keluarga, kelompok, dan/atau masyarakat  karena suatu hambatan, kesulitan, atau gangguan, tidak dapat melaksanakan fungsi sosialnya, sehingga memerlukan pelayanan sosial untuk memenuhi kebutuhan hidupnya baik jasmani dan rohani maupun sosial secara memadai dan wajar meliputi rehabilitasi sosial,  jaminan sosial, pemberdayaan sosial dan perlindungan sosial </t>
  </si>
  <si>
    <t>Dinas Sosial Kabupaten/Kota, Data Terpadu Kesejahteraan Sosial</t>
  </si>
  <si>
    <t>Laporan monitoring dan evaluasi per semester</t>
  </si>
  <si>
    <t>a. minimal 80%</t>
  </si>
  <si>
    <t>https://drive.google.com/open?id=1MPK_zzKAE3P0GFy9v4F_T5552xz3nci6</t>
  </si>
  <si>
    <t>b. kurang dari 80%</t>
  </si>
  <si>
    <t>https://drive.google.com/open?id=1wTrhIYBa20hANV6fiPCiJAg-CQ-0q5dc</t>
  </si>
  <si>
    <t xml:space="preserve">Adanya peraturan mengenai Penyelenggaraan Kesejahteraan Sosial di daerah </t>
  </si>
  <si>
    <t>Peraturan yang terkait dengan upaya peningkatan kesejahteraan sosial  bagi Pemerlu Pelayanan Kesejahteraan Sosial yang diinisiasi oleh pemerintah daerah.</t>
  </si>
  <si>
    <t>Rekapitulasi regulasi daerah Kabupaten/Kota</t>
  </si>
  <si>
    <t>a. Perda</t>
  </si>
  <si>
    <t>https://drive.google.com/open?id=1eL0pnr9sCMZfMHYTTOD_XWViQyrm7kr6</t>
  </si>
  <si>
    <t>b. Perkada</t>
  </si>
  <si>
    <t>https://drive.google.com/open?id=1KOpAgF33fs31RlTEu2F47tz2RUiYsHcf</t>
  </si>
  <si>
    <t>c. Peraturan lainnya</t>
  </si>
  <si>
    <t>https://drive.google.com/open?id=1-dB9jclbxi2Euyml9v2QQ9bUMbt3AVXI</t>
  </si>
  <si>
    <t>https://drive.google.com/open?id=1gmrtSEsP-jIJFmaqE2FHf14Jyv5DLLG7</t>
  </si>
  <si>
    <t xml:space="preserve">Adanya layanan pengaduan terkait permasalahan sosial </t>
  </si>
  <si>
    <t>Layanan pengaduan merupakan sarana untuk menerima dan menindaklanjuti informasi berupa pengaduan, keluhan, dan/atau pertanyaan yang disampaikan oleh masyarakat kepada dinas sosial daerah Kabupaten/Kota dan/atau Pusat Kesejahteraan Sosial mengenai pemenuhan kebutuhan dasar
(Permensos 9 Tahun 2018 Tentang Standar Teknis Pelayanan Dasar pada Standar Pelayanan Minimal Bidang Sosial di Daerah Provinsi dan Kabupaten/Kota)</t>
  </si>
  <si>
    <t>Dinas Sosial melalui capaian SPM Kab/Kota, Puskesos atau unit pengaduan lain yang dimiliki daerah</t>
  </si>
  <si>
    <t xml:space="preserve">Laporan capaian SPM Kab/Kota per triwulan, Laporan Puskesos/ Laporan Unit Pengaduan </t>
  </si>
  <si>
    <t>a. Ada dan seluruh pengaduan ditindak lanjuti</t>
  </si>
  <si>
    <t>https://drive.google.com/open?id=1v_zqGblmJBReFsLLtnDNilFuOpmKtZYy</t>
  </si>
  <si>
    <t>b. Ada dan sebagian pengaduan ditindak lanjuti</t>
  </si>
  <si>
    <t>https://drive.google.com/open?id=1fROilyU0R7KZiyumWhVQIsH3eAMVq7vo</t>
  </si>
  <si>
    <t>c. Ada dan pengaduan tidak ditindak lanjuti</t>
  </si>
  <si>
    <t>https://drive.google.com/open?id=1LcjFra7-faj0axmoad6g2nNb2xgJAtW2</t>
  </si>
  <si>
    <t>d. Tidak ada unit layanan pengaduan</t>
  </si>
  <si>
    <t>https://drive.google.com/open?id=1rA1LuKD4VFSrx-mg70tW1XigrpmRCJ-t</t>
  </si>
  <si>
    <t>Adanya kebijakan/program peningkatan kesejahteraan sosial dalam Rencana Pembangunan jangka Menengah Daerah/RPJMD</t>
  </si>
  <si>
    <t>Terdapat Kebijakan Peningkatan Kesejahteraan Sosial yang mencangkup Rehabilitasi Sosial, Perlindungan dan Jaminan Sosial serta Pemberdayaan Sosial yang terdapat dalam dokumen perencanaan daerah (RPJMD/Renstra)</t>
  </si>
  <si>
    <t>RPJMD, Rencana Strategis</t>
  </si>
  <si>
    <t xml:space="preserve">a. Ada, terealisasi seluruhnya </t>
  </si>
  <si>
    <t>https://drive.google.com/open?id=1B9kfg3zw3qjinais6TU0xEimQWpBnd9O</t>
  </si>
  <si>
    <t xml:space="preserve">b. Ada, terealisasi sebagian </t>
  </si>
  <si>
    <t>https://drive.google.com/open?id=1h4s6gb7MNsGpVR3kvzWWtRDDs8MmSikT</t>
  </si>
  <si>
    <t>c. Ada, tidak terealisasi</t>
  </si>
  <si>
    <t>https://drive.google.com/open?id=148uSIjl4ypXTKiFDgp4DYn7ErtVqVf0F</t>
  </si>
  <si>
    <t xml:space="preserve">d. Tidak ada </t>
  </si>
  <si>
    <t>https://drive.google.com/open?id=1Nagat7woj5wpJSZxPdorNRCf647l_riU</t>
  </si>
  <si>
    <t>Keberadaan peran Lembaga Kesejahteraan Sosial (LKS) yang memberikan penanganan kepada pemerlu pelayanan kesejahteraan sosial (PPKS) yang berbadan hukum/ terdaftar di dinas sosial</t>
  </si>
  <si>
    <t>Jumlah Lembaga Kesejahateraan Sosial yang terakreditasi yang memberikan pelayanan kesejahteraan sosial di daerah kabupaten/kota</t>
  </si>
  <si>
    <t>Laporan Dinas Sosial Kabupaten/Kota</t>
  </si>
  <si>
    <t xml:space="preserve">a. Ada, aktif seluruhnya </t>
  </si>
  <si>
    <t>https://drive.google.com/open?id=1v5Dpn8VF4vLpED7ZAL2bMjCAKLW_3NFb</t>
  </si>
  <si>
    <t xml:space="preserve">b. Ada, aktif sebagian </t>
  </si>
  <si>
    <t>https://drive.google.com/open?id=1zU5VwuTh6ZLlUa_7Iiiz9DSYFEGR6M1J</t>
  </si>
  <si>
    <t>c. Ada, tidak aktif</t>
  </si>
  <si>
    <t>https://drive.google.com/open?id=1kGwH3-syJLSymZHD6L9zdS-wD5tJ3jJd</t>
  </si>
  <si>
    <t>d. Tidak ada  PPKS</t>
  </si>
  <si>
    <t>https://drive.google.com/open?id=1cEP6mIyLUj5eaqsOPXhKZymg1ItnAGo6</t>
  </si>
  <si>
    <t>Adanya regulasi daerah tentang penanganan kekerasan anak, perempuan dan lansia</t>
  </si>
  <si>
    <t>regulasi daerah yang memuat mekanisme perlindungan anak berupa pencegahan dan respon cepat penanganan kekerasan pada anak</t>
  </si>
  <si>
    <t>Dinas PPPA, UPTD PPA, P2TP2A</t>
  </si>
  <si>
    <t>regulasi daerah, SOP atau mekanisme pencegahan dan respon cepat penanganan kekerasan pada anak</t>
  </si>
  <si>
    <t>a. Dituangkan dalam Peraturan Daerah</t>
  </si>
  <si>
    <t>https://drive.google.com/open?id=1wGXa6AoLCR6CVXY4GAd3mZT5DjDa4Kgl</t>
  </si>
  <si>
    <t>b. Dituangkan dalam Peraturan Kepala Daerah</t>
  </si>
  <si>
    <t>https://drive.google.com/open?id=1iDh-zRdlA2p0tMXJBs-GqNP2s6er1mH7</t>
  </si>
  <si>
    <t>c. Dituangkan dalam Peraturan lainnya</t>
  </si>
  <si>
    <t>https://drive.google.com/open?id=18R0Si3JqDcIELb-SdHgBpUOW04u3ObVR</t>
  </si>
  <si>
    <t>d. Tidak ada regulasi</t>
  </si>
  <si>
    <t>https://drive.google.com/open?id=1Gntr1iHW6A6Yt9mvKVAhdPicsLj21PtO</t>
  </si>
  <si>
    <t>Adanya penyelenggaraan penanganan kekerasan anak, perempuan dan lansia  dalam Rencana Pembangunan Jangka Menengah Daerah/RPJMD</t>
  </si>
  <si>
    <t>Kegiatan penyelenggaraan penanganan kekerasan anak, perempuan dan lansia  tercantum dalam Rencana Pembangunan Jangka Menengah Daerah/RPJMD</t>
  </si>
  <si>
    <t>RPJMD</t>
  </si>
  <si>
    <t xml:space="preserve">RPJMD, Realisasi Anggaran, Dokumen Pelaksanaan Kegiatan </t>
  </si>
  <si>
    <t>a. Ada dalam RPJMD dan terealisasi seluruhnya</t>
  </si>
  <si>
    <t>https://drive.google.com/open?id=1IlVw821oSb0LqCAtq0q9eqFP0znOGNA1</t>
  </si>
  <si>
    <t>b. Ada dalam RPJMD dan terealisasi sebagian</t>
  </si>
  <si>
    <t>https://drive.google.com/open?id=1IDcO2hQHM7iUJhXrVpAdXETjS4MpjCP5</t>
  </si>
  <si>
    <t>c. Ada dalam RPJMD tapi belum terealisasi</t>
  </si>
  <si>
    <t>https://drive.google.com/open?id=1N22ZA2WBauePYe0bbSIsHhNzqKzYccUJ</t>
  </si>
  <si>
    <t xml:space="preserve">d. Tidak ada dalam RPJMD </t>
  </si>
  <si>
    <t>https://drive.google.com/open?id=1GtZMBhWi5vx04jUNfd1FIgaxnsOTlsNs</t>
  </si>
  <si>
    <t>Adanya upaya pencegahan untuk menurunkan angka perkawinan pada usia anak</t>
  </si>
  <si>
    <r>
      <rPr>
        <rFont val="Arial Narrow"/>
        <color theme="1"/>
        <sz val="12.0"/>
      </rPr>
      <t xml:space="preserve">Upaya pencegahan perkawinan anak, antara lain: (min. a, c, f, h)
</t>
    </r>
    <r>
      <rPr>
        <rFont val="Arial Narrow"/>
        <color rgb="FF0000CC"/>
        <sz val="12.0"/>
      </rPr>
      <t xml:space="preserve">a. Sistem pengaduan dan pendampingan </t>
    </r>
    <r>
      <rPr>
        <rFont val="Arial Narrow"/>
        <color theme="1"/>
        <sz val="12.0"/>
      </rPr>
      <t xml:space="preserve">
b. Bantuan pendidikan bagi anak dari keluarga rentan 
</t>
    </r>
    <r>
      <rPr>
        <rFont val="Arial Narrow"/>
        <color rgb="FF0000CC"/>
        <sz val="12.0"/>
      </rPr>
      <t xml:space="preserve">c. Pelatihan keterampilan untuk semua anak </t>
    </r>
    <r>
      <rPr>
        <rFont val="Arial Narrow"/>
        <color theme="1"/>
        <sz val="12.0"/>
      </rPr>
      <t xml:space="preserve">
d. Pencegahan Putus Sekolah/Wajib belajar 12 tahun (termasuk bagi anak yang memerlukan perlindungan khusus) 
e. Bantuan modal usaha kepada keluarga rentan 
</t>
    </r>
    <r>
      <rPr>
        <rFont val="Arial Narrow"/>
        <color rgb="FF0000CC"/>
        <sz val="12.0"/>
      </rPr>
      <t xml:space="preserve">f. Kampanye/sosialisasi/penyuluhan </t>
    </r>
    <r>
      <rPr>
        <rFont val="Arial Narrow"/>
        <color theme="1"/>
        <sz val="12.0"/>
      </rPr>
      <t xml:space="preserve">
g. Edukasi Kesehatan Reproduksi  
</t>
    </r>
    <r>
      <rPr>
        <rFont val="Arial Narrow"/>
        <color rgb="FF0000CC"/>
        <sz val="12.0"/>
      </rPr>
      <t>h. Pengasuhan Remaja</t>
    </r>
  </si>
  <si>
    <t>Dinas PPPA 
Dinas Sosial 
Dinas Pendidikan 
Dinas Kesehatan 
Kanwil Kemenag
BKKBN</t>
  </si>
  <si>
    <t>laporan kegiatan pelaksanaan upaya pencegahan perkawinan anak dari masing-masing perangkat daerah
data perkawinan anak diperoleh dari data dispensasi kawin di Pengadilan Agama dan data Susenas BPS</t>
  </si>
  <si>
    <t xml:space="preserve">a. Ada 4 upaya </t>
  </si>
  <si>
    <t>https://drive.google.com/open?id=16xC7-68bQUatfVzJ9kozHb7RguZ-p08o</t>
  </si>
  <si>
    <t xml:space="preserve">b. Ada 3 upaya </t>
  </si>
  <si>
    <t>https://drive.google.com/open?id=1Am6FvYLoCPR5poQqwnVX8LOL_27xE3J3</t>
  </si>
  <si>
    <t>c. Ada 1 - 2 upaya</t>
  </si>
  <si>
    <t>https://drive.google.com/open?id=1PSOjrjjiZrSAnAjTqTdF6Xg9urOhQn2Z</t>
  </si>
  <si>
    <t>d. Tidak ada upaya</t>
  </si>
  <si>
    <t>https://drive.google.com/open?id=1h009Tysf8GEfHuovnFQVBCfl0QZGnFlW</t>
  </si>
  <si>
    <t>Adanya penggiat penanganan kekerasan terhadap anak, perempuan dan lansia baik secara individu/kelompok</t>
  </si>
  <si>
    <t>Daerah memiliki penggiat penanganan kasus kekerasan terhadap anak, perempuan dan lansia baik secara individu/kelompok yang berfungsi aktif misal relawan Sahabat Perempuan dan Anak (SAPA)</t>
  </si>
  <si>
    <t>Dinas PPPA, Dinas Sosial, UPTD PPA</t>
  </si>
  <si>
    <t>SK Tim, Rencana Kegiatan, Laporan Pelaksanaan Kegiatan Tahunan</t>
  </si>
  <si>
    <t>a. Ada penggiat, memiliki rencana kerja dan terealisasi</t>
  </si>
  <si>
    <t>https://drive.google.com/open?id=1l18VukB7GS2fhvKmqJmBWQneSoc8K9VR</t>
  </si>
  <si>
    <t>b. Ada penggiat, memiliki rencana kerja namun tidak terealisasi</t>
  </si>
  <si>
    <t>https://drive.google.com/open?id=17_PWWg_UEU-j_slDPrn8f4Nw-vqy1cgy</t>
  </si>
  <si>
    <t>c. Ada penggiat namun tidak memiliki rencana kerja</t>
  </si>
  <si>
    <t>https://drive.google.com/open?id=1cJObIJ8dP1xWftQ8XbKvfiEMqnIA00zc</t>
  </si>
  <si>
    <t xml:space="preserve">d. Tidak ada penggiat </t>
  </si>
  <si>
    <t>https://drive.google.com/open?id=1IlBbPQ-VGIbGwJJI_llOcu1ZNV1JTkI3</t>
  </si>
  <si>
    <t>TATANAN  PENANGGULANGAN BENCANA</t>
  </si>
  <si>
    <t>Adanya dokumen Kajian Risiko Bencana (KRB)  yang telah disahkan oleh Kepala Daerah</t>
  </si>
  <si>
    <t>Dokumen bukti dukung sudah sesuai, kedepannya dokumen untuk disahkan oleh Kepala Daerah setempat, dokumen dapat diupload berupa 1 dokumen lengkap</t>
  </si>
  <si>
    <r>
      <rPr>
        <rFont val="Arial"/>
        <color theme="1"/>
        <sz val="11.0"/>
      </rPr>
      <t xml:space="preserve">Kajian Risiko Bencana (KRB) adalah Dokumen wajib yang berisi pedoman umum yang digunakan daerah dalam Penanggulangan Bencana. KRB meliputi: Peta Risiko Bencana yang meliputi Peta Ancaman, Peta Kerentanan, dan Peta Kapasitas sebagai landasan penentuan tingkat risiko bencana dan kebijakan minimum Penanggulangan Bencana daerah yang ditujukan untuk mengurangi jumlah jiwa terpapar, kerugian harta benda dan kerusakan lingkungan. KRB merupakan layanan pokok yang memberikan layanan dasar untuk pelaksanaan Sub Kegiatan Komunikasi, Informasi dan Edukasi Rawan Bencana, Sub Kegiatan Rencana Kontijensi. </t>
    </r>
    <r>
      <rPr>
        <rFont val="Arial"/>
        <color rgb="FF0000CC"/>
        <sz val="11.0"/>
      </rPr>
      <t>(catatan: klaster kesehatan)</t>
    </r>
  </si>
  <si>
    <t xml:space="preserve">a. Ada KRB dan sudah disahkan oleh Kepala Daerah  </t>
  </si>
  <si>
    <t>b. Ada KRB yang masih berlaku namun belum disahkan oleh Kepala Daerah</t>
  </si>
  <si>
    <t>https://drive.google.com/open?id=1m10_qlqIioKrzDelw8CtLtsJtuIJJGsy</t>
  </si>
  <si>
    <t>c. Ada KRB namun masa berlaku sudah habis</t>
  </si>
  <si>
    <t>https://drive.google.com/open?id=1lrnJOTaNU9RIAV83q4PV5Oj-CqYgtRc_</t>
  </si>
  <si>
    <t>d. Sedang dalam proses penyusunan KRB</t>
  </si>
  <si>
    <t>https://drive.google.com/open?id=1JWbYpSrxrmGvuBV2tAN-xxQdxyB9zEZu</t>
  </si>
  <si>
    <t>e. Tidak ada KRB</t>
  </si>
  <si>
    <t>Adanya dokumen Rencana Penanggulangan Bencana Daerah yang telah disahkan oleh Kepala Daerah</t>
  </si>
  <si>
    <r>
      <rPr>
        <rFont val="Arial"/>
        <color theme="1"/>
        <sz val="11.0"/>
      </rPr>
      <t xml:space="preserve">Rencana Penanggulangan Bencana (RPB) adalah dokumen wajib daerah yang berisi perencanaan periode 5 tahun untuk seluruh institusi yang terlibat dalam penanggulangan bencana baik pemerintah maupun non pemerintah. RPB meliputi penetapan kebijakan pembangunan di kawasan yang berisiko timbulnya bencana, rencana kegiatan dan aksi pengurangan risiko bencana, kerangka penanggulangan kedaruratan bencana dan kerangka rehabilitasi dan rekonstruksi pasca bencana. Rencana Penanggulngan Bencana merupakan layanan pokok yang memberikan dasar untuk pelaksanaan Sub Kegiatan Komunikasi, Informasi dan Edukasi Rawan Bencana, Sub Kegiatan Pembuatan Rencana Kontinjensi dan Sub Kegiatan Pelatihan Pencegahan dan Mitigasi. </t>
    </r>
    <r>
      <rPr>
        <rFont val="Arial"/>
        <color rgb="FF0000CC"/>
        <sz val="11.0"/>
      </rPr>
      <t>(catatan: klaster kesehatan)</t>
    </r>
  </si>
  <si>
    <t xml:space="preserve">a. Ada  Rencana Penanggulangan Bencana Daerah dan sudah disahkan oleh Kepala Daerah  </t>
  </si>
  <si>
    <t>b. Ada  Rencana Penanggulangan Bencana Daerah yang masih berlaku namun belum disahkan oleh Kepala Daerah</t>
  </si>
  <si>
    <t>https://drive.google.com/open?id=18G-sVSRkuYopXPvmeAGxvpJ9EqF_NyZ1</t>
  </si>
  <si>
    <t>c. Ada  Rencana Penanggulangan Bencana Daerah namun masa berlaku sudah habis</t>
  </si>
  <si>
    <t>https://drive.google.com/open?id=185o0Rk-VLOrj3hBOICGXPwc-hIDJkkeU</t>
  </si>
  <si>
    <t>d. Sedang dalam proses penyusunan  Rencana Penanggulangan Bencana Daerah</t>
  </si>
  <si>
    <t>https://drive.google.com/open?id=19Y8h6nzot5ndbU2HF6IVPbB23DTibEmF</t>
  </si>
  <si>
    <t>e. Tidak ada Rencana Penanggulangan Bencana Daerah</t>
  </si>
  <si>
    <t xml:space="preserve">Adanya dokumen rencana kontingensi daerah yang telah disahkan oleh Kepala Daerah </t>
  </si>
  <si>
    <t>Rencana kontingensi adalah dokumen yang disusun melalui proses perencanaan, penanganan situasi bencana, dalam keadaan tidak menentu, dengan skenario tujuan yang disepekati, tindakan teknis dan tindakan manajerial dan pengarahan potensi yang disetujui bersama untuk mencegah, dan atau menanggulangi lebih baik dan ditetapkan secara formal. Gladi lapang kesiapsiagaan adalah latihan koordinasi, komunikasi dan evakuasi dengan melibatkan seluruh pemangku kepentingan (pemerintah dan masyarakat umum). Seluruh pihak yang terlibat mensimulasikan situasi bencana sesungguhnya menggunakan skenario bencana yang dibuat mendekati atau sesuai kondisi nyata.</t>
  </si>
  <si>
    <t>BPBD atau perangkat daerah yang membidangi urusan kebencanaan</t>
  </si>
  <si>
    <t>1. Dokumen Rencana Kontingensi Bencana Daerah             
2. Laporan Review Rencana Kontingensi Bencana</t>
  </si>
  <si>
    <t>a. Memiliki dokumen Rencana Kontingensi yang disahkan kepala daerah dan telah ditindaklanjuti dengan penyelenggaraan gladi</t>
  </si>
  <si>
    <t>b. Dokumen disahkan kepala daerah tetapi tidak dilakukan gladi</t>
  </si>
  <si>
    <t xml:space="preserve">c. Terdapat dokumen Rencana Kontingensi tetapi belum disahkan kepala daerah </t>
  </si>
  <si>
    <t>https://drive.google.com/open?id=1f4ijZsuyJdR36Fjd4xWoTSHH9f_HsDRJ</t>
  </si>
  <si>
    <t>d. Sedang dalam proses penyusunan</t>
  </si>
  <si>
    <t>https://drive.google.com/open?id=1A_q2cNC7xoh7Ds08uKBLmahOlALOZwj7</t>
  </si>
  <si>
    <t>e. Tidak ada dokumen Rencana Kontingensi</t>
  </si>
  <si>
    <t>https://drive.google.com/open?id=14KqgJvWiA3Tz-4cdYa1Hk4kEncEiwHMa</t>
  </si>
  <si>
    <t>Adanya kebijakan dan regulasi penanggulangan bencana di daerah</t>
  </si>
  <si>
    <t>Dokumen bukti dukung sudah sesuai</t>
  </si>
  <si>
    <t xml:space="preserve">Pemda mengeluarkan Perda/Perbub/Perwali/SK Kepala Dinas terkait Penyelenggaraan penanggulangan bencana di daerah termasuk di dalamnya adalah pemenuhan standar pelayanan minimal sub urusan bencana (Permendagri 101/2018), kelembagaan penyelenggara penanggulangan bencana, MoU dengan pihak terkait dalam penyelenggaraan penanggulangan bencana (misal: Universitas, LSM, NGO, dll), SOP Mekanisme Koordinasi Penanggulangan Bencana, dll.   </t>
  </si>
  <si>
    <t>Sekda, BPBD, Dinas, Bapekko, Bappeda</t>
  </si>
  <si>
    <t>Dokumen Perda/Perbub/Perwali/SK Kepala Dinas</t>
  </si>
  <si>
    <t>a. Ada kebijakan dan regulasi berupa Perda tentang Penanggulangan Bencana</t>
  </si>
  <si>
    <t>https://drive.google.com/open?id=1LItmeWOqciXLM4Jq5DjxF9Ql_5fwmPbr</t>
  </si>
  <si>
    <t>b. Ada kebijakan dan regulasi berupa Perbup/Perwali tentang Penanggulangan Bencana</t>
  </si>
  <si>
    <t>https://drive.google.com/open?id=1XYWQhE5B2pQP12WwxBNlchFvby5SnPrI</t>
  </si>
  <si>
    <t>c. Ada kebijakan dan regulasi berupa Keputusan Bupati/Wali Kota tentang Penanggulangan Bencana</t>
  </si>
  <si>
    <t>d. Masih berupa Rancangan Peraturan/regulasi tentang Penanggulangan Bencana</t>
  </si>
  <si>
    <t>e. Tidak ada kebijakan/regulasi</t>
  </si>
  <si>
    <t>Adanya integrasi Kajian Resiko Bencana (KRB) dan Rencana Penanggulangan Bencana ke dalam dokumen perencanaan daerah ((RPJMD/RKPD/Renstra PD/ Renja PD)</t>
  </si>
  <si>
    <t>https://drive.google.com/open?id=1jipIIqNVAAzC-cCCJphAxj4QsBn5fp28</t>
  </si>
  <si>
    <t>dokumen bukri dukung yang diupload berupa RPJMD/RKPD/Renstra PD/ Renja milik Perangkat Daerah setempat bukan OPD setempat</t>
  </si>
  <si>
    <t>RPJMD/RKPD/Renstra PD/Renja PD yang mendukung penanggulangan bencana meliputi:
a. gambaran umum kondisi daerah khususnya dikaitkan dengan penyelenggaraan dan pencapaian Program dan Kegiatan, sub kegiatan Perangkat Daerah dalam pemenuhan Kebutuhan Dasar Warga Negara;
b. kerangka ekonomi dan keuangan daerah, khususnya dikaitkan dengan besaran anggaran yang diperuntukkan bagi pemenuhan Kebutuhan Dasar Warga Negara;
c. sasaran dan prioritas pembangunan daerah, khususnya untuk memastikan capaian pemenuhan Kebutuhan Dasar Warga Negara dalam rencana kerja tahunan;
d. rencana kerja dan pendanaan daerah, khususnya dikaitkan dengan Program, Kegiatan, sub kegiatan dan alokasi dana indikatif dan sumber pendanaan yang disusun dalam pencapaian pemenuhan Kebutuhan Dasar Warga Negara; dan
e. kinerja penyelenggaraan Pemerintah Daerah, khususnya dikaitkan dengan Indikator Kinerja daerah dalam pencapaian pemenuhan Kebutuhan Dasar Warga Negara.</t>
  </si>
  <si>
    <t>Bappeda/Bapeko/Sekda</t>
  </si>
  <si>
    <t>Dokumen RPJMD/RKPD/Renstra PD/ Renja PD</t>
  </si>
  <si>
    <t>a. Terintegrasi ke dalam dokumen perencanaan daerah</t>
  </si>
  <si>
    <t>https://drive.google.com/open?id=1quuU7hhPxHEfChDRwo3VaFPlwDcqGeBR</t>
  </si>
  <si>
    <t>b. Tidak terintegrasi ke dalam dokumen perencanaan daerah</t>
  </si>
  <si>
    <r>
      <rPr>
        <rFont val="Arial Narrow, Arial"/>
        <color theme="1"/>
        <sz val="12.0"/>
      </rPr>
      <t>Adanya sistem peringatan di</t>
    </r>
    <r>
      <rPr>
        <rFont val="Arial Narrow"/>
        <color theme="1"/>
        <sz val="12.0"/>
      </rPr>
      <t>ni yang berfungsi dengan baik s</t>
    </r>
    <r>
      <rPr>
        <rFont val="Arial Narrow"/>
        <color theme="1"/>
        <sz val="12.0"/>
      </rPr>
      <t>esuai potensi ancaman bencana wilayahnya (EWS longsor, EWS banjir, EWS tsunami, SKDR, EWS Karlahut, EWS Bencana Nuklir, Biologi, Kimia, dll).</t>
    </r>
  </si>
  <si>
    <t>Dokumen bukti dukung dapat berupa rekap alat EWS yang sudah terpasang di daerah setempat beserta foto dan kondisi alat tersebut. untuk bukti dukung saat ini hanya 1 alat akan tetapi masih &lt;20% pemasangan pada kawasan rawan bencana</t>
  </si>
  <si>
    <t>Peringatan dini adalah serangkaian kegiatan pemberian peringatan sesegera mungkin kepada masyarakat tentang kemungkinan terjadinya bencana pada suatu tempat oleh lembaga yang berwenang (UU no 24 Tahun 2007)
Contoh: 
a. integrasi EWS gempa-tsunami kerjasama BPBD dengan BMKG yang diinformasikan kepada masyarakat secara langsung melalui pengaktifan sirine
b. integrasi EWS penyakit/faktor risiko kesehatan lingkungan dengan Labkesmas Tier 4</t>
  </si>
  <si>
    <t>Pusdalops BPBD, BMKG, Dinas Kesehatan, Labkesmas Tier 4, Dinas Lingkungan Hidup, PSC</t>
  </si>
  <si>
    <t>1. Dokumentasi laporan EWS
2. Laporan pemantauan kondisi EWS (maintenance)
3. Rekapitulasi RHA</t>
  </si>
  <si>
    <t>a. Minimal 80% Kawasan Rawan Bencana tersedia Sistem peringatan dini yang berfungsi dengan baik</t>
  </si>
  <si>
    <t>https://drive.google.com/open?id=1cXMmEgiSMiaqvN3KYshU44uGlvRjr6Ut</t>
  </si>
  <si>
    <t>b. 60-79% Kawasan Rawan Bencana tersedia Sistem peringatan dini yang berfungsi dengan baik</t>
  </si>
  <si>
    <t>https://drive.google.com/open?id=1BNes1uwuDPR_aEweE6t-pR-JJgLmg1c1</t>
  </si>
  <si>
    <t>c. 40-59% Kawasan Rawan Bencana tersedia Sistem peringatan dini yang berfungsi dengan baik</t>
  </si>
  <si>
    <t>https://drive.google.com/open?id=1Nwe8CKsDeo6itlRVEA6qXBW_XaKyxu20</t>
  </si>
  <si>
    <t>d. 20-39% Kawasan Rawan Bencana tersedia Sistem peringatan dini yang berfungsi dengan baik</t>
  </si>
  <si>
    <t>e. &lt;20% Kawasan Rawan Bencana tersedia Sistem peringatan dini yang berfungsi dengan baik</t>
  </si>
  <si>
    <t>Adanya Tim Reaksi Cepat (TRC) dengan SK Kepala BPBD</t>
  </si>
  <si>
    <t>Dokumen bukti dukung tidak sesuai, dokumen dapat diupload berupa SK TRC yang sudah tertanda tangani oleh Kalaksa BPBD setempat</t>
  </si>
  <si>
    <t>Kesiapsiagaan tim klaster penanggulangan bencana di tingkat kabupaten dalam merlakukan respon cepat atau kurang dari 1 x 24 jam terhadap kejadian bencana dan atau krisis kesehatan (klaster  kesehatan, klaster pencarian dan penyelamatan, klaster logistik, klaster pengungsian dan perlindungan, klaster pendidikan, klaster sarana dan prasarana, klaster ekonomi dan klaster pemulihan dini)</t>
  </si>
  <si>
    <t>BPBD/Unit kerja penyelenggara penanggulangan bencana/Dinas terkait</t>
  </si>
  <si>
    <t>Dokumentasi dan laporan pelaksanaan kegiatan</t>
  </si>
  <si>
    <t>a. Ada SK, ada Renja</t>
  </si>
  <si>
    <t>https://drive.google.com/open?id=1bFmlLzwQVCUgzOlAoJ6VDiRIRJ3Ppc10</t>
  </si>
  <si>
    <t>b. Ada SK, tidak ada Renja</t>
  </si>
  <si>
    <t>https://drive.google.com/open?id=1Nz2EC3wDphHgFfG7MB33O_RYIcRxg1i5</t>
  </si>
  <si>
    <t xml:space="preserve">c. Sedang dalam penyusunan SK </t>
  </si>
  <si>
    <t>d. Tidak ada SK</t>
  </si>
  <si>
    <t>Adanya Tim Koordinasi Daerah dalam Pencegahan dan Pengendalian Zoonosis dan Penyakit Infeksius Baru di Daerah</t>
  </si>
  <si>
    <t>Bukti dukung kurang sesuai, Dapat diupload SK TIM siaga darurat</t>
  </si>
  <si>
    <t>Rencana Kontinjensi adalah suatu proses perencanaan ke depan terhadap keadaan yang tidak menentu untuk mencegah, atau menanggulangi secara lebih baik dalam situasi darurat atau kritis dengan menyepakati skenario dan tujuan, menetapkan tindakan teknis dan manejerial, serta tanggapan dan pengerahan yang telah disetujui bersama. Rencana Kontijensi merupakan layanan pokok yang memberikan dasar bagi pelaksanaan Sub Kegiatan Gladi Kesiapsiagaan terhadap Bencana; Pengendalian Operasi dan Penyediaan Sarana Prasarana Kesiapsiagaan terhadap Bencana; Penyediaan Peralatan Perlindungan dan Kesiapsiagaan Terhadap Bencana, serta Aktivasi Sistem Komando Penanganan Darurat Bencana.</t>
  </si>
  <si>
    <t>a. Ada SK, ada Renja</t>
  </si>
  <si>
    <t>https://drive.google.com/open?id=1gxSl16mGqsWMAnr7U5Gw3aDQlb9MOGAo</t>
  </si>
  <si>
    <t>https://drive.google.com/open?id=1c3waNHqtiED1YH89_FPzj4HTCSApNKGB</t>
  </si>
  <si>
    <r>
      <rPr>
        <rFont val="Arial Narrow, Arial"/>
        <color theme="1"/>
        <sz val="12.0"/>
      </rPr>
      <t>Adanya alokasi pendanaan BTT untuk penyediaan lo</t>
    </r>
    <r>
      <rPr>
        <rFont val="Arial Narrow"/>
        <color theme="1"/>
        <sz val="12.0"/>
      </rPr>
      <t xml:space="preserve">gistik kebutuhan dasar </t>
    </r>
    <r>
      <rPr>
        <rFont val="Arial Narrow"/>
        <color rgb="FF000000"/>
        <sz val="12.0"/>
      </rPr>
      <t xml:space="preserve">yang mencukupi di masing-masing di Kabupaten/Kota dalam kesiapsiagaan bencana </t>
    </r>
  </si>
  <si>
    <t>https://drive.google.com/open?id=1Dp-5lAkVCGTKlFTI94GHC5HMXwfulF1d</t>
  </si>
  <si>
    <t>Dokumen bukti dukung dapat dilengkapi dengan dokumen surat permohonan BTT dan buffer stock logistik, tidak hanya dokumentasi akantetapi dijabarkan jumlah dan jenis barangnya</t>
  </si>
  <si>
    <t>Logistik adalah sesuatu yang berwujud dan dapat digunakan untuk memenuhi kebutuhan dasar hidup manusia yang terdiri dari atas sandang, pangan dan papan atau turunannya. Termasuk dalam kategori logistik adalah barang habis pakai atau dikonsumsi, misalnya sembako (sembilan bahan pokok), obat, pakaian dan kelengkapannya, air, jas tidur dan sebagainya (perka BNPB 04 tahun 2009)
Perka BNPB 23 tahun 2014 Tentang Standarisasi Logistik Penanggulangan Bencana -&gt;Persediaan logistik minimal adalah persediaan logistik untuk kebutuhan keadaan darurat bencana pada kurun waktu 72 jam pertama sejak keadaan darurat bencana ditetapkan. 
Rumus Perhitungan: Jumlah Penduduk x Prosentase x Hari =
Jumlah Persediaan Minimum (Buffer Stock) dengan prosentase 1% (asumsi penduduk korban bencana).</t>
  </si>
  <si>
    <t>BPBD, Dinas Sosial, Dinas Kesehatan</t>
  </si>
  <si>
    <t>Buffer stock logistik</t>
  </si>
  <si>
    <t>https://drive.google.com/open?id=1WTdjHE2IC--TftirPWQFNvfevCfSPxuD</t>
  </si>
  <si>
    <t>https://drive.google.com/open?id=1egKTGSUO4GCqY3jx4oh_ieUMJV0EUcBF</t>
  </si>
  <si>
    <t>Persentase wilayah tangguh bencana (Destana/Kampung Siaga Bencana) yang aktif melakukan upaya pengelolaan risiko bencana di daerah rawan bencana.</t>
  </si>
  <si>
    <t xml:space="preserve">Dokumen bukti dukung dapat dilengkapi dengan rekap jumlah DESTANA/Kampung siaga bencana yang sudah dibentuk beserta dokumentasi kegiatan </t>
  </si>
  <si>
    <t xml:space="preserve">Jumlah wilayah Destana yang aktif melakukan upaya kesiapsiagaan bencana dibagi dengan Jumlah wilayah Destana di Kabupaten/kota dikali 100% (dibuktikan dengan adanya kegiatan yang terkait dengan mitigasi/kesiapsiagaan bencana). </t>
  </si>
  <si>
    <t>BPBD, Dinas Sosial, dan Aplikasi Katalog Digital Kesiapsiagaan BNPB</t>
  </si>
  <si>
    <t>1. Laporan hasil penilaian ketangguhan desa/kelurahan (PKD)
2. RPJMD
3. RPJMDes
4. Laporan kegiatan di BPBD atau Dinas Sosial</t>
  </si>
  <si>
    <t xml:space="preserve">a. ≥ 51% wilayah sudah aktif melaksanakan upaya pengelolaan risiko bencana </t>
  </si>
  <si>
    <t>https://drive.google.com/open?id=1UvQ2nnmYeT2IxRqOsZJsKl07uCv26PEP</t>
  </si>
  <si>
    <t xml:space="preserve">b. 25 - 50% wilayah sudah aktif melaksanakan upaya pengelolaan risiko bencana </t>
  </si>
  <si>
    <t>https://drive.google.com/open?id=10vciME9dp65FMyHcR5xMQVNVbPMAshuI</t>
  </si>
  <si>
    <t xml:space="preserve">c. &lt; 25 % wilayah sudah aktif melaksanakan upaya pengelolaan risiko bencana </t>
  </si>
  <si>
    <t>https://drive.google.com/open?id=1WE01xA5eHzL9_23LVHUzty9DgNvBwSF3</t>
  </si>
  <si>
    <t xml:space="preserve">d. tidak ada wilayah yang aktif melaksanakan upaya pengelolaan risiko bencana </t>
  </si>
  <si>
    <t>Adanya Forum Pengurangan Risiko Bencana (FPRB) sebagai upaya pemberdayaan masyarakat dalam penanggulangan bencana di Kawasan Rawan Bencana (KRB)</t>
  </si>
  <si>
    <t>Data dukung dapat berupa SK FPRB beserta dokumentasi kegiatan, data dukung ini seharusnya digunakan pada indikator 10</t>
  </si>
  <si>
    <t>Kabupaten/Kota yang membentuk Forum Pengurangan Risiko Bencana (FPRB) sebagai upaya pemberdayaan masyarakat dalam penanggulangan bencana di Kawasan Rawan Bencana (KRB)</t>
  </si>
  <si>
    <t>Sumber Data : BPBD, Forum Pengurangan Risiko Bencana</t>
  </si>
  <si>
    <t>1. SK Bupati/Walikota tentang Pembentukan Forum Pengurangan Risiko Bencana
2. Rencana kerja Forum
3. Laporan kegiatan Forum
4. berkelanjutan : inovasi teraplikasi</t>
  </si>
  <si>
    <t>a. Ada, memiliki rencana kerja, terealisasi semua dan berkelanjutan</t>
  </si>
  <si>
    <t>https://drive.google.com/open?id=1GcbnCNL0xF1kGFqb4DoAlU9F9Frls4UG</t>
  </si>
  <si>
    <t>b. Ada, memiliki rencana kerja dan terealisasi sebagian</t>
  </si>
  <si>
    <t>https://drive.google.com/open?id=1xs9he4ctpCGgu3cXgXralIAken2a0pzL</t>
  </si>
  <si>
    <t>c. Ada, namun tidak memiliki rencana kerja</t>
  </si>
  <si>
    <t>Adanya kerjasama antar daerah yang berbatasan secara langsung, kerjasama daerah dengan pihak ketiga dalam upaya penanggulangan bencana</t>
  </si>
  <si>
    <t>Dokumen bukti dukung hanya MoU dengan pihak ketiga</t>
  </si>
  <si>
    <t>Adanya Perjanjian kerjasama dengan pemerintah daerah lain dalam penanggulangan bencana sebagai bentuk penguatan penyelenggaraan upaya penanggulangan bencana secara terpadu, sistematis, cepat, tepat, akurat, terkoordinasi pada tahapan pra bencana, saat bencana, dan pasca bencana, serta adanya rencana kerja/aksi yang terimplementasi.</t>
  </si>
  <si>
    <t>BPBD, Sekda</t>
  </si>
  <si>
    <t>1. Dokumen Perjanjian kerjasama/MoU
2. Dokumen Rencana Aksi
3. Dokumen Laporan kegiatan</t>
  </si>
  <si>
    <t>a. Ada, kerjasama antar daerah yang berbatasan secara langsung dan daerah dengan pihak ketiga</t>
  </si>
  <si>
    <t>https://drive.google.com/open?id=1ydjmhVC7uKNKb3YhxlpJUAy047uCq7sf</t>
  </si>
  <si>
    <t>b. Ada, hanya kerjasama antar daerah yang berbatasan secara langsung</t>
  </si>
  <si>
    <t>https://drive.google.com/open?id=1Mov_D69Kl5-Jqcn0kOE1KanPXRDvgBL9</t>
  </si>
  <si>
    <t>c. Ada, hanya kerjasama daerah dengan pihak ketiga</t>
  </si>
  <si>
    <t>https://drive.google.com/open?id=1Qb5a7vchwyCDmwzBKweBzicFVBpGU16n</t>
  </si>
  <si>
    <t>d. Masih dalam proses</t>
  </si>
  <si>
    <t>e. Belum ada kerjasama</t>
  </si>
  <si>
    <t>Kabupaten/Kota yang melaksanakan respon terhadap sinyal SKDR kurang dari 24 jam</t>
  </si>
  <si>
    <t>https://drive.google.com/open?id=1EBfLE4-cEUGibAoDOJSSFfRV0xUdb3IE</t>
  </si>
  <si>
    <t>Bukti dukung tidak sesuai, dapat dikoordinasikan dengan Dinas Kesehatan setempat perihal SKDr</t>
  </si>
  <si>
    <t>Kabupaten/Kota yang melaksanakan respon terhadap sinyal SKDR kurang dari 24 jam dilihat dari aplikasi SKDR</t>
  </si>
  <si>
    <t xml:space="preserve">aplikasi SKDR (skdr.surveilans.org) </t>
  </si>
  <si>
    <r>
      <rPr>
        <rFont val="Arial Narrow, Arial"/>
        <color theme="1"/>
        <sz val="12.0"/>
      </rPr>
      <t xml:space="preserve">a. </t>
    </r>
    <r>
      <rPr>
        <rFont val="Calibri"/>
        <color theme="1"/>
        <sz val="12.0"/>
      </rPr>
      <t>≥</t>
    </r>
    <r>
      <rPr>
        <rFont val="Arial Narrow"/>
        <color theme="1"/>
        <sz val="12.0"/>
      </rPr>
      <t xml:space="preserve"> 80% dari sinyal yang muncul</t>
    </r>
  </si>
  <si>
    <t>https://drive.google.com/open?id=15uReA9KSJF75jXiHcv_FzSZEnNC3_f47</t>
  </si>
  <si>
    <t>b. &lt; 80% dari sinyal yang muncul</t>
  </si>
  <si>
    <t>https://drive.google.com/open?id=1hjnBAVSbRgxTRO32fOAzZ1YhL9kbm_JN</t>
  </si>
  <si>
    <t>Kabupaten/Kota memiliki dokumen Rencana Kontingensi penyakit potensi wabah</t>
  </si>
  <si>
    <t>Kabupaten/Kota memiliki dokumen Rencana Kontingensi penyakit potensi wabah yang disahkan oleh Kepala Daerah atau pejabat yang ditunjuk.
2024 : 111 Kab/Kota yang sudah memiliki dokumen rencana kontingensi</t>
  </si>
  <si>
    <t>a. Memiliki dokumen Rencana Kontingensi dan sudah disahkan</t>
  </si>
  <si>
    <t>b. Memiliki dokumen Rencana Kontingensi namun belum disahkan</t>
  </si>
  <si>
    <t>c. Tidak memiliki dokumen Rencana Kontingensi</t>
  </si>
  <si>
    <t xml:space="preserve">Persentase  </t>
  </si>
  <si>
    <t>Provinsi</t>
  </si>
  <si>
    <t>:</t>
  </si>
  <si>
    <t>Provinsi jawa Timur</t>
  </si>
  <si>
    <t>Kabupaten/kota</t>
  </si>
  <si>
    <t>Sumenep</t>
  </si>
  <si>
    <t xml:space="preserve">Nama forum </t>
  </si>
  <si>
    <t>Forum Sumenep Sehat</t>
  </si>
  <si>
    <t>Nama ketua forum</t>
  </si>
  <si>
    <r>
      <rPr>
        <rFont val="Arial Narrow"/>
        <color theme="1"/>
        <sz val="12.0"/>
      </rPr>
      <t xml:space="preserve">Drs. Koesman Hadi, </t>
    </r>
    <r>
      <rPr>
        <rFont val="Arial Narrow"/>
        <color rgb="FF1155CC"/>
        <sz val="12.0"/>
        <u/>
      </rPr>
      <t>M.Si</t>
    </r>
  </si>
  <si>
    <t xml:space="preserve">Alamat </t>
  </si>
  <si>
    <t>Komplek Kantor Pemda Sumenep</t>
  </si>
  <si>
    <t>Nama Walikota/Bupati</t>
  </si>
  <si>
    <t>Dr. H. Achmad  Fauzi, Wongsojudo S.H, M.H.</t>
  </si>
  <si>
    <t xml:space="preserve">Alamat kantor </t>
  </si>
  <si>
    <t>Jl. Dr. Cipto No 1 Kolor Sumenep</t>
  </si>
  <si>
    <t>Variabel kegiatan</t>
  </si>
  <si>
    <t xml:space="preserve">Keterangan </t>
  </si>
  <si>
    <t>Ada (√)</t>
  </si>
  <si>
    <t>Tidak Ada (-)</t>
  </si>
  <si>
    <t>Lampirkan Bukti</t>
  </si>
  <si>
    <t>A</t>
  </si>
  <si>
    <t xml:space="preserve">FORUM KABUPATEN/KOTA </t>
  </si>
  <si>
    <t xml:space="preserve">Sekretariat  </t>
  </si>
  <si>
    <t>https://drive.google.com/file/d/1LPMJox8z4IH8-qPE3jiuAFw_DY1dWofQ/view?usp=drive_link</t>
  </si>
  <si>
    <t>Dokumentasi sektap hanya berupa bener saja, tanpa melampirkan kelengkapan kantor sektapnya</t>
  </si>
  <si>
    <t xml:space="preserve">Adanya kantor sekretariat dengan perabotan, papan nama yang jelas, display data  </t>
  </si>
  <si>
    <t>Legal Aspek</t>
  </si>
  <si>
    <t>https://drive.google.com/file/d/147BFtCk38KGRsmQg_icg2Rnx6h0TyeM9/view?usp=sharing</t>
  </si>
  <si>
    <t>SK Forum tahun 2021 ada</t>
  </si>
  <si>
    <t xml:space="preserve">Adanya Forum dengan SK </t>
  </si>
  <si>
    <t>Rencana kerja/kegiatan forum</t>
  </si>
  <si>
    <t>https://drive.google.com/file/d/1u3A_8tcuzx-FS8MpxBaOk0Z4RDliFamb/view?usp=sharing</t>
  </si>
  <si>
    <t>Rencana Kerja forum 2021 ada</t>
  </si>
  <si>
    <t xml:space="preserve">Adanya dokumen rencana kegiatan/kerja forum berkaitan dengan tatanan  dan terdokumentasi dengan baik.  </t>
  </si>
  <si>
    <t xml:space="preserve">Kegiatan forum (khusus forum) </t>
  </si>
  <si>
    <t>https://drive.google.com/drive/folders/1Ts_sO8UlCJXr5H4EcWdYs-aO0obzPfey?usp=sharing</t>
  </si>
  <si>
    <t>Dokumentasi sebagian tatanan tahun 2022 ada</t>
  </si>
  <si>
    <t>Adanya kegiatan/ keterlibatan forum berkaitan dengan tatanan dan terdokumentasi dengan baik</t>
  </si>
  <si>
    <t>Keaktifan anggota</t>
  </si>
  <si>
    <t>https://drive.google.com/drive/folders/1Y_Pt4kCBvdWcP4cBnwa2khK4K9O_g2YK</t>
  </si>
  <si>
    <t>Dokumen yang dilampirka kegiatan tahun 2022 hanya daftar hadir dan notulen kegiatan aja</t>
  </si>
  <si>
    <t xml:space="preserve">Anggota aktif dengan adanya bukti daftar hadir dan notulen rapat </t>
  </si>
  <si>
    <t>Sumber  Dana kegiatan forum</t>
  </si>
  <si>
    <t>https://drive.google.com/drive/folders/1oi6oyUqWlRcmZ1aeUmopr_TJTcQrtCd_</t>
  </si>
  <si>
    <t>Dukungan dana hanya dara APBD saja</t>
  </si>
  <si>
    <t xml:space="preserve"> Adanya dukungan dana dari pemerintah dan sumber lain (dengan bukti)   </t>
  </si>
  <si>
    <t>B</t>
  </si>
  <si>
    <t xml:space="preserve">TIM PEMBINA </t>
  </si>
  <si>
    <t>https://drive.google.com/drive/folders/1Dohb6wDku3KHVMO8zfstoggujLfPW8yE?usp=sharing</t>
  </si>
  <si>
    <t>SK TP tahun 2023 dan 2024 ada</t>
  </si>
  <si>
    <t xml:space="preserve">Adanya Tim Pembina dengan SK </t>
  </si>
  <si>
    <t>https://drive.google.com/file/d/1iVHHd_73Y11ONdZcqOM8BD5rFB1u4jYn/view?usp=sharing</t>
  </si>
  <si>
    <t>Hanya daftar hadir kegiatan tahun 2023 saja yang di upload</t>
  </si>
  <si>
    <t>Rencana kerja/kegiatan pembinaan</t>
  </si>
  <si>
    <t>https://drive.google.com/file/d/1DfFoci390Z8R5EB1TmRqzXifTZaFgx8G/view?usp=sharing</t>
  </si>
  <si>
    <t>Rencana Kerja Tahun 2020 saja yang di upload</t>
  </si>
  <si>
    <t xml:space="preserve">Adanya dokumen rencanan kegiatan/kerja berkaitan dengan tatanan dan terdokumentasi dengan baik  </t>
  </si>
  <si>
    <t>Pelaksanaan pembinaan</t>
  </si>
  <si>
    <t>https://drive.google.com/file/d/1d3OmlNPDybTrxTpVxyjEeG--AFZhuarj/view?usp=sharing</t>
  </si>
  <si>
    <t>Dokumentasi kegiatan pembinaan ke Kecamatan tahun 2021 ada</t>
  </si>
  <si>
    <t>Adanya pembinaan ke forum secara rutin (triwulan, bulan,setiap kegiatan) dan terdokumentasi dengan baik</t>
  </si>
  <si>
    <t>C</t>
  </si>
  <si>
    <t xml:space="preserve">FORUM KOMUNIKASI DI KECAMATAN </t>
  </si>
  <si>
    <t>https://drive.google.com/drive/folders/1S0OmfQyRERB1ZlJSiZV1FgzY3SE3DI02</t>
  </si>
  <si>
    <t>SK Forum Kecamatan tahun 2023 dan 2023 ada</t>
  </si>
  <si>
    <t xml:space="preserve">Adanya Forkom dengan SK </t>
  </si>
  <si>
    <t>Aktifitas anggota</t>
  </si>
  <si>
    <t>https://drive.google.com/drive/folders/177857r0USv_RvNRkSqO3eHSuzsfegbzv?usp=sharing</t>
  </si>
  <si>
    <t>Dokumen yang di upload hanya kegiatan tahun 2021 berupa daftar hadir dan notulen kegiatan</t>
  </si>
  <si>
    <t>Anggota aktif (disertai bukti daftar hadir dan notulen rapat</t>
  </si>
  <si>
    <t>Rencana kerja/kegiatan</t>
  </si>
  <si>
    <t>https://drive.google.com/drive/folders/1tUe5gAGJFbid81b5gfh2vIctO1aAUPhf?usp=sharing</t>
  </si>
  <si>
    <t>Rencana Kerja forum tahun 2022 ada</t>
  </si>
  <si>
    <t xml:space="preserve">Adanya dokumen rencana kegiatan/kerja berkaitan dengan tatanan  dan terdokumentasi dengan baik  </t>
  </si>
  <si>
    <t>Kegiatan forum komunikasi</t>
  </si>
  <si>
    <t>https://drive.google.com/file/d/1y0qe1N0MXFHTWsQvCZ5Sqx9xDA8LQdty/view?usp=drive_link</t>
  </si>
  <si>
    <t xml:space="preserve">File yang di upload tidak jelas dan tidak terbaca </t>
  </si>
  <si>
    <t>Adanya kegiatan/ keterlibatan sesuai tatanan yg ada di kecamatan, disertai bukti-bukti</t>
  </si>
  <si>
    <t>Sumber dana kegiatan forum komunikasi</t>
  </si>
  <si>
    <t>File kosong</t>
  </si>
  <si>
    <t xml:space="preserve">Adanya dukungan dana dari pemerintah dan sumber lain (dengan bukti)   </t>
  </si>
  <si>
    <t>D</t>
  </si>
  <si>
    <t xml:space="preserve">POKJA DESA/KELURAHAN </t>
  </si>
  <si>
    <t>https://drive.google.com/drive/folders/1NnNSFhp_Jc9XxKwATTOG18FElxyryc8S?usp=sharing</t>
  </si>
  <si>
    <t>SK Pokja tahun 2022 dan 2023 ada</t>
  </si>
  <si>
    <t xml:space="preserve">Adanya Pokja dengan SK </t>
  </si>
  <si>
    <t>Aktifitas Pokja desa/kelurahan</t>
  </si>
  <si>
    <t>https://drive.google.com/drive/folders/1QtTRKqm5wcabIfj8qB19VfwUShZZQ04T?usp=sharing</t>
  </si>
  <si>
    <t>Dokumen yang di upload tahun 2013</t>
  </si>
  <si>
    <t>https://drive.google.com/file/d/1xBBrYmjEMiPbkgH1G7vOWyuLsB66KqoA/view?usp=sharing</t>
  </si>
  <si>
    <t>Rencana Kerja Tahun 2022 ada</t>
  </si>
  <si>
    <t>Kegiatan pokja</t>
  </si>
  <si>
    <t>https://drive.google.com/drive/folders/1qMeo4qQ-2tKyvNm4qJ94yfTA0nOR63u2?usp=sharing</t>
  </si>
  <si>
    <t xml:space="preserve">Dokumen kegiatan pembinaan tahun 2023 pertatan ada </t>
  </si>
  <si>
    <t>Adanya kegiatan/ keterlibatan sesuai dengan tatanan yg ada di kelurahan/ desa, disertai bukti-bukti</t>
  </si>
  <si>
    <t>Sumber dana kegiatan Pokja</t>
  </si>
  <si>
    <t>File tidak ada</t>
  </si>
  <si>
    <t xml:space="preserve">Adanya dukungan dana dari pemerintah, swasta, dan masyarakat serta sumber lain (dengan bukti)   </t>
  </si>
</sst>
</file>

<file path=xl/styles.xml><?xml version="1.0" encoding="utf-8"?>
<styleSheet xmlns="http://schemas.openxmlformats.org/spreadsheetml/2006/main" xmlns:x14ac="http://schemas.microsoft.com/office/spreadsheetml/2009/9/ac" xmlns:mc="http://schemas.openxmlformats.org/markup-compatibility/2006">
  <fonts count="66">
    <font>
      <sz val="11.0"/>
      <color rgb="FF000000"/>
      <name val="Arial"/>
      <scheme val="minor"/>
    </font>
    <font>
      <sz val="12.0"/>
      <color rgb="FF000000"/>
      <name val="Arial Narrow"/>
    </font>
    <font>
      <sz val="14.0"/>
      <color rgb="FF000000"/>
      <name val="Arial Narrow"/>
    </font>
    <font>
      <sz val="11.0"/>
      <color rgb="FF000000"/>
      <name val="Arial"/>
    </font>
    <font>
      <b/>
      <sz val="12.0"/>
      <color rgb="FF000000"/>
      <name val="Arial Narrow"/>
    </font>
    <font>
      <b/>
      <sz val="14.0"/>
      <color rgb="FF000000"/>
      <name val="Arial Narrow"/>
    </font>
    <font>
      <b/>
      <sz val="12.0"/>
      <color rgb="FFFFFFFF"/>
      <name val="Arial Narrow"/>
    </font>
    <font>
      <b/>
      <sz val="14.0"/>
      <color rgb="FFFFFFFF"/>
      <name val="Arial Narrow"/>
    </font>
    <font>
      <sz val="14.0"/>
      <color theme="1"/>
      <name val="Arial Narrow"/>
    </font>
    <font/>
    <font>
      <sz val="14.0"/>
      <color theme="1"/>
      <name val="Arial"/>
    </font>
    <font>
      <u/>
      <sz val="11.0"/>
      <color rgb="FF0563C1"/>
      <name val="Arial"/>
    </font>
    <font>
      <sz val="12.0"/>
      <color theme="1"/>
      <name val="Arial Narrow"/>
    </font>
    <font>
      <sz val="14.0"/>
      <color rgb="FF000000"/>
      <name val="Arial"/>
    </font>
    <font>
      <u/>
      <sz val="11.0"/>
      <color rgb="FF0563C1"/>
      <name val="Arial"/>
    </font>
    <font>
      <u/>
      <sz val="12.0"/>
      <color rgb="FF0563C1"/>
      <name val="Arial Narrow"/>
    </font>
    <font>
      <u/>
      <sz val="11.0"/>
      <color rgb="FF0563C1"/>
      <name val="Arial"/>
    </font>
    <font>
      <u/>
      <sz val="11.0"/>
      <color rgb="FF0563C1"/>
      <name val="Arial"/>
    </font>
    <font>
      <b/>
      <sz val="12.0"/>
      <color theme="1"/>
      <name val="Arial Narrow"/>
    </font>
    <font>
      <sz val="11.0"/>
      <color theme="1"/>
      <name val="Arial"/>
    </font>
    <font>
      <u/>
      <sz val="11.0"/>
      <color rgb="FF0000FF"/>
      <name val="Arial"/>
    </font>
    <font>
      <u/>
      <sz val="11.0"/>
      <color rgb="FF0000FF"/>
      <name val="Arial"/>
    </font>
    <font>
      <u/>
      <sz val="11.0"/>
      <color rgb="FF0563C1"/>
      <name val="Arial"/>
    </font>
    <font>
      <u/>
      <sz val="11.0"/>
      <color rgb="FF0563C1"/>
      <name val="Arial"/>
    </font>
    <font>
      <u/>
      <sz val="11.0"/>
      <color rgb="FF0563C1"/>
      <name val="Arial"/>
    </font>
    <font>
      <b/>
      <sz val="14.0"/>
      <color theme="1"/>
      <name val="Arial Narrow"/>
    </font>
    <font>
      <u/>
      <sz val="11.0"/>
      <color rgb="FF0563C1"/>
      <name val="Arial"/>
    </font>
    <font>
      <u/>
      <sz val="11.0"/>
      <color rgb="FF0563C1"/>
      <name val="Arial"/>
    </font>
    <font>
      <u/>
      <sz val="11.0"/>
      <color rgb="FF0563C1"/>
      <name val="Arial"/>
    </font>
    <font>
      <u/>
      <sz val="11.0"/>
      <color rgb="FF0563C1"/>
      <name val="Arial"/>
    </font>
    <font>
      <u/>
      <sz val="11.0"/>
      <color rgb="FF0000FF"/>
      <name val="Arial"/>
    </font>
    <font>
      <u/>
      <sz val="11.0"/>
      <color rgb="FF0563C1"/>
      <name val="Arial"/>
    </font>
    <font>
      <sz val="12.0"/>
      <color rgb="FFFF0000"/>
      <name val="Arial Narrow"/>
    </font>
    <font>
      <u/>
      <sz val="11.0"/>
      <color rgb="FF0563C1"/>
      <name val="Arial"/>
    </font>
    <font>
      <u/>
      <sz val="11.0"/>
      <color rgb="FF0563C1"/>
      <name val="Arial"/>
    </font>
    <font>
      <u/>
      <sz val="12.0"/>
      <color rgb="FF0563C1"/>
      <name val="Arial"/>
    </font>
    <font>
      <b/>
      <sz val="16.0"/>
      <color theme="1"/>
      <name val="Arial Narrow"/>
    </font>
    <font>
      <b/>
      <sz val="10.0"/>
      <color rgb="FFFFFFFF"/>
      <name val="Arial"/>
    </font>
    <font>
      <sz val="10.0"/>
      <color rgb="FF000000"/>
      <name val="Arial"/>
    </font>
    <font>
      <u/>
      <sz val="11.0"/>
      <color rgb="FF0563C1"/>
      <name val="Arial"/>
    </font>
    <font>
      <sz val="10.0"/>
      <color theme="1"/>
      <name val="Arial"/>
    </font>
    <font>
      <b/>
      <sz val="12.0"/>
      <color theme="0"/>
      <name val="Arial Narrow"/>
    </font>
    <font>
      <sz val="12.0"/>
      <color theme="1"/>
      <name val="Aptos Narrow"/>
    </font>
    <font>
      <sz val="9.0"/>
      <color rgb="FF1F1F1F"/>
      <name val="Arial"/>
    </font>
    <font>
      <sz val="12.0"/>
      <color rgb="FFFFFFFF"/>
      <name val="Arial Narrow"/>
    </font>
    <font>
      <sz val="11.0"/>
      <color theme="1"/>
      <name val="Calibri"/>
    </font>
    <font>
      <sz val="11.0"/>
      <color theme="1"/>
      <name val="Arial Narrow"/>
    </font>
    <font>
      <b/>
      <sz val="14.0"/>
      <color theme="1"/>
      <name val="Trebuchet MS"/>
    </font>
    <font>
      <u/>
      <sz val="12.0"/>
      <color theme="1"/>
      <name val="Arial Narrow"/>
    </font>
    <font>
      <b/>
      <sz val="11.0"/>
      <color theme="1"/>
      <name val="Arial Narrow"/>
    </font>
    <font>
      <u/>
      <sz val="11.0"/>
      <color rgb="FF0000FF"/>
      <name val="Arial"/>
    </font>
    <font>
      <u/>
      <sz val="11.0"/>
      <color theme="1"/>
      <name val="Arial"/>
    </font>
    <font>
      <u/>
      <sz val="11.0"/>
      <color rgb="FF0563C1"/>
      <name val="Arial"/>
    </font>
    <font>
      <u/>
      <sz val="11.0"/>
      <color theme="1"/>
      <name val="Arial"/>
    </font>
    <font>
      <u/>
      <sz val="11.0"/>
      <color rgb="FF0563C1"/>
      <name val="Arial"/>
    </font>
    <font>
      <u/>
      <sz val="11.0"/>
      <color theme="1"/>
      <name val="Arial"/>
    </font>
    <font>
      <u/>
      <sz val="11.0"/>
      <color theme="1"/>
      <name val="Arial"/>
    </font>
    <font>
      <u/>
      <sz val="11.0"/>
      <color rgb="FF0563C1"/>
      <name val="Arial Narrow"/>
    </font>
    <font>
      <u/>
      <sz val="11.0"/>
      <color theme="1"/>
      <name val="Arial Narrow"/>
    </font>
    <font>
      <sz val="11.0"/>
      <color rgb="FF000000"/>
      <name val="Arial Narrow"/>
    </font>
    <font>
      <u/>
      <sz val="11.0"/>
      <color rgb="FF0563C1"/>
      <name val="Arial"/>
    </font>
    <font>
      <u/>
      <sz val="11.0"/>
      <color theme="1"/>
      <name val="Arial"/>
    </font>
    <font>
      <u/>
      <sz val="11.0"/>
      <color rgb="FF0000FF"/>
      <name val="Arial"/>
    </font>
    <font>
      <u/>
      <sz val="11.0"/>
      <color rgb="FF000000"/>
      <name val="Arial Narrow"/>
    </font>
    <font>
      <u/>
      <sz val="11.0"/>
      <color rgb="FF000000"/>
      <name val="Arial Narrow"/>
    </font>
    <font>
      <sz val="12.0"/>
      <color rgb="FF000000"/>
      <name val="Calibri"/>
    </font>
  </fonts>
  <fills count="9">
    <fill>
      <patternFill patternType="none"/>
    </fill>
    <fill>
      <patternFill patternType="lightGray"/>
    </fill>
    <fill>
      <patternFill patternType="solid">
        <fgColor rgb="FF2F5496"/>
        <bgColor rgb="FF2F5496"/>
      </patternFill>
    </fill>
    <fill>
      <patternFill patternType="solid">
        <fgColor rgb="FFAEABAB"/>
        <bgColor rgb="FFAEABAB"/>
      </patternFill>
    </fill>
    <fill>
      <patternFill patternType="solid">
        <fgColor rgb="FF2F5597"/>
        <bgColor rgb="FF2F5597"/>
      </patternFill>
    </fill>
    <fill>
      <patternFill patternType="solid">
        <fgColor rgb="FFBFBFBF"/>
        <bgColor rgb="FFBFBFBF"/>
      </patternFill>
    </fill>
    <fill>
      <patternFill patternType="solid">
        <fgColor rgb="FF999999"/>
        <bgColor rgb="FF999999"/>
      </patternFill>
    </fill>
    <fill>
      <patternFill patternType="solid">
        <fgColor rgb="FFFFFFFF"/>
        <bgColor rgb="FFFFFFFF"/>
      </patternFill>
    </fill>
    <fill>
      <patternFill patternType="solid">
        <fgColor rgb="FFDEEAF6"/>
        <bgColor rgb="FFDEEAF6"/>
      </patternFill>
    </fill>
  </fills>
  <borders count="2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rder>
    <border>
      <left style="thin">
        <color rgb="FF000000"/>
      </left>
      <bottom style="thin">
        <color rgb="FF000000"/>
      </bottom>
    </border>
    <border>
      <bottom style="thin">
        <color rgb="FF000000"/>
      </bottom>
    </border>
    <border>
      <right style="thin">
        <color rgb="FF000000"/>
      </right>
      <top style="thin">
        <color rgb="FF000000"/>
      </top>
    </border>
    <border>
      <top style="thin">
        <color rgb="FF000000"/>
      </top>
    </border>
    <border>
      <right style="thin">
        <color rgb="FF000000"/>
      </right>
      <bottom style="thin">
        <color rgb="FF000000"/>
      </bottom>
    </border>
    <border>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bottom style="thin">
        <color rgb="FF000000"/>
      </bottom>
    </border>
    <border>
      <left style="medium">
        <color rgb="FF000000"/>
      </left>
      <right style="thin">
        <color rgb="FF000000"/>
      </right>
      <top style="thin">
        <color rgb="FF000000"/>
      </top>
    </border>
    <border>
      <left style="medium">
        <color rgb="FF000000"/>
      </left>
      <right style="thin">
        <color rgb="FF000000"/>
      </right>
    </border>
    <border>
      <left style="medium">
        <color rgb="FF000000"/>
      </left>
      <right style="thin">
        <color rgb="FF000000"/>
      </right>
      <bottom style="thin">
        <color rgb="FF000000"/>
      </bottom>
    </border>
    <border>
      <right style="thin">
        <color rgb="FF000000"/>
      </right>
    </border>
    <border>
      <left/>
      <right style="thin">
        <color rgb="FF000000"/>
      </right>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bottom/>
    </border>
  </borders>
  <cellStyleXfs count="1">
    <xf borderId="0" fillId="0" fontId="0" numFmtId="0" applyAlignment="1" applyFont="1"/>
  </cellStyleXfs>
  <cellXfs count="418">
    <xf borderId="0" fillId="0" fontId="0" numFmtId="0" xfId="0" applyAlignment="1" applyFont="1">
      <alignment readingOrder="0" shrinkToFit="0" vertical="bottom" wrapText="0"/>
    </xf>
    <xf borderId="0" fillId="0" fontId="1" numFmtId="0" xfId="0" applyAlignment="1" applyFont="1">
      <alignment horizontal="center" vertical="top"/>
    </xf>
    <xf borderId="0" fillId="0" fontId="1" numFmtId="0" xfId="0" applyAlignment="1" applyFont="1">
      <alignment shrinkToFit="0" vertical="top" wrapText="1"/>
    </xf>
    <xf borderId="0" fillId="0" fontId="2" numFmtId="0" xfId="0" applyAlignment="1" applyFont="1">
      <alignment shrinkToFit="0" vertical="center" wrapText="1"/>
    </xf>
    <xf borderId="0" fillId="0" fontId="1" numFmtId="0" xfId="0" applyAlignment="1" applyFont="1">
      <alignment shrinkToFit="0" vertical="center" wrapText="1"/>
    </xf>
    <xf borderId="0" fillId="0" fontId="3" numFmtId="0" xfId="0" applyAlignment="1" applyFont="1">
      <alignment horizontal="left" vertical="center"/>
    </xf>
    <xf borderId="0" fillId="0" fontId="3" numFmtId="0" xfId="0" applyFont="1"/>
    <xf borderId="0" fillId="0" fontId="4" numFmtId="0" xfId="0" applyAlignment="1" applyFont="1">
      <alignment vertical="top"/>
    </xf>
    <xf borderId="0" fillId="0" fontId="5" numFmtId="0" xfId="0" applyAlignment="1" applyFont="1">
      <alignment vertical="center"/>
    </xf>
    <xf borderId="0" fillId="0" fontId="4" numFmtId="0" xfId="0" applyAlignment="1" applyFont="1">
      <alignment vertical="center"/>
    </xf>
    <xf borderId="1" fillId="2" fontId="6" numFmtId="0" xfId="0" applyAlignment="1" applyBorder="1" applyFill="1" applyFont="1">
      <alignment horizontal="center" vertical="center"/>
    </xf>
    <xf borderId="2" fillId="2" fontId="7" numFmtId="0" xfId="0" applyAlignment="1" applyBorder="1" applyFont="1">
      <alignment horizontal="center" shrinkToFit="0" vertical="center" wrapText="1"/>
    </xf>
    <xf borderId="2" fillId="2" fontId="6" numFmtId="0" xfId="0" applyAlignment="1" applyBorder="1" applyFont="1">
      <alignment horizontal="center" shrinkToFit="0" vertical="center" wrapText="1"/>
    </xf>
    <xf borderId="0" fillId="0" fontId="1" numFmtId="0" xfId="0" applyFont="1"/>
    <xf borderId="3" fillId="0" fontId="8" numFmtId="0" xfId="0" applyAlignment="1" applyBorder="1" applyFont="1">
      <alignment horizontal="center" vertical="top"/>
    </xf>
    <xf borderId="4" fillId="0" fontId="8" numFmtId="0" xfId="0" applyAlignment="1" applyBorder="1" applyFont="1">
      <alignment horizontal="left" vertical="top"/>
    </xf>
    <xf borderId="5" fillId="0" fontId="9" numFmtId="0" xfId="0" applyBorder="1" applyFont="1"/>
    <xf borderId="1" fillId="0" fontId="10" numFmtId="0" xfId="0" applyAlignment="1" applyBorder="1" applyFont="1">
      <alignment horizontal="center" vertical="center"/>
    </xf>
    <xf borderId="1" fillId="0" fontId="11" numFmtId="0" xfId="0" applyAlignment="1" applyBorder="1" applyFont="1">
      <alignment horizontal="center" shrinkToFit="0" vertical="center" wrapText="1"/>
    </xf>
    <xf borderId="1" fillId="0" fontId="12" numFmtId="0" xfId="0" applyAlignment="1" applyBorder="1" applyFont="1">
      <alignment horizontal="left" vertical="top"/>
    </xf>
    <xf borderId="1" fillId="0" fontId="8" numFmtId="0" xfId="0" applyAlignment="1" applyBorder="1" applyFont="1">
      <alignment horizontal="left" shrinkToFit="0" vertical="top" wrapText="1"/>
    </xf>
    <xf borderId="6" fillId="0" fontId="8" numFmtId="0" xfId="0" applyAlignment="1" applyBorder="1" applyFont="1">
      <alignment horizontal="left" shrinkToFit="0" vertical="center" wrapText="1"/>
    </xf>
    <xf borderId="3" fillId="0" fontId="8" numFmtId="0" xfId="0" applyAlignment="1" applyBorder="1" applyFont="1">
      <alignment horizontal="left" shrinkToFit="0" vertical="center" wrapText="1"/>
    </xf>
    <xf borderId="0" fillId="0" fontId="12" numFmtId="0" xfId="0" applyAlignment="1" applyFont="1">
      <alignment vertical="center"/>
    </xf>
    <xf borderId="7" fillId="0" fontId="9" numFmtId="0" xfId="0" applyBorder="1" applyFont="1"/>
    <xf borderId="1" fillId="0" fontId="8" numFmtId="0" xfId="0" applyAlignment="1" applyBorder="1" applyFont="1">
      <alignment horizontal="left" shrinkToFit="0" vertical="center" wrapText="1"/>
    </xf>
    <xf borderId="4" fillId="0" fontId="8" numFmtId="0" xfId="0" applyAlignment="1" applyBorder="1" applyFont="1">
      <alignment horizontal="center" shrinkToFit="0" vertical="center" wrapText="1"/>
    </xf>
    <xf borderId="1" fillId="0" fontId="13" numFmtId="0" xfId="0" applyAlignment="1" applyBorder="1" applyFont="1">
      <alignment horizontal="center" vertical="center"/>
    </xf>
    <xf borderId="8" fillId="0" fontId="14" numFmtId="0" xfId="0" applyAlignment="1" applyBorder="1" applyFont="1">
      <alignment horizontal="center" shrinkToFit="0" vertical="center" wrapText="1"/>
    </xf>
    <xf borderId="1" fillId="0" fontId="12" numFmtId="0" xfId="0" applyAlignment="1" applyBorder="1" applyFont="1">
      <alignment horizontal="center" shrinkToFit="0" vertical="center" wrapText="1"/>
    </xf>
    <xf borderId="9" fillId="0" fontId="9" numFmtId="0" xfId="0" applyBorder="1" applyFont="1"/>
    <xf borderId="0" fillId="0" fontId="12" numFmtId="0" xfId="0" applyFont="1"/>
    <xf borderId="8" fillId="0" fontId="9" numFmtId="0" xfId="0" applyBorder="1" applyFont="1"/>
    <xf borderId="1" fillId="0" fontId="8" numFmtId="0" xfId="0" applyAlignment="1" applyBorder="1" applyFont="1">
      <alignment horizontal="left" vertical="center"/>
    </xf>
    <xf borderId="10" fillId="0" fontId="9" numFmtId="0" xfId="0" applyBorder="1" applyFont="1"/>
    <xf borderId="8" fillId="0" fontId="8" numFmtId="0" xfId="0" applyAlignment="1" applyBorder="1" applyFont="1">
      <alignment horizontal="center" shrinkToFit="0" vertical="center" wrapText="1"/>
    </xf>
    <xf borderId="8" fillId="0" fontId="1" numFmtId="0" xfId="0" applyAlignment="1" applyBorder="1" applyFont="1">
      <alignment horizontal="center" vertical="center"/>
    </xf>
    <xf borderId="3" fillId="0" fontId="8" numFmtId="0" xfId="0" applyAlignment="1" applyBorder="1" applyFont="1">
      <alignment horizontal="left" shrinkToFit="0" vertical="top" wrapText="1"/>
    </xf>
    <xf borderId="8" fillId="0" fontId="13" numFmtId="0" xfId="0" applyAlignment="1" applyBorder="1" applyFont="1">
      <alignment horizontal="center" vertical="center"/>
    </xf>
    <xf borderId="8" fillId="0" fontId="15" numFmtId="0" xfId="0" applyAlignment="1" applyBorder="1" applyFont="1">
      <alignment horizontal="center" shrinkToFit="0" vertical="center" wrapText="1"/>
    </xf>
    <xf borderId="7" fillId="0" fontId="8" numFmtId="0" xfId="0" applyAlignment="1" applyBorder="1" applyFont="1">
      <alignment horizontal="left" shrinkToFit="0" vertical="top" wrapText="1"/>
    </xf>
    <xf borderId="8" fillId="0" fontId="8" numFmtId="0" xfId="0" applyAlignment="1" applyBorder="1" applyFont="1">
      <alignment horizontal="left" shrinkToFit="0" vertical="top" wrapText="1"/>
    </xf>
    <xf borderId="11" fillId="0" fontId="8" numFmtId="0" xfId="0" applyAlignment="1" applyBorder="1" applyFont="1">
      <alignment vertical="top"/>
    </xf>
    <xf borderId="1" fillId="0" fontId="8" numFmtId="0" xfId="0" applyAlignment="1" applyBorder="1" applyFont="1">
      <alignment horizontal="center" shrinkToFit="0" vertical="center" wrapText="1"/>
    </xf>
    <xf borderId="8" fillId="0" fontId="10" numFmtId="10" xfId="0" applyAlignment="1" applyBorder="1" applyFont="1" applyNumberFormat="1">
      <alignment horizontal="center" vertical="center"/>
    </xf>
    <xf borderId="8" fillId="0" fontId="12" numFmtId="0" xfId="0" applyAlignment="1" applyBorder="1" applyFont="1">
      <alignment horizontal="center" shrinkToFit="0" vertical="center" wrapText="1"/>
    </xf>
    <xf borderId="12" fillId="0" fontId="8" numFmtId="0" xfId="0" applyAlignment="1" applyBorder="1" applyFont="1">
      <alignment horizontal="left" vertical="center"/>
    </xf>
    <xf borderId="13" fillId="0" fontId="8" numFmtId="0" xfId="0" applyAlignment="1" applyBorder="1" applyFont="1">
      <alignment horizontal="center" shrinkToFit="0" vertical="center" wrapText="1"/>
    </xf>
    <xf borderId="1" fillId="0" fontId="2" numFmtId="0" xfId="0" applyAlignment="1" applyBorder="1" applyFont="1">
      <alignment horizontal="center" vertical="center"/>
    </xf>
    <xf borderId="9" fillId="0" fontId="8" numFmtId="0" xfId="0" applyAlignment="1" applyBorder="1" applyFont="1">
      <alignment horizontal="center" vertical="top"/>
    </xf>
    <xf borderId="4" fillId="0" fontId="8" numFmtId="0" xfId="0" applyAlignment="1" applyBorder="1" applyFont="1">
      <alignment horizontal="left" vertical="center"/>
    </xf>
    <xf borderId="1" fillId="0" fontId="12" numFmtId="0" xfId="0" applyAlignment="1" applyBorder="1" applyFont="1">
      <alignment horizontal="left" vertical="center"/>
    </xf>
    <xf borderId="9" fillId="0" fontId="8" numFmtId="0" xfId="0" applyAlignment="1" applyBorder="1" applyFont="1">
      <alignment horizontal="left" shrinkToFit="0" vertical="center" wrapText="1"/>
    </xf>
    <xf borderId="3" fillId="0" fontId="8" numFmtId="0" xfId="0" applyAlignment="1" applyBorder="1" applyFont="1">
      <alignment horizontal="left" vertical="center"/>
    </xf>
    <xf borderId="0" fillId="0" fontId="16" numFmtId="0" xfId="0" applyAlignment="1" applyFont="1">
      <alignment horizontal="center" shrinkToFit="0" vertical="center" wrapText="1"/>
    </xf>
    <xf borderId="10" fillId="0" fontId="8" numFmtId="0" xfId="0" applyAlignment="1" applyBorder="1" applyFont="1">
      <alignment horizontal="center" vertical="top"/>
    </xf>
    <xf borderId="8" fillId="0" fontId="8" numFmtId="0" xfId="0" applyAlignment="1" applyBorder="1" applyFont="1">
      <alignment horizontal="left" shrinkToFit="0" vertical="center" wrapText="1"/>
    </xf>
    <xf borderId="10" fillId="0" fontId="8" numFmtId="0" xfId="0" applyAlignment="1" applyBorder="1" applyFont="1">
      <alignment horizontal="left" shrinkToFit="0" vertical="top" wrapText="1"/>
    </xf>
    <xf borderId="14" fillId="0" fontId="9" numFmtId="0" xfId="0" applyBorder="1" applyFont="1"/>
    <xf borderId="1" fillId="0" fontId="12" numFmtId="0" xfId="0" applyAlignment="1" applyBorder="1" applyFont="1">
      <alignment horizontal="left" shrinkToFit="0" vertical="center" wrapText="1"/>
    </xf>
    <xf borderId="7" fillId="0" fontId="8" numFmtId="0" xfId="0" applyAlignment="1" applyBorder="1" applyFont="1">
      <alignment shrinkToFit="0" vertical="center" wrapText="1"/>
    </xf>
    <xf borderId="7" fillId="0" fontId="8" numFmtId="0" xfId="0" applyAlignment="1" applyBorder="1" applyFont="1">
      <alignment horizontal="center" shrinkToFit="0" vertical="center" wrapText="1"/>
    </xf>
    <xf borderId="3" fillId="0" fontId="8" numFmtId="0" xfId="0" applyAlignment="1" applyBorder="1" applyFont="1">
      <alignment horizontal="center" shrinkToFit="0" vertical="center" wrapText="1"/>
    </xf>
    <xf borderId="1" fillId="0" fontId="8" numFmtId="0" xfId="0" applyAlignment="1" applyBorder="1" applyFont="1">
      <alignment vertical="center"/>
    </xf>
    <xf borderId="1" fillId="0" fontId="13" numFmtId="9" xfId="0" applyAlignment="1" applyBorder="1" applyFont="1" applyNumberFormat="1">
      <alignment horizontal="center" vertical="center"/>
    </xf>
    <xf borderId="7" fillId="0" fontId="8" numFmtId="0" xfId="0" applyAlignment="1" applyBorder="1" applyFont="1">
      <alignment horizontal="left" shrinkToFit="0" vertical="center" wrapText="1"/>
    </xf>
    <xf borderId="6" fillId="0" fontId="8" numFmtId="0" xfId="0" applyAlignment="1" applyBorder="1" applyFont="1">
      <alignment horizontal="center" vertical="top"/>
    </xf>
    <xf borderId="4" fillId="0" fontId="8" numFmtId="0" xfId="0" applyAlignment="1" applyBorder="1" applyFont="1">
      <alignment horizontal="left" shrinkToFit="0" vertical="top" wrapText="1"/>
    </xf>
    <xf borderId="0" fillId="0" fontId="8" numFmtId="0" xfId="0" applyAlignment="1" applyFont="1">
      <alignment horizontal="center" shrinkToFit="0" vertical="center" wrapText="1"/>
    </xf>
    <xf borderId="10" fillId="0" fontId="8" numFmtId="0" xfId="0" applyAlignment="1" applyBorder="1" applyFont="1">
      <alignment horizontal="left" vertical="top"/>
    </xf>
    <xf borderId="1" fillId="0" fontId="8" numFmtId="0" xfId="0" applyAlignment="1" applyBorder="1" applyFont="1">
      <alignment horizontal="left" vertical="top"/>
    </xf>
    <xf borderId="1" fillId="0" fontId="12" numFmtId="0" xfId="0" applyAlignment="1" applyBorder="1" applyFont="1">
      <alignment vertical="top"/>
    </xf>
    <xf borderId="10" fillId="0" fontId="8" numFmtId="0" xfId="0" applyAlignment="1" applyBorder="1" applyFont="1">
      <alignment horizontal="center" shrinkToFit="0" vertical="center" wrapText="1"/>
    </xf>
    <xf borderId="8" fillId="0" fontId="12" numFmtId="0" xfId="0" applyAlignment="1" applyBorder="1" applyFont="1">
      <alignment horizontal="left" shrinkToFit="0" vertical="top" wrapText="1"/>
    </xf>
    <xf borderId="7" fillId="0" fontId="17" numFmtId="0" xfId="0" applyAlignment="1" applyBorder="1" applyFont="1">
      <alignment horizontal="center" shrinkToFit="0" vertical="center" wrapText="1"/>
    </xf>
    <xf borderId="7" fillId="0" fontId="8" numFmtId="0" xfId="0" applyAlignment="1" applyBorder="1" applyFont="1">
      <alignment horizontal="center" vertical="top"/>
    </xf>
    <xf borderId="1" fillId="0" fontId="12" numFmtId="0" xfId="0" applyAlignment="1" applyBorder="1" applyFont="1">
      <alignment shrinkToFit="0" wrapText="1"/>
    </xf>
    <xf borderId="5" fillId="0" fontId="8" numFmtId="0" xfId="0" applyAlignment="1" applyBorder="1" applyFont="1">
      <alignment vertical="center"/>
    </xf>
    <xf borderId="6" fillId="0" fontId="8" numFmtId="0" xfId="0" applyAlignment="1" applyBorder="1" applyFont="1">
      <alignment horizontal="center" shrinkToFit="0" vertical="center" wrapText="1"/>
    </xf>
    <xf borderId="13" fillId="0" fontId="8" numFmtId="0" xfId="0" applyAlignment="1" applyBorder="1" applyFont="1">
      <alignment vertical="center"/>
    </xf>
    <xf quotePrefix="1" borderId="6" fillId="0" fontId="8" numFmtId="0" xfId="0" applyAlignment="1" applyBorder="1" applyFont="1">
      <alignment horizontal="center" shrinkToFit="0" vertical="center" wrapText="1"/>
    </xf>
    <xf borderId="0" fillId="0" fontId="12" numFmtId="0" xfId="0" applyAlignment="1" applyFont="1">
      <alignment vertical="top"/>
    </xf>
    <xf borderId="1" fillId="0" fontId="8" numFmtId="0" xfId="0" applyAlignment="1" applyBorder="1" applyFont="1">
      <alignment shrinkToFit="0" vertical="center" wrapText="1"/>
    </xf>
    <xf borderId="6" fillId="0" fontId="12" numFmtId="0" xfId="0" applyAlignment="1" applyBorder="1" applyFont="1">
      <alignment horizontal="center" shrinkToFit="0" vertical="center" wrapText="1"/>
    </xf>
    <xf borderId="1" fillId="0" fontId="8" numFmtId="0" xfId="0" applyAlignment="1" applyBorder="1" applyFont="1">
      <alignment shrinkToFit="0" vertical="top" wrapText="1"/>
    </xf>
    <xf borderId="1" fillId="0" fontId="18" numFmtId="0" xfId="0" applyAlignment="1" applyBorder="1" applyFont="1">
      <alignment horizontal="center" shrinkToFit="0" vertical="center" wrapText="1"/>
    </xf>
    <xf borderId="1" fillId="0" fontId="12" numFmtId="0" xfId="0" applyAlignment="1" applyBorder="1" applyFont="1">
      <alignment horizontal="left" shrinkToFit="0" vertical="top" wrapText="1"/>
    </xf>
    <xf borderId="3" fillId="0" fontId="8" numFmtId="0" xfId="0" applyAlignment="1" applyBorder="1" applyFont="1">
      <alignment shrinkToFit="0" vertical="center" wrapText="1"/>
    </xf>
    <xf borderId="8" fillId="0" fontId="1" numFmtId="0" xfId="0" applyAlignment="1" applyBorder="1" applyFont="1">
      <alignment horizontal="center" shrinkToFit="0" vertical="center" wrapText="1"/>
    </xf>
    <xf borderId="10" fillId="0" fontId="8" numFmtId="0" xfId="0" applyAlignment="1" applyBorder="1" applyFont="1">
      <alignment vertical="center"/>
    </xf>
    <xf borderId="9" fillId="0" fontId="8" numFmtId="0" xfId="0" applyAlignment="1" applyBorder="1" applyFont="1">
      <alignment vertical="center"/>
    </xf>
    <xf borderId="8" fillId="0" fontId="8" numFmtId="0" xfId="0" applyAlignment="1" applyBorder="1" applyFont="1">
      <alignment horizontal="center" vertical="top"/>
    </xf>
    <xf borderId="0" fillId="0" fontId="19" numFmtId="0" xfId="0" applyFont="1"/>
    <xf borderId="0" fillId="0" fontId="20" numFmtId="0" xfId="0" applyFont="1"/>
    <xf borderId="1" fillId="0" fontId="12" numFmtId="0" xfId="0" applyAlignment="1" applyBorder="1" applyFont="1">
      <alignment horizontal="center"/>
    </xf>
    <xf borderId="3" fillId="0" fontId="8" numFmtId="0" xfId="0" applyAlignment="1" applyBorder="1" applyFont="1">
      <alignment vertical="center"/>
    </xf>
    <xf borderId="15" fillId="0" fontId="8" numFmtId="0" xfId="0" applyAlignment="1" applyBorder="1" applyFont="1">
      <alignment horizontal="center" shrinkToFit="0" vertical="center" wrapText="1"/>
    </xf>
    <xf borderId="4" fillId="0" fontId="8" numFmtId="0" xfId="0" applyAlignment="1" applyBorder="1" applyFont="1">
      <alignment horizontal="center"/>
    </xf>
    <xf borderId="4" fillId="0" fontId="8" numFmtId="0" xfId="0" applyAlignment="1" applyBorder="1" applyFont="1">
      <alignment horizontal="left" shrinkToFit="0" vertical="center" wrapText="1"/>
    </xf>
    <xf borderId="1" fillId="0" fontId="13" numFmtId="10" xfId="0" applyAlignment="1" applyBorder="1" applyFont="1" applyNumberFormat="1">
      <alignment horizontal="center" vertical="center"/>
    </xf>
    <xf borderId="8" fillId="0" fontId="12" numFmtId="0" xfId="0" applyBorder="1" applyFont="1"/>
    <xf borderId="8" fillId="0" fontId="8" numFmtId="0" xfId="0" applyAlignment="1" applyBorder="1" applyFont="1">
      <alignment vertical="center"/>
    </xf>
    <xf borderId="1" fillId="0" fontId="12" numFmtId="0" xfId="0" applyAlignment="1" applyBorder="1" applyFont="1">
      <alignment vertical="center"/>
    </xf>
    <xf borderId="10" fillId="0" fontId="8" numFmtId="0" xfId="0" applyAlignment="1" applyBorder="1" applyFont="1">
      <alignment shrinkToFit="0" vertical="center" wrapText="1"/>
    </xf>
    <xf borderId="11" fillId="0" fontId="8" numFmtId="0" xfId="0" applyAlignment="1" applyBorder="1" applyFont="1">
      <alignment vertical="center"/>
    </xf>
    <xf borderId="4" fillId="0" fontId="8" numFmtId="0" xfId="0" applyAlignment="1" applyBorder="1" applyFont="1">
      <alignment vertical="center"/>
    </xf>
    <xf borderId="0" fillId="0" fontId="21" numFmtId="0" xfId="0" applyAlignment="1" applyFont="1">
      <alignment shrinkToFit="0" wrapText="1"/>
    </xf>
    <xf borderId="0" fillId="0" fontId="22" numFmtId="0" xfId="0" applyFont="1"/>
    <xf borderId="13" fillId="0" fontId="8" numFmtId="0" xfId="0" applyAlignment="1" applyBorder="1" applyFont="1">
      <alignment horizontal="center" shrinkToFit="0" vertical="top" wrapText="1"/>
    </xf>
    <xf borderId="1" fillId="0" fontId="12" numFmtId="0" xfId="0" applyBorder="1" applyFont="1"/>
    <xf borderId="3" fillId="0" fontId="8" numFmtId="0" xfId="0" applyAlignment="1" applyBorder="1" applyFont="1">
      <alignment shrinkToFit="0" vertical="top" wrapText="1"/>
    </xf>
    <xf borderId="1" fillId="0" fontId="12" numFmtId="0" xfId="0" applyAlignment="1" applyBorder="1" applyFont="1">
      <alignment horizontal="center" shrinkToFit="0" vertical="top" wrapText="1"/>
    </xf>
    <xf borderId="15" fillId="0" fontId="8" numFmtId="0" xfId="0" applyAlignment="1" applyBorder="1" applyFont="1">
      <alignment horizontal="center" shrinkToFit="0" vertical="top" wrapText="1"/>
    </xf>
    <xf borderId="10" fillId="0" fontId="8" numFmtId="0" xfId="0" applyAlignment="1" applyBorder="1" applyFont="1">
      <alignment horizontal="left" shrinkToFit="0" vertical="center" wrapText="1"/>
    </xf>
    <xf borderId="1" fillId="0" fontId="3" numFmtId="0" xfId="0" applyAlignment="1" applyBorder="1" applyFont="1">
      <alignment horizontal="center" shrinkToFit="0" vertical="center" wrapText="1"/>
    </xf>
    <xf borderId="10" fillId="0" fontId="1" numFmtId="0" xfId="0" applyAlignment="1" applyBorder="1" applyFont="1">
      <alignment horizontal="center" shrinkToFit="0" vertical="center" wrapText="1"/>
    </xf>
    <xf borderId="4" fillId="0" fontId="12" numFmtId="0" xfId="0" applyAlignment="1" applyBorder="1" applyFont="1">
      <alignment horizontal="center" shrinkToFit="0" vertical="center" wrapText="1"/>
    </xf>
    <xf borderId="9" fillId="0" fontId="1" numFmtId="0" xfId="0" applyAlignment="1" applyBorder="1" applyFont="1">
      <alignment horizontal="center" shrinkToFit="0" vertical="center" wrapText="1"/>
    </xf>
    <xf borderId="9" fillId="0" fontId="8" numFmtId="0" xfId="0" applyAlignment="1" applyBorder="1" applyFont="1">
      <alignment horizontal="center" shrinkToFit="0" vertical="center" wrapText="1"/>
    </xf>
    <xf borderId="10" fillId="0" fontId="23" numFmtId="0" xfId="0" applyAlignment="1" applyBorder="1" applyFont="1">
      <alignment horizontal="center" shrinkToFit="0" vertical="center" wrapText="1"/>
    </xf>
    <xf borderId="9" fillId="0" fontId="24" numFmtId="0" xfId="0" applyAlignment="1" applyBorder="1" applyFont="1">
      <alignment horizontal="center" shrinkToFit="0" vertical="center" wrapText="1"/>
    </xf>
    <xf borderId="1" fillId="0" fontId="8" numFmtId="0" xfId="0" applyAlignment="1" applyBorder="1" applyFont="1">
      <alignment vertical="top"/>
    </xf>
    <xf borderId="10" fillId="0" fontId="12" numFmtId="0" xfId="0" applyAlignment="1" applyBorder="1" applyFont="1">
      <alignment horizontal="center" shrinkToFit="0" vertical="center" wrapText="1"/>
    </xf>
    <xf borderId="1" fillId="3" fontId="18" numFmtId="0" xfId="0" applyAlignment="1" applyBorder="1" applyFill="1" applyFont="1">
      <alignment horizontal="center" vertical="top"/>
    </xf>
    <xf borderId="16" fillId="3" fontId="18" numFmtId="0" xfId="0" applyAlignment="1" applyBorder="1" applyFont="1">
      <alignment vertical="center"/>
    </xf>
    <xf borderId="16" fillId="3" fontId="25" numFmtId="0" xfId="0" applyAlignment="1" applyBorder="1" applyFont="1">
      <alignment horizontal="center" vertical="center"/>
    </xf>
    <xf borderId="16" fillId="3" fontId="18" numFmtId="0" xfId="0" applyAlignment="1" applyBorder="1" applyFont="1">
      <alignment horizontal="center" vertical="center"/>
    </xf>
    <xf borderId="16" fillId="3" fontId="12" numFmtId="0" xfId="0" applyAlignment="1" applyBorder="1" applyFont="1">
      <alignment horizontal="left" vertical="center"/>
    </xf>
    <xf borderId="1" fillId="3" fontId="12" numFmtId="0" xfId="0" applyAlignment="1" applyBorder="1" applyFont="1">
      <alignment horizontal="left" vertical="center"/>
    </xf>
    <xf borderId="0" fillId="0" fontId="1" numFmtId="0" xfId="0" applyAlignment="1" applyFont="1">
      <alignment horizontal="left" vertical="center"/>
    </xf>
    <xf borderId="0" fillId="0" fontId="1" numFmtId="0" xfId="0" applyAlignment="1" applyFont="1">
      <alignment horizontal="right" vertical="top"/>
    </xf>
    <xf borderId="0" fillId="0" fontId="1" numFmtId="0" xfId="0" applyAlignment="1" applyFont="1">
      <alignment vertical="top"/>
    </xf>
    <xf borderId="0" fillId="0" fontId="1" numFmtId="0" xfId="0" applyAlignment="1" applyFont="1">
      <alignment horizontal="center" shrinkToFit="0" vertical="top" wrapText="1"/>
    </xf>
    <xf borderId="0" fillId="0" fontId="4" numFmtId="0" xfId="0" applyAlignment="1" applyFont="1">
      <alignment horizontal="center" vertical="top"/>
    </xf>
    <xf borderId="0" fillId="0" fontId="4" numFmtId="0" xfId="0" applyAlignment="1" applyFont="1">
      <alignment horizontal="center" shrinkToFit="0" vertical="top" wrapText="1"/>
    </xf>
    <xf borderId="2" fillId="2" fontId="6" numFmtId="0" xfId="0" applyAlignment="1" applyBorder="1" applyFont="1">
      <alignment horizontal="center" vertical="center"/>
    </xf>
    <xf borderId="0" fillId="0" fontId="1" numFmtId="0" xfId="0" applyAlignment="1" applyFont="1">
      <alignment horizontal="center" vertical="center"/>
    </xf>
    <xf borderId="3" fillId="0" fontId="12" numFmtId="0" xfId="0" applyAlignment="1" applyBorder="1" applyFont="1">
      <alignment horizontal="center" vertical="top"/>
    </xf>
    <xf borderId="1" fillId="0" fontId="26" numFmtId="0" xfId="0" applyAlignment="1" applyBorder="1" applyFont="1">
      <alignment horizontal="center" shrinkToFit="0" vertical="top" wrapText="1"/>
    </xf>
    <xf borderId="3" fillId="0" fontId="12" numFmtId="0" xfId="0" applyAlignment="1" applyBorder="1" applyFont="1">
      <alignment horizontal="left" shrinkToFit="0" vertical="top" wrapText="1"/>
    </xf>
    <xf borderId="3" fillId="0" fontId="12" numFmtId="0" xfId="0" applyAlignment="1" applyBorder="1" applyFont="1">
      <alignment shrinkToFit="0" vertical="top" wrapText="1"/>
    </xf>
    <xf borderId="1" fillId="0" fontId="1" numFmtId="0" xfId="0" applyAlignment="1" applyBorder="1" applyFont="1">
      <alignment horizontal="center" vertical="top"/>
    </xf>
    <xf borderId="0" fillId="0" fontId="27" numFmtId="0" xfId="0" applyAlignment="1" applyFont="1">
      <alignment shrinkToFit="0" vertical="top" wrapText="1"/>
    </xf>
    <xf borderId="8" fillId="0" fontId="3" numFmtId="0" xfId="0" applyAlignment="1" applyBorder="1" applyFont="1">
      <alignment horizontal="center" vertical="top"/>
    </xf>
    <xf borderId="5" fillId="0" fontId="28" numFmtId="0" xfId="0" applyAlignment="1" applyBorder="1" applyFont="1">
      <alignment horizontal="center" shrinkToFit="0" vertical="top" wrapText="1"/>
    </xf>
    <xf borderId="14" fillId="0" fontId="29" numFmtId="0" xfId="0" applyAlignment="1" applyBorder="1" applyFont="1">
      <alignment horizontal="center" shrinkToFit="0" vertical="top" wrapText="1"/>
    </xf>
    <xf borderId="0" fillId="0" fontId="1" numFmtId="0" xfId="0" applyAlignment="1" applyFont="1">
      <alignment horizontal="left" vertical="top"/>
    </xf>
    <xf borderId="8" fillId="0" fontId="1" numFmtId="0" xfId="0" applyAlignment="1" applyBorder="1" applyFont="1">
      <alignment horizontal="center" vertical="top"/>
    </xf>
    <xf borderId="4" fillId="0" fontId="12" numFmtId="0" xfId="0" applyAlignment="1" applyBorder="1" applyFont="1">
      <alignment horizontal="left" shrinkToFit="0" vertical="top" wrapText="1"/>
    </xf>
    <xf borderId="14" fillId="0" fontId="1" numFmtId="0" xfId="0" applyAlignment="1" applyBorder="1" applyFont="1">
      <alignment horizontal="left" shrinkToFit="0" vertical="top" wrapText="1"/>
    </xf>
    <xf borderId="14" fillId="0" fontId="1" numFmtId="0" xfId="0" applyAlignment="1" applyBorder="1" applyFont="1">
      <alignment horizontal="center" shrinkToFit="0" vertical="top" wrapText="1"/>
    </xf>
    <xf borderId="0" fillId="0" fontId="30" numFmtId="0" xfId="0" applyAlignment="1" applyFont="1">
      <alignment shrinkToFit="0" vertical="top" wrapText="1"/>
    </xf>
    <xf borderId="3" fillId="0" fontId="12" numFmtId="0" xfId="0" applyAlignment="1" applyBorder="1" applyFont="1">
      <alignment horizontal="left" vertical="top"/>
    </xf>
    <xf borderId="1" fillId="0" fontId="12" numFmtId="0" xfId="0" applyAlignment="1" applyBorder="1" applyFont="1">
      <alignment horizontal="center" vertical="top"/>
    </xf>
    <xf borderId="3" fillId="0" fontId="12" numFmtId="0" xfId="0" applyAlignment="1" applyBorder="1" applyFont="1">
      <alignment vertical="top"/>
    </xf>
    <xf borderId="14" fillId="0" fontId="31" numFmtId="0" xfId="0" applyAlignment="1" applyBorder="1" applyFont="1">
      <alignment horizontal="left" shrinkToFit="0" vertical="top" wrapText="1"/>
    </xf>
    <xf borderId="1" fillId="0" fontId="18" numFmtId="0" xfId="0" applyAlignment="1" applyBorder="1" applyFont="1">
      <alignment horizontal="left" shrinkToFit="0" vertical="top" wrapText="1"/>
    </xf>
    <xf quotePrefix="1" borderId="3" fillId="0" fontId="12" numFmtId="0" xfId="0" applyAlignment="1" applyBorder="1" applyFont="1">
      <alignment horizontal="left" shrinkToFit="0" vertical="top" wrapText="1"/>
    </xf>
    <xf borderId="1" fillId="0" fontId="12" numFmtId="0" xfId="0" applyAlignment="1" applyBorder="1" applyFont="1">
      <alignment shrinkToFit="0" vertical="top" wrapText="1"/>
    </xf>
    <xf borderId="3" fillId="0" fontId="12" numFmtId="0" xfId="0" applyAlignment="1" applyBorder="1" applyFont="1">
      <alignment horizontal="center" shrinkToFit="0" vertical="top" wrapText="1"/>
    </xf>
    <xf borderId="7" fillId="0" fontId="18" numFmtId="0" xfId="0" applyAlignment="1" applyBorder="1" applyFont="1">
      <alignment horizontal="center" vertical="top"/>
    </xf>
    <xf borderId="8" fillId="0" fontId="18" numFmtId="0" xfId="0" applyAlignment="1" applyBorder="1" applyFont="1">
      <alignment horizontal="center" vertical="top"/>
    </xf>
    <xf borderId="0" fillId="0" fontId="32" numFmtId="0" xfId="0" applyAlignment="1" applyFont="1">
      <alignment horizontal="left" vertical="top"/>
    </xf>
    <xf borderId="4" fillId="0" fontId="12" numFmtId="0" xfId="0" applyAlignment="1" applyBorder="1" applyFont="1">
      <alignment horizontal="left" vertical="top"/>
    </xf>
    <xf borderId="3" fillId="0" fontId="12" numFmtId="0" xfId="0" applyAlignment="1" applyBorder="1" applyFont="1">
      <alignment horizontal="left" vertical="center"/>
    </xf>
    <xf borderId="0" fillId="0" fontId="3" numFmtId="0" xfId="0" applyAlignment="1" applyFont="1">
      <alignment shrinkToFit="0" vertical="top" wrapText="1"/>
    </xf>
    <xf borderId="8" fillId="0" fontId="12" numFmtId="0" xfId="0" applyAlignment="1" applyBorder="1" applyFont="1">
      <alignment horizontal="center" vertical="top"/>
    </xf>
    <xf borderId="8" fillId="0" fontId="12" numFmtId="0" xfId="0" applyAlignment="1" applyBorder="1" applyFont="1">
      <alignment vertical="top"/>
    </xf>
    <xf borderId="7" fillId="0" fontId="12" numFmtId="0" xfId="0" applyAlignment="1" applyBorder="1" applyFont="1">
      <alignment horizontal="center" vertical="top"/>
    </xf>
    <xf borderId="1" fillId="0" fontId="12" numFmtId="1" xfId="0" applyAlignment="1" applyBorder="1" applyFont="1" applyNumberFormat="1">
      <alignment horizontal="center" shrinkToFit="1" vertical="top" wrapText="0"/>
    </xf>
    <xf borderId="5" fillId="0" fontId="33" numFmtId="0" xfId="0" applyAlignment="1" applyBorder="1" applyFont="1">
      <alignment horizontal="left" shrinkToFit="0" vertical="top" wrapText="1"/>
    </xf>
    <xf borderId="8" fillId="0" fontId="1" numFmtId="1" xfId="0" applyAlignment="1" applyBorder="1" applyFont="1" applyNumberFormat="1">
      <alignment horizontal="center" vertical="top"/>
    </xf>
    <xf borderId="5" fillId="0" fontId="34" numFmtId="1" xfId="0" applyAlignment="1" applyBorder="1" applyFont="1" applyNumberFormat="1">
      <alignment horizontal="left" shrinkToFit="0" vertical="top" wrapText="1"/>
    </xf>
    <xf borderId="14" fillId="0" fontId="1" numFmtId="1" xfId="0" applyAlignment="1" applyBorder="1" applyFont="1" applyNumberFormat="1">
      <alignment horizontal="center" shrinkToFit="0" vertical="top" wrapText="1"/>
    </xf>
    <xf borderId="8" fillId="0" fontId="3" numFmtId="1" xfId="0" applyAlignment="1" applyBorder="1" applyFont="1" applyNumberFormat="1">
      <alignment horizontal="center" vertical="top"/>
    </xf>
    <xf borderId="14" fillId="0" fontId="35" numFmtId="1" xfId="0" applyAlignment="1" applyBorder="1" applyFont="1" applyNumberFormat="1">
      <alignment horizontal="center" shrinkToFit="0" vertical="top" wrapText="1"/>
    </xf>
    <xf borderId="1" fillId="0" fontId="12" numFmtId="1" xfId="0" applyAlignment="1" applyBorder="1" applyFont="1" applyNumberFormat="1">
      <alignment horizontal="center" shrinkToFit="0" vertical="top" wrapText="1"/>
    </xf>
    <xf borderId="1" fillId="3" fontId="18" numFmtId="0" xfId="0" applyAlignment="1" applyBorder="1" applyFont="1">
      <alignment horizontal="left" vertical="top"/>
    </xf>
    <xf borderId="17" fillId="3" fontId="18" numFmtId="0" xfId="0" applyAlignment="1" applyBorder="1" applyFont="1">
      <alignment horizontal="center" vertical="top"/>
    </xf>
    <xf borderId="17" fillId="3" fontId="18" numFmtId="0" xfId="0" applyAlignment="1" applyBorder="1" applyFont="1">
      <alignment horizontal="center" shrinkToFit="0" vertical="top" wrapText="1"/>
    </xf>
    <xf borderId="17" fillId="3" fontId="12" numFmtId="0" xfId="0" applyAlignment="1" applyBorder="1" applyFont="1">
      <alignment horizontal="left" vertical="top"/>
    </xf>
    <xf borderId="1" fillId="3" fontId="12" numFmtId="0" xfId="0" applyAlignment="1" applyBorder="1" applyFont="1">
      <alignment horizontal="left" vertical="top"/>
    </xf>
    <xf borderId="0" fillId="0" fontId="1" numFmtId="0" xfId="0" applyAlignment="1" applyFont="1">
      <alignment horizontal="center" shrinkToFit="0" vertical="center" wrapText="1"/>
    </xf>
    <xf borderId="0" fillId="0" fontId="4" numFmtId="0" xfId="0" applyAlignment="1" applyFont="1">
      <alignment horizontal="center" vertical="center"/>
    </xf>
    <xf borderId="5" fillId="0" fontId="1" numFmtId="0" xfId="0" applyAlignment="1" applyBorder="1" applyFont="1">
      <alignment horizontal="left" shrinkToFit="0" vertical="top" wrapText="1"/>
    </xf>
    <xf borderId="5" fillId="0" fontId="12" numFmtId="0" xfId="0" applyAlignment="1" applyBorder="1" applyFont="1">
      <alignment horizontal="left" readingOrder="1" shrinkToFit="0" vertical="center" wrapText="1"/>
    </xf>
    <xf borderId="3" fillId="0" fontId="12" numFmtId="0" xfId="0" applyAlignment="1" applyBorder="1" applyFont="1">
      <alignment horizontal="left" readingOrder="1" shrinkToFit="0" vertical="center" wrapText="1"/>
    </xf>
    <xf borderId="0" fillId="0" fontId="1" numFmtId="0" xfId="0" applyAlignment="1" applyFont="1">
      <alignment horizontal="left"/>
    </xf>
    <xf borderId="0" fillId="0" fontId="3" numFmtId="0" xfId="0" applyAlignment="1" applyFont="1">
      <alignment horizontal="left"/>
    </xf>
    <xf borderId="1" fillId="0" fontId="1" numFmtId="0" xfId="0" applyAlignment="1" applyBorder="1" applyFont="1">
      <alignment horizontal="center" shrinkToFit="0" vertical="top" wrapText="1"/>
    </xf>
    <xf borderId="1" fillId="0" fontId="12" numFmtId="0" xfId="0" applyAlignment="1" applyBorder="1" applyFont="1">
      <alignment horizontal="left" readingOrder="1" shrinkToFit="0" vertical="center" wrapText="1"/>
    </xf>
    <xf borderId="8" fillId="0" fontId="19" numFmtId="0" xfId="0" applyAlignment="1" applyBorder="1" applyFont="1">
      <alignment vertical="top"/>
    </xf>
    <xf borderId="1" fillId="0" fontId="1" numFmtId="0" xfId="0" applyAlignment="1" applyBorder="1" applyFont="1">
      <alignment horizontal="left" shrinkToFit="0" vertical="top" wrapText="1"/>
    </xf>
    <xf borderId="0" fillId="0" fontId="4" numFmtId="0" xfId="0" applyAlignment="1" applyFont="1">
      <alignment horizontal="left"/>
    </xf>
    <xf borderId="8" fillId="0" fontId="12" numFmtId="0" xfId="0" applyAlignment="1" applyBorder="1" applyFont="1">
      <alignment horizontal="center" shrinkToFit="0" vertical="top" wrapText="1"/>
    </xf>
    <xf borderId="8" fillId="0" fontId="19" numFmtId="0" xfId="0" applyBorder="1" applyFont="1"/>
    <xf borderId="8" fillId="0" fontId="1" numFmtId="0" xfId="0" applyAlignment="1" applyBorder="1" applyFont="1">
      <alignment horizontal="left" shrinkToFit="0" vertical="top" wrapText="1"/>
    </xf>
    <xf borderId="8" fillId="0" fontId="1" numFmtId="0" xfId="0" applyAlignment="1" applyBorder="1" applyFont="1">
      <alignment horizontal="center" shrinkToFit="0" vertical="top" wrapText="1"/>
    </xf>
    <xf borderId="4" fillId="0" fontId="12" numFmtId="0" xfId="0" applyAlignment="1" applyBorder="1" applyFont="1">
      <alignment horizontal="left" vertical="center"/>
    </xf>
    <xf borderId="1" fillId="0" fontId="1" numFmtId="0" xfId="0" applyAlignment="1" applyBorder="1" applyFont="1">
      <alignment horizontal="left" vertical="center"/>
    </xf>
    <xf borderId="8" fillId="0" fontId="12" numFmtId="0" xfId="0" applyAlignment="1" applyBorder="1" applyFont="1">
      <alignment horizontal="center" shrinkToFit="0" wrapText="1"/>
    </xf>
    <xf borderId="1" fillId="0" fontId="1" numFmtId="0" xfId="0" applyAlignment="1" applyBorder="1" applyFont="1">
      <alignment horizontal="center" shrinkToFit="0" vertical="center" wrapText="1"/>
    </xf>
    <xf borderId="1" fillId="0" fontId="1" numFmtId="0" xfId="0" applyAlignment="1" applyBorder="1" applyFont="1">
      <alignment horizontal="left" vertical="top"/>
    </xf>
    <xf borderId="8" fillId="0" fontId="19" numFmtId="9" xfId="0" applyBorder="1" applyFont="1" applyNumberFormat="1"/>
    <xf borderId="1" fillId="0" fontId="1" numFmtId="0" xfId="0" applyAlignment="1" applyBorder="1" applyFont="1">
      <alignment horizontal="left" shrinkToFit="0" vertical="center" wrapText="1"/>
    </xf>
    <xf borderId="10" fillId="0" fontId="12" numFmtId="0" xfId="0" applyAlignment="1" applyBorder="1" applyFont="1">
      <alignment vertical="center"/>
    </xf>
    <xf borderId="9" fillId="0" fontId="12" numFmtId="0" xfId="0" applyAlignment="1" applyBorder="1" applyFont="1">
      <alignment vertical="center"/>
    </xf>
    <xf borderId="3" fillId="0" fontId="12" numFmtId="0" xfId="0" applyAlignment="1" applyBorder="1" applyFont="1">
      <alignment horizontal="center" shrinkToFit="0" vertical="center" wrapText="1"/>
    </xf>
    <xf borderId="1" fillId="3" fontId="36" numFmtId="0" xfId="0" applyAlignment="1" applyBorder="1" applyFont="1">
      <alignment horizontal="right" vertical="top"/>
    </xf>
    <xf borderId="1" fillId="3" fontId="36" numFmtId="0" xfId="0" applyAlignment="1" applyBorder="1" applyFont="1">
      <alignment vertical="center"/>
    </xf>
    <xf borderId="1" fillId="3" fontId="36" numFmtId="0" xfId="0" applyAlignment="1" applyBorder="1" applyFont="1">
      <alignment horizontal="center" vertical="center"/>
    </xf>
    <xf borderId="1" fillId="3" fontId="1" numFmtId="0" xfId="0" applyBorder="1" applyFont="1"/>
    <xf borderId="0" fillId="0" fontId="25" numFmtId="0" xfId="0" applyAlignment="1" applyFont="1">
      <alignment horizontal="left" vertical="top"/>
    </xf>
    <xf borderId="0" fillId="0" fontId="18" numFmtId="0" xfId="0" applyAlignment="1" applyFont="1">
      <alignment vertical="top"/>
    </xf>
    <xf borderId="2" fillId="2" fontId="37" numFmtId="0" xfId="0" applyAlignment="1" applyBorder="1" applyFont="1">
      <alignment horizontal="center" shrinkToFit="0" vertical="center" wrapText="1"/>
    </xf>
    <xf borderId="18" fillId="0" fontId="38" numFmtId="0" xfId="0" applyAlignment="1" applyBorder="1" applyFont="1">
      <alignment horizontal="center" vertical="top"/>
    </xf>
    <xf borderId="4" fillId="0" fontId="38" numFmtId="0" xfId="0" applyAlignment="1" applyBorder="1" applyFont="1">
      <alignment horizontal="left" shrinkToFit="0" vertical="top" wrapText="1"/>
    </xf>
    <xf borderId="0" fillId="0" fontId="39" numFmtId="0" xfId="0" applyAlignment="1" applyFont="1">
      <alignment shrinkToFit="0" wrapText="1"/>
    </xf>
    <xf borderId="1" fillId="0" fontId="40" numFmtId="0" xfId="0" applyAlignment="1" applyBorder="1" applyFont="1">
      <alignment horizontal="left" shrinkToFit="0" vertical="center" wrapText="1"/>
    </xf>
    <xf borderId="3" fillId="0" fontId="40" numFmtId="0" xfId="0" applyAlignment="1" applyBorder="1" applyFont="1">
      <alignment horizontal="left" shrinkToFit="0" vertical="center" wrapText="1"/>
    </xf>
    <xf borderId="19" fillId="0" fontId="9" numFmtId="0" xfId="0" applyBorder="1" applyFont="1"/>
    <xf borderId="1" fillId="0" fontId="38" numFmtId="0" xfId="0" applyAlignment="1" applyBorder="1" applyFont="1">
      <alignment vertical="center"/>
    </xf>
    <xf borderId="1" fillId="0" fontId="38" numFmtId="0" xfId="0" applyAlignment="1" applyBorder="1" applyFont="1">
      <alignment horizontal="center" shrinkToFit="0" vertical="center" wrapText="1"/>
    </xf>
    <xf borderId="0" fillId="0" fontId="19" numFmtId="0" xfId="0" applyAlignment="1" applyFont="1">
      <alignment horizontal="center"/>
    </xf>
    <xf borderId="20" fillId="0" fontId="9" numFmtId="0" xfId="0" applyBorder="1" applyFont="1"/>
    <xf borderId="8" fillId="0" fontId="19" numFmtId="0" xfId="0" applyAlignment="1" applyBorder="1" applyFont="1">
      <alignment horizontal="center"/>
    </xf>
    <xf borderId="4" fillId="0" fontId="38" numFmtId="0" xfId="0" applyAlignment="1" applyBorder="1" applyFont="1">
      <alignment horizontal="left" vertical="top"/>
    </xf>
    <xf borderId="1" fillId="0" fontId="38" numFmtId="0" xfId="0" applyAlignment="1" applyBorder="1" applyFont="1">
      <alignment horizontal="center" vertical="center"/>
    </xf>
    <xf borderId="1" fillId="0" fontId="1" numFmtId="0" xfId="0" applyAlignment="1" applyBorder="1" applyFont="1">
      <alignment horizontal="center" vertical="center"/>
    </xf>
    <xf borderId="1" fillId="0" fontId="38" numFmtId="0" xfId="0" applyAlignment="1" applyBorder="1" applyFont="1">
      <alignment horizontal="left" vertical="center"/>
    </xf>
    <xf borderId="3" fillId="0" fontId="40" numFmtId="0" xfId="0" applyAlignment="1" applyBorder="1" applyFont="1">
      <alignment horizontal="center" vertical="top"/>
    </xf>
    <xf borderId="4" fillId="0" fontId="40" numFmtId="0" xfId="0" applyAlignment="1" applyBorder="1" applyFont="1">
      <alignment horizontal="left" vertical="top"/>
    </xf>
    <xf borderId="0" fillId="0" fontId="19" numFmtId="0" xfId="0" applyAlignment="1" applyFont="1">
      <alignment shrinkToFit="0" wrapText="1"/>
    </xf>
    <xf borderId="1" fillId="0" fontId="40" numFmtId="0" xfId="0" applyAlignment="1" applyBorder="1" applyFont="1">
      <alignment horizontal="left"/>
    </xf>
    <xf borderId="1" fillId="0" fontId="40" numFmtId="0" xfId="0" applyAlignment="1" applyBorder="1" applyFont="1">
      <alignment horizontal="center"/>
    </xf>
    <xf borderId="8" fillId="0" fontId="12" numFmtId="0" xfId="0" applyAlignment="1" applyBorder="1" applyFont="1">
      <alignment horizontal="center"/>
    </xf>
    <xf borderId="1" fillId="0" fontId="38" numFmtId="0" xfId="0" applyAlignment="1" applyBorder="1" applyFont="1">
      <alignment horizontal="left" shrinkToFit="0" vertical="top" wrapText="1"/>
    </xf>
    <xf borderId="1" fillId="0" fontId="38" numFmtId="0" xfId="0" applyAlignment="1" applyBorder="1" applyFont="1">
      <alignment horizontal="center" shrinkToFit="0" vertical="top" wrapText="1"/>
    </xf>
    <xf borderId="8" fillId="0" fontId="19" numFmtId="0" xfId="0" applyAlignment="1" applyBorder="1" applyFont="1">
      <alignment horizontal="center" vertical="top"/>
    </xf>
    <xf borderId="1" fillId="0" fontId="38" numFmtId="0" xfId="0" applyAlignment="1" applyBorder="1" applyFont="1">
      <alignment shrinkToFit="0" vertical="top" wrapText="1"/>
    </xf>
    <xf borderId="3" fillId="0" fontId="38" numFmtId="0" xfId="0" applyAlignment="1" applyBorder="1" applyFont="1">
      <alignment horizontal="center" vertical="top"/>
    </xf>
    <xf borderId="8" fillId="0" fontId="12" numFmtId="0" xfId="0" applyAlignment="1" applyBorder="1" applyFont="1">
      <alignment shrinkToFit="0" wrapText="1"/>
    </xf>
    <xf borderId="10" fillId="0" fontId="19" numFmtId="0" xfId="0" applyAlignment="1" applyBorder="1" applyFont="1">
      <alignment horizontal="center"/>
    </xf>
    <xf borderId="4" fillId="0" fontId="38" numFmtId="0" xfId="0" applyAlignment="1" applyBorder="1" applyFont="1">
      <alignment horizontal="left" shrinkToFit="0" vertical="center" wrapText="1"/>
    </xf>
    <xf borderId="4" fillId="0" fontId="40" numFmtId="0" xfId="0" applyAlignment="1" applyBorder="1" applyFont="1">
      <alignment horizontal="left" shrinkToFit="0" vertical="top" wrapText="1"/>
    </xf>
    <xf borderId="8" fillId="0" fontId="1" numFmtId="0" xfId="0" applyAlignment="1" applyBorder="1" applyFont="1">
      <alignment horizontal="left" shrinkToFit="0" vertical="center" wrapText="1"/>
    </xf>
    <xf borderId="4" fillId="0" fontId="38" numFmtId="0" xfId="0" applyAlignment="1" applyBorder="1" applyFont="1">
      <alignment shrinkToFit="0" vertical="center" wrapText="1"/>
    </xf>
    <xf borderId="4" fillId="0" fontId="38" numFmtId="0" xfId="0" applyAlignment="1" applyBorder="1" applyFont="1">
      <alignment shrinkToFit="0" vertical="top" wrapText="1"/>
    </xf>
    <xf borderId="8" fillId="0" fontId="12" numFmtId="0" xfId="0" applyAlignment="1" applyBorder="1" applyFont="1">
      <alignment shrinkToFit="0" vertical="top" wrapText="1"/>
    </xf>
    <xf borderId="1" fillId="0" fontId="18" numFmtId="0" xfId="0" applyAlignment="1" applyBorder="1" applyFont="1">
      <alignment horizontal="right" vertical="top"/>
    </xf>
    <xf borderId="1" fillId="3" fontId="18" numFmtId="0" xfId="0" applyAlignment="1" applyBorder="1" applyFont="1">
      <alignment vertical="center"/>
    </xf>
    <xf borderId="1" fillId="3" fontId="18" numFmtId="0" xfId="0" applyAlignment="1" applyBorder="1" applyFont="1">
      <alignment horizontal="center" vertical="center"/>
    </xf>
    <xf borderId="1" fillId="3" fontId="18" numFmtId="0" xfId="0" applyAlignment="1" applyBorder="1" applyFont="1">
      <alignment horizontal="center" shrinkToFit="0" vertical="center" wrapText="1"/>
    </xf>
    <xf borderId="1" fillId="4" fontId="6" numFmtId="0" xfId="0" applyAlignment="1" applyBorder="1" applyFill="1" applyFont="1">
      <alignment horizontal="center" vertical="center"/>
    </xf>
    <xf borderId="1" fillId="4" fontId="41" numFmtId="0" xfId="0" applyAlignment="1" applyBorder="1" applyFont="1">
      <alignment horizontal="center" shrinkToFit="0" vertical="center" wrapText="1"/>
    </xf>
    <xf borderId="1" fillId="4" fontId="6" numFmtId="0" xfId="0" applyAlignment="1" applyBorder="1" applyFont="1">
      <alignment horizontal="center" shrinkToFit="0" vertical="center" wrapText="1"/>
    </xf>
    <xf borderId="5" fillId="0" fontId="12" numFmtId="0" xfId="0" applyAlignment="1" applyBorder="1" applyFont="1">
      <alignment shrinkToFit="0" vertical="top" wrapText="1"/>
    </xf>
    <xf borderId="5" fillId="0" fontId="19" numFmtId="0" xfId="0" applyBorder="1" applyFont="1"/>
    <xf borderId="5" fillId="0" fontId="19" numFmtId="0" xfId="0" applyAlignment="1" applyBorder="1" applyFont="1">
      <alignment vertical="top"/>
    </xf>
    <xf borderId="5" fillId="0" fontId="12" numFmtId="49" xfId="0" applyAlignment="1" applyBorder="1" applyFont="1" applyNumberFormat="1">
      <alignment horizontal="left" shrinkToFit="0" vertical="top" wrapText="1"/>
    </xf>
    <xf quotePrefix="1" borderId="12" fillId="0" fontId="12" numFmtId="49" xfId="0" applyAlignment="1" applyBorder="1" applyFont="1" applyNumberFormat="1">
      <alignment horizontal="left" shrinkToFit="0" vertical="top" wrapText="1"/>
    </xf>
    <xf quotePrefix="1" borderId="12" fillId="0" fontId="12" numFmtId="0" xfId="0" applyAlignment="1" applyBorder="1" applyFont="1">
      <alignment horizontal="center" shrinkToFit="0" vertical="top" wrapText="1"/>
    </xf>
    <xf borderId="12" fillId="0" fontId="12" numFmtId="0" xfId="0" applyAlignment="1" applyBorder="1" applyFont="1">
      <alignment shrinkToFit="0" vertical="top" wrapText="1"/>
    </xf>
    <xf borderId="14" fillId="0" fontId="12" numFmtId="0" xfId="0" applyAlignment="1" applyBorder="1" applyFont="1">
      <alignment shrinkToFit="0" wrapText="1"/>
    </xf>
    <xf borderId="14" fillId="0" fontId="12" numFmtId="0" xfId="0" applyAlignment="1" applyBorder="1" applyFont="1">
      <alignment horizontal="center" shrinkToFit="0" wrapText="1"/>
    </xf>
    <xf borderId="14" fillId="0" fontId="19" numFmtId="0" xfId="0" applyBorder="1" applyFont="1"/>
    <xf borderId="14" fillId="0" fontId="12" numFmtId="49" xfId="0" applyAlignment="1" applyBorder="1" applyFont="1" applyNumberFormat="1">
      <alignment horizontal="left" shrinkToFit="0" vertical="top" wrapText="1"/>
    </xf>
    <xf borderId="21" fillId="0" fontId="9" numFmtId="0" xfId="0" applyBorder="1" applyFont="1"/>
    <xf borderId="14" fillId="0" fontId="19" numFmtId="0" xfId="0" applyAlignment="1" applyBorder="1" applyFont="1">
      <alignment vertical="top"/>
    </xf>
    <xf borderId="11" fillId="0" fontId="12" numFmtId="0" xfId="0" applyAlignment="1" applyBorder="1" applyFont="1">
      <alignment vertical="top"/>
    </xf>
    <xf borderId="21" fillId="0" fontId="12" numFmtId="0" xfId="0" applyAlignment="1" applyBorder="1" applyFont="1">
      <alignment shrinkToFit="0" wrapText="1"/>
    </xf>
    <xf borderId="21" fillId="0" fontId="12" numFmtId="0" xfId="0" applyAlignment="1" applyBorder="1" applyFont="1">
      <alignment shrinkToFit="0" vertical="top" wrapText="1"/>
    </xf>
    <xf borderId="14" fillId="0" fontId="12" numFmtId="0" xfId="0" applyAlignment="1" applyBorder="1" applyFont="1">
      <alignment shrinkToFit="0" vertical="top" wrapText="1"/>
    </xf>
    <xf borderId="14" fillId="0" fontId="12" numFmtId="1" xfId="0" applyAlignment="1" applyBorder="1" applyFont="1" applyNumberFormat="1">
      <alignment horizontal="center" vertical="top"/>
    </xf>
    <xf borderId="14" fillId="0" fontId="19" numFmtId="1" xfId="0" applyBorder="1" applyFont="1" applyNumberFormat="1"/>
    <xf borderId="11" fillId="0" fontId="18" numFmtId="0" xfId="0" applyAlignment="1" applyBorder="1" applyFont="1">
      <alignment shrinkToFit="0" vertical="top" wrapText="1"/>
    </xf>
    <xf borderId="14" fillId="0" fontId="12" numFmtId="0" xfId="0" applyAlignment="1" applyBorder="1" applyFont="1">
      <alignment horizontal="center"/>
    </xf>
    <xf borderId="0" fillId="0" fontId="3" numFmtId="0" xfId="0" applyAlignment="1" applyFont="1">
      <alignment shrinkToFit="0" wrapText="1"/>
    </xf>
    <xf borderId="14" fillId="0" fontId="12" numFmtId="0" xfId="0" applyAlignment="1" applyBorder="1" applyFont="1">
      <alignment vertical="top"/>
    </xf>
    <xf borderId="14" fillId="0" fontId="12" numFmtId="1" xfId="0" applyAlignment="1" applyBorder="1" applyFont="1" applyNumberFormat="1">
      <alignment horizontal="center" shrinkToFit="0" wrapText="1"/>
    </xf>
    <xf borderId="14" fillId="0" fontId="19" numFmtId="1" xfId="0" applyAlignment="1" applyBorder="1" applyFont="1" applyNumberFormat="1">
      <alignment vertical="top"/>
    </xf>
    <xf borderId="14" fillId="0" fontId="18" numFmtId="0" xfId="0" applyAlignment="1" applyBorder="1" applyFont="1">
      <alignment shrinkToFit="0" vertical="top" wrapText="1"/>
    </xf>
    <xf quotePrefix="1" borderId="21" fillId="0" fontId="12" numFmtId="0" xfId="0" applyAlignment="1" applyBorder="1" applyFont="1">
      <alignment shrinkToFit="0" vertical="top" wrapText="1"/>
    </xf>
    <xf borderId="14" fillId="0" fontId="42" numFmtId="0" xfId="0" applyAlignment="1" applyBorder="1" applyFont="1">
      <alignment shrinkToFit="0" wrapText="1"/>
    </xf>
    <xf borderId="7" fillId="0" fontId="19" numFmtId="0" xfId="0" applyAlignment="1" applyBorder="1" applyFont="1">
      <alignment vertical="top"/>
    </xf>
    <xf borderId="21" fillId="0" fontId="19" numFmtId="0" xfId="0" applyBorder="1" applyFont="1"/>
    <xf borderId="14" fillId="0" fontId="12" numFmtId="0" xfId="0" applyBorder="1" applyFont="1"/>
    <xf borderId="14" fillId="0" fontId="19" numFmtId="0" xfId="0" applyAlignment="1" applyBorder="1" applyFont="1">
      <alignment shrinkToFit="0" wrapText="1"/>
    </xf>
    <xf borderId="14" fillId="0" fontId="19" numFmtId="1" xfId="0" applyAlignment="1" applyBorder="1" applyFont="1" applyNumberFormat="1">
      <alignment shrinkToFit="0" wrapText="1"/>
    </xf>
    <xf borderId="1" fillId="5" fontId="18" numFmtId="0" xfId="0" applyAlignment="1" applyBorder="1" applyFill="1" applyFont="1">
      <alignment horizontal="right" vertical="top"/>
    </xf>
    <xf borderId="16" fillId="5" fontId="18" numFmtId="0" xfId="0" applyAlignment="1" applyBorder="1" applyFont="1">
      <alignment vertical="center"/>
    </xf>
    <xf borderId="16" fillId="5" fontId="18" numFmtId="0" xfId="0" applyAlignment="1" applyBorder="1" applyFont="1">
      <alignment horizontal="center" vertical="center"/>
    </xf>
    <xf borderId="17" fillId="6" fontId="19" numFmtId="0" xfId="0" applyAlignment="1" applyBorder="1" applyFill="1" applyFont="1">
      <alignment horizontal="center" vertical="top"/>
    </xf>
    <xf borderId="22" fillId="5" fontId="12" numFmtId="0" xfId="0" applyBorder="1" applyFont="1"/>
    <xf borderId="23" fillId="5" fontId="12" numFmtId="0" xfId="0" applyBorder="1" applyFont="1"/>
    <xf borderId="1" fillId="5" fontId="12" numFmtId="0" xfId="0" applyBorder="1" applyFont="1"/>
    <xf borderId="2" fillId="2" fontId="6" numFmtId="0" xfId="0" applyAlignment="1" applyBorder="1" applyFont="1">
      <alignment horizontal="left" shrinkToFit="0" vertical="center" wrapText="1"/>
    </xf>
    <xf borderId="15" fillId="0" fontId="9" numFmtId="0" xfId="0" applyBorder="1" applyFont="1"/>
    <xf borderId="1" fillId="0" fontId="19" numFmtId="0" xfId="0" applyAlignment="1" applyBorder="1" applyFont="1">
      <alignment horizontal="center" vertical="top"/>
    </xf>
    <xf borderId="4" fillId="0" fontId="12" numFmtId="0" xfId="0" applyAlignment="1" applyBorder="1" applyFont="1">
      <alignment horizontal="center"/>
    </xf>
    <xf borderId="1" fillId="0" fontId="1" numFmtId="0" xfId="0" applyAlignment="1" applyBorder="1" applyFont="1">
      <alignment horizontal="center"/>
    </xf>
    <xf borderId="1" fillId="0" fontId="19" numFmtId="0" xfId="0" applyAlignment="1" applyBorder="1" applyFont="1">
      <alignment horizontal="center"/>
    </xf>
    <xf borderId="3" fillId="0" fontId="12" numFmtId="0" xfId="0" applyAlignment="1" applyBorder="1" applyFont="1">
      <alignment horizontal="left" shrinkToFit="0" vertical="center" wrapText="1"/>
    </xf>
    <xf borderId="1" fillId="0" fontId="12" numFmtId="0" xfId="0" applyAlignment="1" applyBorder="1" applyFont="1">
      <alignment shrinkToFit="0" vertical="center" wrapText="1"/>
    </xf>
    <xf borderId="1" fillId="0" fontId="12" numFmtId="0" xfId="0" applyAlignment="1" applyBorder="1" applyFont="1">
      <alignment horizontal="center" shrinkToFit="0" wrapText="1"/>
    </xf>
    <xf borderId="4" fillId="0" fontId="12" numFmtId="0" xfId="0" applyAlignment="1" applyBorder="1" applyFont="1">
      <alignment horizontal="left" shrinkToFit="0" vertical="center" wrapText="1"/>
    </xf>
    <xf borderId="1" fillId="0" fontId="12" numFmtId="0" xfId="0" applyAlignment="1" applyBorder="1" applyFont="1">
      <alignment horizontal="center" vertical="center"/>
    </xf>
    <xf borderId="3" fillId="0" fontId="12" numFmtId="0" xfId="0" applyAlignment="1" applyBorder="1" applyFont="1">
      <alignment horizontal="center" vertical="center"/>
    </xf>
    <xf borderId="8" fillId="0" fontId="12" numFmtId="0" xfId="0" applyAlignment="1" applyBorder="1" applyFont="1">
      <alignment horizontal="left" shrinkToFit="0" vertical="center" wrapText="1"/>
    </xf>
    <xf borderId="7" fillId="0" fontId="12" numFmtId="0" xfId="0" applyAlignment="1" applyBorder="1" applyFont="1">
      <alignment horizontal="left" shrinkToFit="0" vertical="center" wrapText="1"/>
    </xf>
    <xf borderId="7" fillId="0" fontId="12" numFmtId="0" xfId="0" applyAlignment="1" applyBorder="1" applyFont="1">
      <alignment horizontal="left" vertical="center"/>
    </xf>
    <xf borderId="8" fillId="0" fontId="12" numFmtId="0" xfId="0" applyAlignment="1" applyBorder="1" applyFont="1">
      <alignment horizontal="left" vertical="center"/>
    </xf>
    <xf borderId="1" fillId="3" fontId="18" numFmtId="0" xfId="0" applyAlignment="1" applyBorder="1" applyFont="1">
      <alignment horizontal="right" vertical="top"/>
    </xf>
    <xf borderId="17" fillId="3" fontId="18" numFmtId="0" xfId="0" applyAlignment="1" applyBorder="1" applyFont="1">
      <alignment horizontal="center" vertical="center"/>
    </xf>
    <xf borderId="17" fillId="3" fontId="12" numFmtId="0" xfId="0" applyAlignment="1" applyBorder="1" applyFont="1">
      <alignment horizontal="left" vertical="center"/>
    </xf>
    <xf borderId="24" fillId="2" fontId="6" numFmtId="0" xfId="0" applyAlignment="1" applyBorder="1" applyFont="1">
      <alignment horizontal="center" shrinkToFit="0" vertical="center" wrapText="1"/>
    </xf>
    <xf borderId="1" fillId="2" fontId="6" numFmtId="0" xfId="0" applyAlignment="1" applyBorder="1" applyFont="1">
      <alignment horizontal="center" shrinkToFit="0" vertical="center" wrapText="1"/>
    </xf>
    <xf borderId="12" fillId="0" fontId="12" numFmtId="0" xfId="0" applyAlignment="1" applyBorder="1" applyFont="1">
      <alignment horizontal="center" vertical="top"/>
    </xf>
    <xf borderId="15" fillId="0" fontId="12" numFmtId="0" xfId="0" applyAlignment="1" applyBorder="1" applyFont="1">
      <alignment shrinkToFit="0" vertical="top" wrapText="1"/>
    </xf>
    <xf borderId="5" fillId="0" fontId="12" numFmtId="0" xfId="0" applyAlignment="1" applyBorder="1" applyFont="1">
      <alignment shrinkToFit="0" wrapText="1"/>
    </xf>
    <xf borderId="12" fillId="0" fontId="12" numFmtId="0" xfId="0" applyAlignment="1" applyBorder="1" applyFont="1">
      <alignment shrinkToFit="0" wrapText="1"/>
    </xf>
    <xf borderId="14" fillId="0" fontId="12" numFmtId="0" xfId="0" applyAlignment="1" applyBorder="1" applyFont="1">
      <alignment horizontal="center" shrinkToFit="0" vertical="top" wrapText="1"/>
    </xf>
    <xf borderId="14" fillId="0" fontId="19" numFmtId="0" xfId="0" applyAlignment="1" applyBorder="1" applyFont="1">
      <alignment horizontal="center" vertical="top"/>
    </xf>
    <xf borderId="21" fillId="0" fontId="12" numFmtId="0" xfId="0" applyAlignment="1" applyBorder="1" applyFont="1">
      <alignment horizontal="center" vertical="top"/>
    </xf>
    <xf borderId="14" fillId="0" fontId="12" numFmtId="0" xfId="0" applyAlignment="1" applyBorder="1" applyFont="1">
      <alignment horizontal="center" vertical="top"/>
    </xf>
    <xf borderId="11" fillId="0" fontId="12" numFmtId="0" xfId="0" applyAlignment="1" applyBorder="1" applyFont="1">
      <alignment shrinkToFit="0" vertical="top" wrapText="1"/>
    </xf>
    <xf borderId="9" fillId="0" fontId="1" numFmtId="0" xfId="0" applyAlignment="1" applyBorder="1" applyFont="1">
      <alignment horizontal="left" shrinkToFit="0" vertical="top" wrapText="1"/>
    </xf>
    <xf borderId="21" fillId="0" fontId="12" numFmtId="0" xfId="0" applyAlignment="1" applyBorder="1" applyFont="1">
      <alignment horizontal="center" shrinkToFit="0" wrapText="1"/>
    </xf>
    <xf borderId="21" fillId="0" fontId="12" numFmtId="0" xfId="0" applyBorder="1" applyFont="1"/>
    <xf borderId="25" fillId="7" fontId="43" numFmtId="0" xfId="0" applyBorder="1" applyFill="1" applyFont="1"/>
    <xf borderId="1" fillId="5" fontId="18" numFmtId="0" xfId="0" applyAlignment="1" applyBorder="1" applyFont="1">
      <alignment vertical="center"/>
    </xf>
    <xf borderId="17" fillId="5" fontId="18" numFmtId="0" xfId="0" applyAlignment="1" applyBorder="1" applyFont="1">
      <alignment vertical="center"/>
    </xf>
    <xf borderId="17" fillId="5" fontId="12" numFmtId="0" xfId="0" applyAlignment="1" applyBorder="1" applyFont="1">
      <alignment shrinkToFit="0" vertical="center" wrapText="1"/>
    </xf>
    <xf borderId="1" fillId="5" fontId="12" numFmtId="0" xfId="0" applyAlignment="1" applyBorder="1" applyFont="1">
      <alignment shrinkToFit="0" vertical="center" wrapText="1"/>
    </xf>
    <xf borderId="1" fillId="5" fontId="12" numFmtId="0" xfId="0" applyAlignment="1" applyBorder="1" applyFont="1">
      <alignment shrinkToFit="0" vertical="top" wrapText="1"/>
    </xf>
    <xf borderId="25" fillId="8" fontId="12" numFmtId="0" xfId="0" applyAlignment="1" applyBorder="1" applyFill="1" applyFont="1">
      <alignment horizontal="right" vertical="top"/>
    </xf>
    <xf borderId="25" fillId="8" fontId="12" numFmtId="0" xfId="0" applyAlignment="1" applyBorder="1" applyFont="1">
      <alignment shrinkToFit="0" vertical="top" wrapText="1"/>
    </xf>
    <xf borderId="0" fillId="0" fontId="3" numFmtId="0" xfId="0" applyAlignment="1" applyFont="1">
      <alignment vertical="top"/>
    </xf>
    <xf borderId="0" fillId="0" fontId="5" numFmtId="0" xfId="0" applyAlignment="1" applyFont="1">
      <alignment horizontal="left" vertical="top"/>
    </xf>
    <xf borderId="0" fillId="0" fontId="3" numFmtId="0" xfId="0" applyAlignment="1" applyFont="1">
      <alignment vertical="center"/>
    </xf>
    <xf borderId="4" fillId="0" fontId="12" numFmtId="0" xfId="0" applyAlignment="1" applyBorder="1" applyFont="1">
      <alignment shrinkToFit="0" vertical="top" wrapText="1"/>
    </xf>
    <xf borderId="7" fillId="0" fontId="19" numFmtId="0" xfId="0" applyAlignment="1" applyBorder="1" applyFont="1">
      <alignment horizontal="center"/>
    </xf>
    <xf borderId="7" fillId="0" fontId="12" numFmtId="0" xfId="0" applyAlignment="1" applyBorder="1" applyFont="1">
      <alignment horizontal="center" shrinkToFit="0" vertical="center" wrapText="1"/>
    </xf>
    <xf borderId="7" fillId="0" fontId="12" numFmtId="0" xfId="0" applyAlignment="1" applyBorder="1" applyFont="1">
      <alignment horizontal="center" shrinkToFit="0" wrapText="1"/>
    </xf>
    <xf borderId="4" fillId="0" fontId="12" numFmtId="0" xfId="0" applyAlignment="1" applyBorder="1" applyFont="1">
      <alignment shrinkToFit="0" vertical="center" wrapText="1"/>
    </xf>
    <xf borderId="11" fillId="0" fontId="19" numFmtId="0" xfId="0" applyAlignment="1" applyBorder="1" applyFont="1">
      <alignment horizontal="center" vertical="top"/>
    </xf>
    <xf borderId="15" fillId="0" fontId="4" numFmtId="0" xfId="0" applyAlignment="1" applyBorder="1" applyFont="1">
      <alignment horizontal="center" shrinkToFit="0" vertical="top" wrapText="1"/>
    </xf>
    <xf borderId="15" fillId="0" fontId="12" numFmtId="0" xfId="0" applyAlignment="1" applyBorder="1" applyFont="1">
      <alignment horizontal="left" shrinkToFit="0" vertical="center" wrapText="1"/>
    </xf>
    <xf borderId="8" fillId="0" fontId="12" numFmtId="0" xfId="0" applyAlignment="1" applyBorder="1" applyFont="1">
      <alignment horizontal="center" vertical="center"/>
    </xf>
    <xf borderId="1" fillId="5" fontId="12" numFmtId="0" xfId="0" applyAlignment="1" applyBorder="1" applyFont="1">
      <alignment horizontal="right" vertical="top"/>
    </xf>
    <xf borderId="1" fillId="5" fontId="36" numFmtId="0" xfId="0" applyAlignment="1" applyBorder="1" applyFont="1">
      <alignment vertical="center"/>
    </xf>
    <xf borderId="1" fillId="5" fontId="36" numFmtId="0" xfId="0" applyAlignment="1" applyBorder="1" applyFont="1">
      <alignment horizontal="center" vertical="center"/>
    </xf>
    <xf borderId="1" fillId="5" fontId="19" numFmtId="0" xfId="0" applyAlignment="1" applyBorder="1" applyFont="1">
      <alignment vertical="top"/>
    </xf>
    <xf borderId="17" fillId="5" fontId="19" numFmtId="0" xfId="0" applyAlignment="1" applyBorder="1" applyFont="1">
      <alignment vertical="top"/>
    </xf>
    <xf borderId="3" fillId="0" fontId="18" numFmtId="0" xfId="0" applyAlignment="1" applyBorder="1" applyFont="1">
      <alignment horizontal="center" vertical="top"/>
    </xf>
    <xf borderId="5" fillId="0" fontId="19" numFmtId="0" xfId="0" applyAlignment="1" applyBorder="1" applyFont="1">
      <alignment shrinkToFit="0" vertical="top" wrapText="1"/>
    </xf>
    <xf borderId="12" fillId="0" fontId="19" numFmtId="0" xfId="0" applyAlignment="1" applyBorder="1" applyFont="1">
      <alignment shrinkToFit="0" vertical="top" wrapText="1"/>
    </xf>
    <xf borderId="12" fillId="0" fontId="19" numFmtId="0" xfId="0" applyBorder="1" applyFont="1"/>
    <xf borderId="15" fillId="0" fontId="19" numFmtId="0" xfId="0" applyBorder="1" applyFont="1"/>
    <xf borderId="14" fillId="0" fontId="19" numFmtId="0" xfId="0" applyAlignment="1" applyBorder="1" applyFont="1">
      <alignment shrinkToFit="0" vertical="top" wrapText="1"/>
    </xf>
    <xf borderId="21" fillId="0" fontId="19" numFmtId="0" xfId="0" applyAlignment="1" applyBorder="1" applyFont="1">
      <alignment shrinkToFit="0" vertical="top" wrapText="1"/>
    </xf>
    <xf borderId="0" fillId="0" fontId="4" numFmtId="0" xfId="0" applyFont="1"/>
    <xf borderId="0" fillId="0" fontId="44" numFmtId="0" xfId="0" applyFont="1"/>
    <xf borderId="0" fillId="0" fontId="18" numFmtId="0" xfId="0" applyFont="1"/>
    <xf borderId="7" fillId="0" fontId="12" numFmtId="0" xfId="0" applyAlignment="1" applyBorder="1" applyFont="1">
      <alignment horizontal="center"/>
    </xf>
    <xf borderId="11" fillId="0" fontId="12" numFmtId="0" xfId="0" applyBorder="1" applyFont="1"/>
    <xf borderId="21" fillId="0" fontId="12" numFmtId="0" xfId="0" applyAlignment="1" applyBorder="1" applyFont="1">
      <alignment horizontal="center"/>
    </xf>
    <xf borderId="1" fillId="5" fontId="18" numFmtId="0" xfId="0" applyAlignment="1" applyBorder="1" applyFont="1">
      <alignment horizontal="center" vertical="center"/>
    </xf>
    <xf borderId="22" fillId="5" fontId="1" numFmtId="0" xfId="0" applyBorder="1" applyFont="1"/>
    <xf borderId="16" fillId="5" fontId="1" numFmtId="0" xfId="0" applyBorder="1" applyFont="1"/>
    <xf borderId="17" fillId="5" fontId="1" numFmtId="0" xfId="0" applyBorder="1" applyFont="1"/>
    <xf borderId="0" fillId="0" fontId="25" numFmtId="0" xfId="0" applyAlignment="1" applyFont="1">
      <alignment horizontal="center" vertical="center"/>
    </xf>
    <xf borderId="0" fillId="0" fontId="45" numFmtId="0" xfId="0" applyFont="1"/>
    <xf borderId="0" fillId="0" fontId="25" numFmtId="0" xfId="0" applyAlignment="1" applyFont="1">
      <alignment horizontal="center" vertical="top"/>
    </xf>
    <xf borderId="0" fillId="0" fontId="25" numFmtId="0" xfId="0" applyAlignment="1" applyFont="1">
      <alignment horizontal="left" vertical="center"/>
    </xf>
    <xf borderId="0" fillId="0" fontId="46" numFmtId="0" xfId="0" applyAlignment="1" applyFont="1">
      <alignment horizontal="left"/>
    </xf>
    <xf borderId="0" fillId="0" fontId="47" numFmtId="0" xfId="0" applyAlignment="1" applyFont="1">
      <alignment horizontal="left" vertical="center"/>
    </xf>
    <xf borderId="0" fillId="0" fontId="45" numFmtId="0" xfId="0" applyAlignment="1" applyFont="1">
      <alignment horizontal="left"/>
    </xf>
    <xf borderId="0" fillId="0" fontId="45" numFmtId="0" xfId="0" applyAlignment="1" applyFont="1">
      <alignment vertical="center"/>
    </xf>
    <xf borderId="1" fillId="0" fontId="48" numFmtId="0" xfId="0" applyAlignment="1" applyBorder="1" applyFont="1">
      <alignment shrinkToFit="0" vertical="center" wrapText="1"/>
    </xf>
    <xf borderId="0" fillId="0" fontId="4" numFmtId="0" xfId="0" applyAlignment="1" applyFont="1">
      <alignment shrinkToFit="0" vertical="top" wrapText="1"/>
    </xf>
    <xf borderId="3" fillId="8" fontId="49" numFmtId="0" xfId="0" applyAlignment="1" applyBorder="1" applyFont="1">
      <alignment horizontal="center" vertical="center"/>
    </xf>
    <xf borderId="3" fillId="8" fontId="49" numFmtId="0" xfId="0" applyAlignment="1" applyBorder="1" applyFont="1">
      <alignment horizontal="center" shrinkToFit="0" vertical="center" wrapText="1"/>
    </xf>
    <xf borderId="4" fillId="8" fontId="49" numFmtId="0" xfId="0" applyAlignment="1" applyBorder="1" applyFont="1">
      <alignment horizontal="center" shrinkToFit="0" vertical="center" wrapText="1"/>
    </xf>
    <xf borderId="1" fillId="8" fontId="49" numFmtId="0" xfId="0" applyAlignment="1" applyBorder="1" applyFont="1">
      <alignment horizontal="center" shrinkToFit="0" vertical="center" wrapText="1"/>
    </xf>
    <xf borderId="1" fillId="8" fontId="49" numFmtId="0" xfId="0" applyAlignment="1" applyBorder="1" applyFont="1">
      <alignment horizontal="center" vertical="center"/>
    </xf>
    <xf borderId="1" fillId="8" fontId="49" numFmtId="0" xfId="0" applyAlignment="1" applyBorder="1" applyFont="1">
      <alignment shrinkToFit="0" vertical="center" wrapText="1"/>
    </xf>
    <xf borderId="1" fillId="8" fontId="46" numFmtId="0" xfId="0" applyAlignment="1" applyBorder="1" applyFont="1">
      <alignment horizontal="center" vertical="center"/>
    </xf>
    <xf borderId="3" fillId="0" fontId="46" numFmtId="0" xfId="0" applyAlignment="1" applyBorder="1" applyFont="1">
      <alignment horizontal="center" vertical="center"/>
    </xf>
    <xf borderId="1" fillId="0" fontId="49" numFmtId="0" xfId="0" applyAlignment="1" applyBorder="1" applyFont="1">
      <alignment shrinkToFit="0" vertical="center" wrapText="1"/>
    </xf>
    <xf borderId="3" fillId="0" fontId="49" numFmtId="0" xfId="0" applyAlignment="1" applyBorder="1" applyFont="1">
      <alignment shrinkToFit="0" vertical="center" wrapText="1"/>
    </xf>
    <xf borderId="3" fillId="0" fontId="50" numFmtId="0" xfId="0" applyAlignment="1" applyBorder="1" applyFont="1">
      <alignment horizontal="center"/>
    </xf>
    <xf borderId="3" fillId="0" fontId="51" numFmtId="0" xfId="0" applyAlignment="1" applyBorder="1" applyFont="1">
      <alignment horizontal="center" shrinkToFit="0" wrapText="1"/>
    </xf>
    <xf borderId="1" fillId="0" fontId="46" numFmtId="0" xfId="0" applyAlignment="1" applyBorder="1" applyFont="1">
      <alignment shrinkToFit="0" vertical="center" wrapText="1"/>
    </xf>
    <xf borderId="8" fillId="0" fontId="45" numFmtId="0" xfId="0" applyAlignment="1" applyBorder="1" applyFont="1">
      <alignment shrinkToFit="0" vertical="center" wrapText="1"/>
    </xf>
    <xf borderId="8" fillId="0" fontId="46" numFmtId="0" xfId="0" applyAlignment="1" applyBorder="1" applyFont="1">
      <alignment shrinkToFit="0" vertical="center" wrapText="1"/>
    </xf>
    <xf borderId="3" fillId="0" fontId="52" numFmtId="0" xfId="0" applyAlignment="1" applyBorder="1" applyFont="1">
      <alignment horizontal="center"/>
    </xf>
    <xf borderId="3" fillId="0" fontId="53" numFmtId="0" xfId="0" applyAlignment="1" applyBorder="1" applyFont="1">
      <alignment horizontal="center"/>
    </xf>
    <xf borderId="7" fillId="0" fontId="46" numFmtId="0" xfId="0" applyAlignment="1" applyBorder="1" applyFont="1">
      <alignment shrinkToFit="0" vertical="center" wrapText="1"/>
    </xf>
    <xf borderId="7" fillId="0" fontId="54" numFmtId="0" xfId="0" applyAlignment="1" applyBorder="1" applyFont="1">
      <alignment horizontal="center"/>
    </xf>
    <xf borderId="7" fillId="0" fontId="55" numFmtId="0" xfId="0" applyAlignment="1" applyBorder="1" applyFont="1">
      <alignment horizontal="center"/>
    </xf>
    <xf borderId="1" fillId="0" fontId="46" numFmtId="0" xfId="0" applyAlignment="1" applyBorder="1" applyFont="1">
      <alignment horizontal="left" shrinkToFit="0" vertical="center" wrapText="1"/>
    </xf>
    <xf borderId="7" fillId="0" fontId="46" numFmtId="0" xfId="0" applyAlignment="1" applyBorder="1" applyFont="1">
      <alignment horizontal="left" shrinkToFit="0" vertical="center" wrapText="1"/>
    </xf>
    <xf borderId="7" fillId="0" fontId="56" numFmtId="0" xfId="0" applyAlignment="1" applyBorder="1" applyFont="1">
      <alignment horizontal="center" shrinkToFit="0" wrapText="1"/>
    </xf>
    <xf borderId="7" fillId="0" fontId="57" numFmtId="0" xfId="0" applyAlignment="1" applyBorder="1" applyFont="1">
      <alignment horizontal="center"/>
    </xf>
    <xf borderId="7" fillId="0" fontId="58" numFmtId="0" xfId="0" applyAlignment="1" applyBorder="1" applyFont="1">
      <alignment horizontal="center" shrinkToFit="0" wrapText="1"/>
    </xf>
    <xf borderId="17" fillId="8" fontId="59" numFmtId="0" xfId="0" applyAlignment="1" applyBorder="1" applyFont="1">
      <alignment horizontal="center"/>
    </xf>
    <xf borderId="7" fillId="0" fontId="60" numFmtId="0" xfId="0" applyAlignment="1" applyBorder="1" applyFont="1">
      <alignment horizontal="left"/>
    </xf>
    <xf borderId="7" fillId="0" fontId="61" numFmtId="0" xfId="0" applyAlignment="1" applyBorder="1" applyFont="1">
      <alignment horizontal="left" shrinkToFit="0" wrapText="1"/>
    </xf>
    <xf borderId="7" fillId="0" fontId="62" numFmtId="0" xfId="0" applyAlignment="1" applyBorder="1" applyFont="1">
      <alignment horizontal="center"/>
    </xf>
    <xf borderId="7" fillId="0" fontId="63" numFmtId="0" xfId="0" applyAlignment="1" applyBorder="1" applyFont="1">
      <alignment horizontal="center"/>
    </xf>
    <xf borderId="7" fillId="0" fontId="64" numFmtId="0" xfId="0" applyAlignment="1" applyBorder="1" applyFont="1">
      <alignment horizontal="center" shrinkToFit="0" wrapText="1"/>
    </xf>
    <xf borderId="7" fillId="0" fontId="59" numFmtId="0" xfId="0" applyAlignment="1" applyBorder="1" applyFont="1">
      <alignment horizontal="center" shrinkToFit="0" wrapText="1"/>
    </xf>
    <xf borderId="7" fillId="0" fontId="59" numFmtId="0" xfId="0" applyAlignment="1" applyBorder="1" applyFont="1">
      <alignment horizontal="center"/>
    </xf>
    <xf borderId="0" fillId="0" fontId="19" numFmtId="0" xfId="0" applyAlignment="1" applyFont="1">
      <alignment horizontal="center" vertical="center"/>
    </xf>
    <xf borderId="0" fillId="0" fontId="19" numFmtId="0" xfId="0" applyAlignment="1" applyFont="1">
      <alignment shrinkToFit="0" vertical="center" wrapText="1"/>
    </xf>
    <xf borderId="0" fillId="0" fontId="65" numFmtId="0" xfId="0" applyAlignment="1" applyFont="1">
      <alignment horizontal="left" readingOrder="1" vertical="center"/>
    </xf>
    <xf borderId="0" fillId="0" fontId="6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1295400</xdr:colOff>
      <xdr:row>1</xdr:row>
      <xdr:rowOff>19050</xdr:rowOff>
    </xdr:from>
    <xdr:ext cx="8524875" cy="1047750"/>
    <xdr:sp>
      <xdr:nvSpPr>
        <xdr:cNvPr id="3" name="Shape 3"/>
        <xdr:cNvSpPr txBox="1"/>
      </xdr:nvSpPr>
      <xdr:spPr>
        <a:xfrm>
          <a:off x="1088325" y="3260888"/>
          <a:ext cx="8515350" cy="1038225"/>
        </a:xfrm>
        <a:prstGeom prst="rect">
          <a:avLst/>
        </a:prstGeom>
        <a:solidFill>
          <a:srgbClr val="FFFFFF"/>
        </a:solidFill>
        <a:ln cap="flat" cmpd="sng" w="9525">
          <a:solidFill>
            <a:srgbClr val="BABABA"/>
          </a:solidFill>
          <a:prstDash val="solid"/>
          <a:round/>
          <a:headEnd len="sm" w="sm" type="none"/>
          <a:tailEnd len="sm" w="sm" type="none"/>
        </a:ln>
      </xdr:spPr>
      <xdr:txBody>
        <a:bodyPr anchorCtr="0" anchor="ctr" bIns="45675" lIns="91425" spcFirstLastPara="1" rIns="91425" wrap="square" tIns="45675">
          <a:noAutofit/>
        </a:bodyPr>
        <a:lstStyle/>
        <a:p>
          <a:pPr indent="0" lvl="0" marL="0" rtl="0" algn="ctr">
            <a:spcBef>
              <a:spcPts val="0"/>
            </a:spcBef>
            <a:spcAft>
              <a:spcPts val="0"/>
            </a:spcAft>
            <a:buClr>
              <a:srgbClr val="333333"/>
            </a:buClr>
            <a:buSzPts val="1400"/>
            <a:buFont typeface="Arial Narrow"/>
            <a:buNone/>
          </a:pPr>
          <a:r>
            <a:rPr b="0" i="0" lang="en-US" sz="1400" u="none" strike="noStrike">
              <a:solidFill>
                <a:srgbClr val="333333"/>
              </a:solidFill>
              <a:latin typeface="Arial Narrow"/>
              <a:ea typeface="Arial Narrow"/>
              <a:cs typeface="Arial Narrow"/>
              <a:sym typeface="Arial Narrow"/>
            </a:rPr>
            <a:t>INSTRUMEN PENILAIAN </a:t>
          </a:r>
          <a:endParaRPr sz="1400"/>
        </a:p>
        <a:p>
          <a:pPr indent="0" lvl="0" marL="0" rtl="0" algn="ctr">
            <a:spcBef>
              <a:spcPts val="0"/>
            </a:spcBef>
            <a:spcAft>
              <a:spcPts val="0"/>
            </a:spcAft>
            <a:buClr>
              <a:srgbClr val="333333"/>
            </a:buClr>
            <a:buSzPts val="1400"/>
            <a:buFont typeface="Arial Narrow"/>
            <a:buNone/>
          </a:pPr>
          <a:r>
            <a:rPr b="1" i="0" lang="en-US" sz="1400" u="none" strike="noStrike">
              <a:solidFill>
                <a:srgbClr val="333333"/>
              </a:solidFill>
              <a:latin typeface="Arial Narrow"/>
              <a:ea typeface="Arial Narrow"/>
              <a:cs typeface="Arial Narrow"/>
              <a:sym typeface="Arial Narrow"/>
            </a:rPr>
            <a:t>PENYELENGGARAAN</a:t>
          </a:r>
          <a:r>
            <a:rPr b="0" i="0" lang="en-US" sz="1400" u="none" strike="noStrike">
              <a:solidFill>
                <a:srgbClr val="000000"/>
              </a:solidFill>
              <a:latin typeface="Calibri"/>
              <a:ea typeface="Calibri"/>
              <a:cs typeface="Calibri"/>
              <a:sym typeface="Calibri"/>
            </a:rPr>
            <a:t> </a:t>
          </a:r>
          <a:r>
            <a:rPr b="1" i="0" lang="en-US" sz="1600" u="none" strike="noStrike">
              <a:solidFill>
                <a:srgbClr val="333333"/>
              </a:solidFill>
              <a:latin typeface="Arial Narrow"/>
              <a:ea typeface="Arial Narrow"/>
              <a:cs typeface="Arial Narrow"/>
              <a:sym typeface="Arial Narrow"/>
            </a:rPr>
            <a:t>KABUPATEN/KOTA SEHAT TAHUN 2024</a:t>
          </a:r>
          <a:endParaRPr sz="1400"/>
        </a:p>
        <a:p>
          <a:pPr indent="0" lvl="0" marL="0" rtl="0" algn="ctr">
            <a:spcBef>
              <a:spcPts val="0"/>
            </a:spcBef>
            <a:spcAft>
              <a:spcPts val="0"/>
            </a:spcAft>
            <a:buClr>
              <a:srgbClr val="333333"/>
            </a:buClr>
            <a:buSzPts val="1600"/>
            <a:buFont typeface="Arial Narrow"/>
            <a:buNone/>
          </a:pPr>
          <a:r>
            <a:rPr b="0" i="0" lang="en-US" sz="1600" u="none" strike="noStrike">
              <a:solidFill>
                <a:srgbClr val="333333"/>
              </a:solidFill>
              <a:latin typeface="Arial Narrow"/>
              <a:ea typeface="Arial Narrow"/>
              <a:cs typeface="Arial Narrow"/>
              <a:sym typeface="Arial Narrow"/>
            </a:rPr>
            <a:t>(Indikator Tatanan) </a:t>
          </a:r>
          <a:endParaRPr sz="1400"/>
        </a:p>
      </xdr:txBody>
    </xdr:sp>
    <xdr:clientData fLocksWithSheet="0"/>
  </xdr:oneCellAnchor>
  <xdr:oneCellAnchor>
    <xdr:from>
      <xdr:col>0</xdr:col>
      <xdr:colOff>285750</xdr:colOff>
      <xdr:row>1</xdr:row>
      <xdr:rowOff>123825</xdr:rowOff>
    </xdr:from>
    <xdr:ext cx="1219200" cy="10287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1323975</xdr:colOff>
      <xdr:row>0</xdr:row>
      <xdr:rowOff>57150</xdr:rowOff>
    </xdr:from>
    <xdr:ext cx="8001000" cy="1028700"/>
    <xdr:sp>
      <xdr:nvSpPr>
        <xdr:cNvPr id="4" name="Shape 4"/>
        <xdr:cNvSpPr txBox="1"/>
      </xdr:nvSpPr>
      <xdr:spPr>
        <a:xfrm>
          <a:off x="1350263" y="3270413"/>
          <a:ext cx="7991475" cy="1019175"/>
        </a:xfrm>
        <a:prstGeom prst="rect">
          <a:avLst/>
        </a:prstGeom>
        <a:solidFill>
          <a:srgbClr val="FFFFFF"/>
        </a:solidFill>
        <a:ln cap="flat" cmpd="sng" w="9525">
          <a:solidFill>
            <a:srgbClr val="BABABA"/>
          </a:solidFill>
          <a:prstDash val="solid"/>
          <a:round/>
          <a:headEnd len="sm" w="sm" type="none"/>
          <a:tailEnd len="sm" w="sm" type="none"/>
        </a:ln>
      </xdr:spPr>
      <xdr:txBody>
        <a:bodyPr anchorCtr="0" anchor="ctr" bIns="45675" lIns="91425" spcFirstLastPara="1" rIns="91425" wrap="square" tIns="45675">
          <a:noAutofit/>
        </a:bodyPr>
        <a:lstStyle/>
        <a:p>
          <a:pPr indent="0" lvl="0" marL="0" rtl="0" algn="ctr">
            <a:spcBef>
              <a:spcPts val="0"/>
            </a:spcBef>
            <a:spcAft>
              <a:spcPts val="0"/>
            </a:spcAft>
            <a:buClr>
              <a:srgbClr val="333333"/>
            </a:buClr>
            <a:buSzPts val="1400"/>
            <a:buFont typeface="Arial Narrow"/>
            <a:buNone/>
          </a:pPr>
          <a:r>
            <a:rPr b="0" i="0" lang="en-US" sz="1400" u="none" strike="noStrike">
              <a:solidFill>
                <a:srgbClr val="333333"/>
              </a:solidFill>
              <a:latin typeface="Arial Narrow"/>
              <a:ea typeface="Arial Narrow"/>
              <a:cs typeface="Arial Narrow"/>
              <a:sym typeface="Arial Narrow"/>
            </a:rPr>
            <a:t>INSTRUMEN PENILAIAN </a:t>
          </a:r>
          <a:endParaRPr sz="1400"/>
        </a:p>
        <a:p>
          <a:pPr indent="0" lvl="0" marL="0" rtl="0" algn="ctr">
            <a:spcBef>
              <a:spcPts val="0"/>
            </a:spcBef>
            <a:spcAft>
              <a:spcPts val="0"/>
            </a:spcAft>
            <a:buClr>
              <a:srgbClr val="333333"/>
            </a:buClr>
            <a:buSzPts val="1400"/>
            <a:buFont typeface="Arial Narrow"/>
            <a:buNone/>
          </a:pPr>
          <a:r>
            <a:rPr b="1" i="0" lang="en-US" sz="1400" u="none" strike="noStrike">
              <a:solidFill>
                <a:srgbClr val="333333"/>
              </a:solidFill>
              <a:latin typeface="Arial Narrow"/>
              <a:ea typeface="Arial Narrow"/>
              <a:cs typeface="Arial Narrow"/>
              <a:sym typeface="Arial Narrow"/>
            </a:rPr>
            <a:t>PENYELENGGARAAN</a:t>
          </a:r>
          <a:r>
            <a:rPr b="0" i="0" lang="en-US" sz="1400" u="none" strike="noStrike">
              <a:solidFill>
                <a:srgbClr val="000000"/>
              </a:solidFill>
              <a:latin typeface="Calibri"/>
              <a:ea typeface="Calibri"/>
              <a:cs typeface="Calibri"/>
              <a:sym typeface="Calibri"/>
            </a:rPr>
            <a:t> </a:t>
          </a:r>
          <a:r>
            <a:rPr b="1" i="0" lang="en-US" sz="1600" u="none" strike="noStrike">
              <a:solidFill>
                <a:srgbClr val="333333"/>
              </a:solidFill>
              <a:latin typeface="Arial Narrow"/>
              <a:ea typeface="Arial Narrow"/>
              <a:cs typeface="Arial Narrow"/>
              <a:sym typeface="Arial Narrow"/>
            </a:rPr>
            <a:t>KABUPATEN/KOTA SEHAT TAHUN 2024</a:t>
          </a:r>
          <a:endParaRPr sz="1400"/>
        </a:p>
        <a:p>
          <a:pPr indent="0" lvl="0" marL="0" rtl="0" algn="ctr">
            <a:spcBef>
              <a:spcPts val="0"/>
            </a:spcBef>
            <a:spcAft>
              <a:spcPts val="0"/>
            </a:spcAft>
            <a:buClr>
              <a:srgbClr val="333333"/>
            </a:buClr>
            <a:buSzPts val="1600"/>
            <a:buFont typeface="Arial Narrow"/>
            <a:buNone/>
          </a:pPr>
          <a:r>
            <a:rPr b="0" i="0" lang="en-US" sz="1600" u="none" strike="noStrike">
              <a:solidFill>
                <a:srgbClr val="333333"/>
              </a:solidFill>
              <a:latin typeface="Arial Narrow"/>
              <a:ea typeface="Arial Narrow"/>
              <a:cs typeface="Arial Narrow"/>
              <a:sym typeface="Arial Narrow"/>
            </a:rPr>
            <a:t>(Indikator Tatanan) </a:t>
          </a:r>
          <a:endParaRPr sz="1400"/>
        </a:p>
      </xdr:txBody>
    </xdr:sp>
    <xdr:clientData fLocksWithSheet="0"/>
  </xdr:oneCellAnchor>
  <xdr:oneCellAnchor>
    <xdr:from>
      <xdr:col>0</xdr:col>
      <xdr:colOff>152400</xdr:colOff>
      <xdr:row>0</xdr:row>
      <xdr:rowOff>180975</xdr:rowOff>
    </xdr:from>
    <xdr:ext cx="1190625" cy="8953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1162050</xdr:colOff>
      <xdr:row>0</xdr:row>
      <xdr:rowOff>66675</xdr:rowOff>
    </xdr:from>
    <xdr:ext cx="8086725" cy="1047750"/>
    <xdr:sp>
      <xdr:nvSpPr>
        <xdr:cNvPr id="5" name="Shape 5"/>
        <xdr:cNvSpPr txBox="1"/>
      </xdr:nvSpPr>
      <xdr:spPr>
        <a:xfrm>
          <a:off x="1307400" y="3260888"/>
          <a:ext cx="8077200" cy="1038225"/>
        </a:xfrm>
        <a:prstGeom prst="rect">
          <a:avLst/>
        </a:prstGeom>
        <a:solidFill>
          <a:srgbClr val="FFFFFF"/>
        </a:solidFill>
        <a:ln cap="flat" cmpd="sng" w="9525">
          <a:solidFill>
            <a:srgbClr val="BABABA"/>
          </a:solidFill>
          <a:prstDash val="solid"/>
          <a:round/>
          <a:headEnd len="sm" w="sm" type="none"/>
          <a:tailEnd len="sm" w="sm" type="none"/>
        </a:ln>
      </xdr:spPr>
      <xdr:txBody>
        <a:bodyPr anchorCtr="0" anchor="ctr" bIns="45675" lIns="91425" spcFirstLastPara="1" rIns="91425" wrap="square" tIns="45675">
          <a:noAutofit/>
        </a:bodyPr>
        <a:lstStyle/>
        <a:p>
          <a:pPr indent="0" lvl="0" marL="0" rtl="0" algn="ctr">
            <a:spcBef>
              <a:spcPts val="0"/>
            </a:spcBef>
            <a:spcAft>
              <a:spcPts val="0"/>
            </a:spcAft>
            <a:buClr>
              <a:srgbClr val="333333"/>
            </a:buClr>
            <a:buSzPts val="1400"/>
            <a:buFont typeface="Arial Narrow"/>
            <a:buNone/>
          </a:pPr>
          <a:r>
            <a:rPr b="0" i="0" lang="en-US" sz="1400" u="none" strike="noStrike">
              <a:solidFill>
                <a:srgbClr val="333333"/>
              </a:solidFill>
              <a:latin typeface="Arial Narrow"/>
              <a:ea typeface="Arial Narrow"/>
              <a:cs typeface="Arial Narrow"/>
              <a:sym typeface="Arial Narrow"/>
            </a:rPr>
            <a:t>INSTRUMEN PENILAIAN </a:t>
          </a:r>
          <a:endParaRPr sz="1400"/>
        </a:p>
        <a:p>
          <a:pPr indent="0" lvl="0" marL="0" rtl="0" algn="ctr">
            <a:spcBef>
              <a:spcPts val="0"/>
            </a:spcBef>
            <a:spcAft>
              <a:spcPts val="0"/>
            </a:spcAft>
            <a:buClr>
              <a:srgbClr val="333333"/>
            </a:buClr>
            <a:buSzPts val="1400"/>
            <a:buFont typeface="Arial Narrow"/>
            <a:buNone/>
          </a:pPr>
          <a:r>
            <a:rPr b="1" i="0" lang="en-US" sz="1400" u="none" strike="noStrike">
              <a:solidFill>
                <a:srgbClr val="333333"/>
              </a:solidFill>
              <a:latin typeface="Arial Narrow"/>
              <a:ea typeface="Arial Narrow"/>
              <a:cs typeface="Arial Narrow"/>
              <a:sym typeface="Arial Narrow"/>
            </a:rPr>
            <a:t>PENYELENGGARAAN</a:t>
          </a:r>
          <a:r>
            <a:rPr b="0" i="0" lang="en-US" sz="1400" u="none" strike="noStrike">
              <a:solidFill>
                <a:srgbClr val="000000"/>
              </a:solidFill>
              <a:latin typeface="Calibri"/>
              <a:ea typeface="Calibri"/>
              <a:cs typeface="Calibri"/>
              <a:sym typeface="Calibri"/>
            </a:rPr>
            <a:t> </a:t>
          </a:r>
          <a:r>
            <a:rPr b="1" i="0" lang="en-US" sz="1600" u="none" strike="noStrike">
              <a:solidFill>
                <a:srgbClr val="333333"/>
              </a:solidFill>
              <a:latin typeface="Arial Narrow"/>
              <a:ea typeface="Arial Narrow"/>
              <a:cs typeface="Arial Narrow"/>
              <a:sym typeface="Arial Narrow"/>
            </a:rPr>
            <a:t>KABUPATEN/KOTA SEHAT TAHUN 2024</a:t>
          </a:r>
          <a:endParaRPr sz="1400"/>
        </a:p>
        <a:p>
          <a:pPr indent="0" lvl="0" marL="0" rtl="0" algn="ctr">
            <a:spcBef>
              <a:spcPts val="0"/>
            </a:spcBef>
            <a:spcAft>
              <a:spcPts val="0"/>
            </a:spcAft>
            <a:buClr>
              <a:srgbClr val="333333"/>
            </a:buClr>
            <a:buSzPts val="1600"/>
            <a:buFont typeface="Arial Narrow"/>
            <a:buNone/>
          </a:pPr>
          <a:r>
            <a:rPr b="0" i="0" lang="en-US" sz="1600" u="none" strike="noStrike">
              <a:solidFill>
                <a:srgbClr val="333333"/>
              </a:solidFill>
              <a:latin typeface="Arial Narrow"/>
              <a:ea typeface="Arial Narrow"/>
              <a:cs typeface="Arial Narrow"/>
              <a:sym typeface="Arial Narrow"/>
            </a:rPr>
            <a:t>(Indikator Tatanan) </a:t>
          </a:r>
          <a:endParaRPr sz="1400"/>
        </a:p>
      </xdr:txBody>
    </xdr:sp>
    <xdr:clientData fLocksWithSheet="0"/>
  </xdr:oneCellAnchor>
  <xdr:oneCellAnchor>
    <xdr:from>
      <xdr:col>0</xdr:col>
      <xdr:colOff>209550</xdr:colOff>
      <xdr:row>0</xdr:row>
      <xdr:rowOff>190500</xdr:rowOff>
    </xdr:from>
    <xdr:ext cx="1238250" cy="9429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1257300</xdr:colOff>
      <xdr:row>1</xdr:row>
      <xdr:rowOff>0</xdr:rowOff>
    </xdr:from>
    <xdr:ext cx="8858250" cy="1028700"/>
    <xdr:sp>
      <xdr:nvSpPr>
        <xdr:cNvPr id="6" name="Shape 6"/>
        <xdr:cNvSpPr txBox="1"/>
      </xdr:nvSpPr>
      <xdr:spPr>
        <a:xfrm>
          <a:off x="921638" y="3270413"/>
          <a:ext cx="8848725" cy="1019175"/>
        </a:xfrm>
        <a:prstGeom prst="rect">
          <a:avLst/>
        </a:prstGeom>
        <a:solidFill>
          <a:srgbClr val="FFFFFF"/>
        </a:solidFill>
        <a:ln cap="flat" cmpd="sng" w="9525">
          <a:solidFill>
            <a:srgbClr val="BABABA"/>
          </a:solidFill>
          <a:prstDash val="solid"/>
          <a:round/>
          <a:headEnd len="sm" w="sm" type="none"/>
          <a:tailEnd len="sm" w="sm" type="none"/>
        </a:ln>
      </xdr:spPr>
      <xdr:txBody>
        <a:bodyPr anchorCtr="0" anchor="ctr" bIns="45675" lIns="91425" spcFirstLastPara="1" rIns="91425" wrap="square" tIns="45675">
          <a:noAutofit/>
        </a:bodyPr>
        <a:lstStyle/>
        <a:p>
          <a:pPr indent="0" lvl="0" marL="0" rtl="0" algn="ctr">
            <a:spcBef>
              <a:spcPts val="0"/>
            </a:spcBef>
            <a:spcAft>
              <a:spcPts val="0"/>
            </a:spcAft>
            <a:buClr>
              <a:srgbClr val="333333"/>
            </a:buClr>
            <a:buSzPts val="1400"/>
            <a:buFont typeface="Arial Narrow"/>
            <a:buNone/>
          </a:pPr>
          <a:r>
            <a:rPr b="0" i="0" lang="en-US" sz="1400" u="none" strike="noStrike">
              <a:solidFill>
                <a:srgbClr val="333333"/>
              </a:solidFill>
              <a:latin typeface="Arial Narrow"/>
              <a:ea typeface="Arial Narrow"/>
              <a:cs typeface="Arial Narrow"/>
              <a:sym typeface="Arial Narrow"/>
            </a:rPr>
            <a:t>INSTRUMEN PENILAIAN </a:t>
          </a:r>
          <a:endParaRPr sz="1400"/>
        </a:p>
        <a:p>
          <a:pPr indent="0" lvl="0" marL="0" rtl="0" algn="ctr">
            <a:spcBef>
              <a:spcPts val="0"/>
            </a:spcBef>
            <a:spcAft>
              <a:spcPts val="0"/>
            </a:spcAft>
            <a:buClr>
              <a:srgbClr val="333333"/>
            </a:buClr>
            <a:buSzPts val="1400"/>
            <a:buFont typeface="Arial Narrow"/>
            <a:buNone/>
          </a:pPr>
          <a:r>
            <a:rPr b="1" i="0" lang="en-US" sz="1400" u="none" strike="noStrike">
              <a:solidFill>
                <a:srgbClr val="333333"/>
              </a:solidFill>
              <a:latin typeface="Arial Narrow"/>
              <a:ea typeface="Arial Narrow"/>
              <a:cs typeface="Arial Narrow"/>
              <a:sym typeface="Arial Narrow"/>
            </a:rPr>
            <a:t>PENYELENGGARAAN</a:t>
          </a:r>
          <a:r>
            <a:rPr b="0" i="0" lang="en-US" sz="1400" u="none" strike="noStrike">
              <a:solidFill>
                <a:srgbClr val="000000"/>
              </a:solidFill>
              <a:latin typeface="Calibri"/>
              <a:ea typeface="Calibri"/>
              <a:cs typeface="Calibri"/>
              <a:sym typeface="Calibri"/>
            </a:rPr>
            <a:t> </a:t>
          </a:r>
          <a:r>
            <a:rPr b="1" i="0" lang="en-US" sz="1600" u="none" strike="noStrike">
              <a:solidFill>
                <a:srgbClr val="333333"/>
              </a:solidFill>
              <a:latin typeface="Arial Narrow"/>
              <a:ea typeface="Arial Narrow"/>
              <a:cs typeface="Arial Narrow"/>
              <a:sym typeface="Arial Narrow"/>
            </a:rPr>
            <a:t>KABUPATEN/KOTA SEHAT TAHUN 2024</a:t>
          </a:r>
          <a:endParaRPr sz="1400"/>
        </a:p>
        <a:p>
          <a:pPr indent="0" lvl="0" marL="0" rtl="0" algn="ctr">
            <a:spcBef>
              <a:spcPts val="0"/>
            </a:spcBef>
            <a:spcAft>
              <a:spcPts val="0"/>
            </a:spcAft>
            <a:buClr>
              <a:srgbClr val="333333"/>
            </a:buClr>
            <a:buSzPts val="1600"/>
            <a:buFont typeface="Arial Narrow"/>
            <a:buNone/>
          </a:pPr>
          <a:r>
            <a:rPr b="0" i="0" lang="en-US" sz="1600" u="none" strike="noStrike">
              <a:solidFill>
                <a:srgbClr val="333333"/>
              </a:solidFill>
              <a:latin typeface="Arial Narrow"/>
              <a:ea typeface="Arial Narrow"/>
              <a:cs typeface="Arial Narrow"/>
              <a:sym typeface="Arial Narrow"/>
            </a:rPr>
            <a:t>(Indikator Tatanan) </a:t>
          </a:r>
          <a:endParaRPr sz="1400"/>
        </a:p>
      </xdr:txBody>
    </xdr:sp>
    <xdr:clientData fLocksWithSheet="0"/>
  </xdr:oneCellAnchor>
  <xdr:oneCellAnchor>
    <xdr:from>
      <xdr:col>0</xdr:col>
      <xdr:colOff>219075</xdr:colOff>
      <xdr:row>0</xdr:row>
      <xdr:rowOff>180975</xdr:rowOff>
    </xdr:from>
    <xdr:ext cx="1285875" cy="923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1219200</xdr:colOff>
      <xdr:row>1</xdr:row>
      <xdr:rowOff>0</xdr:rowOff>
    </xdr:from>
    <xdr:ext cx="8601075" cy="1000125"/>
    <xdr:sp>
      <xdr:nvSpPr>
        <xdr:cNvPr id="7" name="Shape 7"/>
        <xdr:cNvSpPr txBox="1"/>
      </xdr:nvSpPr>
      <xdr:spPr>
        <a:xfrm>
          <a:off x="1174050" y="3141825"/>
          <a:ext cx="8343900" cy="1276350"/>
        </a:xfrm>
        <a:prstGeom prst="rect">
          <a:avLst/>
        </a:prstGeom>
        <a:solidFill>
          <a:srgbClr val="FFFFFF"/>
        </a:solidFill>
        <a:ln cap="flat" cmpd="sng" w="9525">
          <a:solidFill>
            <a:srgbClr val="BABABA"/>
          </a:solidFill>
          <a:prstDash val="solid"/>
          <a:round/>
          <a:headEnd len="sm" w="sm" type="none"/>
          <a:tailEnd len="sm" w="sm" type="none"/>
        </a:ln>
      </xdr:spPr>
      <xdr:txBody>
        <a:bodyPr anchorCtr="0" anchor="ctr" bIns="45675" lIns="91425" spcFirstLastPara="1" rIns="91425" wrap="square" tIns="45675">
          <a:noAutofit/>
        </a:bodyPr>
        <a:lstStyle/>
        <a:p>
          <a:pPr indent="0" lvl="0" marL="0" rtl="0" algn="ctr">
            <a:spcBef>
              <a:spcPts val="0"/>
            </a:spcBef>
            <a:spcAft>
              <a:spcPts val="0"/>
            </a:spcAft>
            <a:buClr>
              <a:srgbClr val="333333"/>
            </a:buClr>
            <a:buSzPts val="1400"/>
            <a:buFont typeface="Arial Narrow"/>
            <a:buNone/>
          </a:pPr>
          <a:r>
            <a:rPr b="0" i="0" lang="en-US" sz="1400" u="none" strike="noStrike">
              <a:solidFill>
                <a:srgbClr val="333333"/>
              </a:solidFill>
              <a:latin typeface="Arial Narrow"/>
              <a:ea typeface="Arial Narrow"/>
              <a:cs typeface="Arial Narrow"/>
              <a:sym typeface="Arial Narrow"/>
            </a:rPr>
            <a:t>INSTRUMEN PENILAIAN </a:t>
          </a:r>
          <a:endParaRPr sz="1400"/>
        </a:p>
        <a:p>
          <a:pPr indent="0" lvl="0" marL="0" rtl="0" algn="ctr">
            <a:spcBef>
              <a:spcPts val="0"/>
            </a:spcBef>
            <a:spcAft>
              <a:spcPts val="0"/>
            </a:spcAft>
            <a:buClr>
              <a:srgbClr val="333333"/>
            </a:buClr>
            <a:buSzPts val="1400"/>
            <a:buFont typeface="Arial Narrow"/>
            <a:buNone/>
          </a:pPr>
          <a:r>
            <a:rPr b="1" i="0" lang="en-US" sz="1400" u="none" strike="noStrike">
              <a:solidFill>
                <a:srgbClr val="333333"/>
              </a:solidFill>
              <a:latin typeface="Arial Narrow"/>
              <a:ea typeface="Arial Narrow"/>
              <a:cs typeface="Arial Narrow"/>
              <a:sym typeface="Arial Narrow"/>
            </a:rPr>
            <a:t>PENYELENGGARAAN</a:t>
          </a:r>
          <a:r>
            <a:rPr b="0" i="0" lang="en-US" sz="1400" u="none" strike="noStrike">
              <a:solidFill>
                <a:srgbClr val="000000"/>
              </a:solidFill>
              <a:latin typeface="Calibri"/>
              <a:ea typeface="Calibri"/>
              <a:cs typeface="Calibri"/>
              <a:sym typeface="Calibri"/>
            </a:rPr>
            <a:t> </a:t>
          </a:r>
          <a:r>
            <a:rPr b="1" i="0" lang="en-US" sz="1600" u="none" strike="noStrike">
              <a:solidFill>
                <a:srgbClr val="333333"/>
              </a:solidFill>
              <a:latin typeface="Arial Narrow"/>
              <a:ea typeface="Arial Narrow"/>
              <a:cs typeface="Arial Narrow"/>
              <a:sym typeface="Arial Narrow"/>
            </a:rPr>
            <a:t>KABUPATEN/KOTA SEHAT TAHUN 2024</a:t>
          </a:r>
          <a:endParaRPr sz="1400"/>
        </a:p>
        <a:p>
          <a:pPr indent="0" lvl="0" marL="0" rtl="0" algn="ctr">
            <a:spcBef>
              <a:spcPts val="0"/>
            </a:spcBef>
            <a:spcAft>
              <a:spcPts val="0"/>
            </a:spcAft>
            <a:buClr>
              <a:srgbClr val="333333"/>
            </a:buClr>
            <a:buSzPts val="1600"/>
            <a:buFont typeface="Arial Narrow"/>
            <a:buNone/>
          </a:pPr>
          <a:r>
            <a:rPr b="0" i="0" lang="en-US" sz="1600" u="none" strike="noStrike">
              <a:solidFill>
                <a:srgbClr val="333333"/>
              </a:solidFill>
              <a:latin typeface="Arial Narrow"/>
              <a:ea typeface="Arial Narrow"/>
              <a:cs typeface="Arial Narrow"/>
              <a:sym typeface="Arial Narrow"/>
            </a:rPr>
            <a:t>(Indikator Tatanan) </a:t>
          </a:r>
          <a:endParaRPr sz="1400"/>
        </a:p>
      </xdr:txBody>
    </xdr:sp>
    <xdr:clientData fLocksWithSheet="0"/>
  </xdr:oneCellAnchor>
  <xdr:oneCellAnchor>
    <xdr:from>
      <xdr:col>0</xdr:col>
      <xdr:colOff>152400</xdr:colOff>
      <xdr:row>0</xdr:row>
      <xdr:rowOff>66675</xdr:rowOff>
    </xdr:from>
    <xdr:ext cx="1371600" cy="11715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1019175</xdr:colOff>
      <xdr:row>0</xdr:row>
      <xdr:rowOff>9525</xdr:rowOff>
    </xdr:from>
    <xdr:ext cx="8401050" cy="1228725"/>
    <xdr:sp>
      <xdr:nvSpPr>
        <xdr:cNvPr id="8" name="Shape 8"/>
        <xdr:cNvSpPr txBox="1"/>
      </xdr:nvSpPr>
      <xdr:spPr>
        <a:xfrm>
          <a:off x="1150238" y="3170400"/>
          <a:ext cx="8391525" cy="1219200"/>
        </a:xfrm>
        <a:prstGeom prst="rect">
          <a:avLst/>
        </a:prstGeom>
        <a:solidFill>
          <a:srgbClr val="FFFFFF"/>
        </a:solidFill>
        <a:ln cap="flat" cmpd="sng" w="9525">
          <a:solidFill>
            <a:srgbClr val="BABABA"/>
          </a:solidFill>
          <a:prstDash val="solid"/>
          <a:round/>
          <a:headEnd len="sm" w="sm" type="none"/>
          <a:tailEnd len="sm" w="sm" type="none"/>
        </a:ln>
      </xdr:spPr>
      <xdr:txBody>
        <a:bodyPr anchorCtr="0" anchor="ctr" bIns="45675" lIns="91425" spcFirstLastPara="1" rIns="91425" wrap="square" tIns="45675">
          <a:noAutofit/>
        </a:bodyPr>
        <a:lstStyle/>
        <a:p>
          <a:pPr indent="0" lvl="0" marL="0" rtl="0" algn="ctr">
            <a:spcBef>
              <a:spcPts val="0"/>
            </a:spcBef>
            <a:spcAft>
              <a:spcPts val="0"/>
            </a:spcAft>
            <a:buClr>
              <a:srgbClr val="333333"/>
            </a:buClr>
            <a:buSzPts val="1400"/>
            <a:buFont typeface="Arial Narrow"/>
            <a:buNone/>
          </a:pPr>
          <a:r>
            <a:rPr b="0" i="0" lang="en-US" sz="1400" u="none" strike="noStrike">
              <a:solidFill>
                <a:srgbClr val="333333"/>
              </a:solidFill>
              <a:latin typeface="Arial Narrow"/>
              <a:ea typeface="Arial Narrow"/>
              <a:cs typeface="Arial Narrow"/>
              <a:sym typeface="Arial Narrow"/>
            </a:rPr>
            <a:t>INSTRUMEN PENILAIAN </a:t>
          </a:r>
          <a:endParaRPr sz="1400"/>
        </a:p>
        <a:p>
          <a:pPr indent="0" lvl="0" marL="0" rtl="0" algn="ctr">
            <a:spcBef>
              <a:spcPts val="0"/>
            </a:spcBef>
            <a:spcAft>
              <a:spcPts val="0"/>
            </a:spcAft>
            <a:buClr>
              <a:srgbClr val="333333"/>
            </a:buClr>
            <a:buSzPts val="1400"/>
            <a:buFont typeface="Arial Narrow"/>
            <a:buNone/>
          </a:pPr>
          <a:r>
            <a:rPr b="1" i="0" lang="en-US" sz="1400" u="none" strike="noStrike">
              <a:solidFill>
                <a:srgbClr val="333333"/>
              </a:solidFill>
              <a:latin typeface="Arial Narrow"/>
              <a:ea typeface="Arial Narrow"/>
              <a:cs typeface="Arial Narrow"/>
              <a:sym typeface="Arial Narrow"/>
            </a:rPr>
            <a:t>PENYELENGGARAAN</a:t>
          </a:r>
          <a:r>
            <a:rPr b="0" i="0" lang="en-US" sz="1400" u="none" strike="noStrike">
              <a:solidFill>
                <a:srgbClr val="000000"/>
              </a:solidFill>
              <a:latin typeface="Calibri"/>
              <a:ea typeface="Calibri"/>
              <a:cs typeface="Calibri"/>
              <a:sym typeface="Calibri"/>
            </a:rPr>
            <a:t> </a:t>
          </a:r>
          <a:r>
            <a:rPr b="1" i="0" lang="en-US" sz="1600" u="none" strike="noStrike">
              <a:solidFill>
                <a:srgbClr val="333333"/>
              </a:solidFill>
              <a:latin typeface="Arial Narrow"/>
              <a:ea typeface="Arial Narrow"/>
              <a:cs typeface="Arial Narrow"/>
              <a:sym typeface="Arial Narrow"/>
            </a:rPr>
            <a:t>KABUPATEN/KOTA SEHAT TAHUN 2024</a:t>
          </a:r>
          <a:endParaRPr sz="1400"/>
        </a:p>
        <a:p>
          <a:pPr indent="0" lvl="0" marL="0" rtl="0" algn="ctr">
            <a:spcBef>
              <a:spcPts val="0"/>
            </a:spcBef>
            <a:spcAft>
              <a:spcPts val="0"/>
            </a:spcAft>
            <a:buClr>
              <a:srgbClr val="333333"/>
            </a:buClr>
            <a:buSzPts val="1600"/>
            <a:buFont typeface="Arial Narrow"/>
            <a:buNone/>
          </a:pPr>
          <a:r>
            <a:rPr b="0" i="0" lang="en-US" sz="1600" u="none" strike="noStrike">
              <a:solidFill>
                <a:srgbClr val="333333"/>
              </a:solidFill>
              <a:latin typeface="Arial Narrow"/>
              <a:ea typeface="Arial Narrow"/>
              <a:cs typeface="Arial Narrow"/>
              <a:sym typeface="Arial Narrow"/>
            </a:rPr>
            <a:t>(Indikator Tatanan) </a:t>
          </a:r>
          <a:endParaRPr sz="1400"/>
        </a:p>
      </xdr:txBody>
    </xdr:sp>
    <xdr:clientData fLocksWithSheet="0"/>
  </xdr:oneCellAnchor>
  <xdr:oneCellAnchor>
    <xdr:from>
      <xdr:col>0</xdr:col>
      <xdr:colOff>133350</xdr:colOff>
      <xdr:row>1</xdr:row>
      <xdr:rowOff>19050</xdr:rowOff>
    </xdr:from>
    <xdr:ext cx="1162050" cy="11525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1152525</xdr:colOff>
      <xdr:row>0</xdr:row>
      <xdr:rowOff>28575</xdr:rowOff>
    </xdr:from>
    <xdr:ext cx="7620000" cy="1247775"/>
    <xdr:sp>
      <xdr:nvSpPr>
        <xdr:cNvPr id="9" name="Shape 9"/>
        <xdr:cNvSpPr txBox="1"/>
      </xdr:nvSpPr>
      <xdr:spPr>
        <a:xfrm>
          <a:off x="1540763" y="3160875"/>
          <a:ext cx="7610475" cy="1238250"/>
        </a:xfrm>
        <a:prstGeom prst="rect">
          <a:avLst/>
        </a:prstGeom>
        <a:solidFill>
          <a:srgbClr val="FFFFFF"/>
        </a:solidFill>
        <a:ln cap="flat" cmpd="sng" w="9525">
          <a:solidFill>
            <a:srgbClr val="BABABA"/>
          </a:solidFill>
          <a:prstDash val="solid"/>
          <a:round/>
          <a:headEnd len="sm" w="sm" type="none"/>
          <a:tailEnd len="sm" w="sm" type="none"/>
        </a:ln>
      </xdr:spPr>
      <xdr:txBody>
        <a:bodyPr anchorCtr="0" anchor="ctr" bIns="45675" lIns="91425" spcFirstLastPara="1" rIns="91425" wrap="square" tIns="45675">
          <a:noAutofit/>
        </a:bodyPr>
        <a:lstStyle/>
        <a:p>
          <a:pPr indent="0" lvl="0" marL="0" rtl="0" algn="ctr">
            <a:spcBef>
              <a:spcPts val="0"/>
            </a:spcBef>
            <a:spcAft>
              <a:spcPts val="0"/>
            </a:spcAft>
            <a:buClr>
              <a:srgbClr val="333333"/>
            </a:buClr>
            <a:buSzPts val="1400"/>
            <a:buFont typeface="Arial Narrow"/>
            <a:buNone/>
          </a:pPr>
          <a:r>
            <a:rPr b="0" i="0" lang="en-US" sz="1400" u="none" strike="noStrike">
              <a:solidFill>
                <a:srgbClr val="333333"/>
              </a:solidFill>
              <a:latin typeface="Arial Narrow"/>
              <a:ea typeface="Arial Narrow"/>
              <a:cs typeface="Arial Narrow"/>
              <a:sym typeface="Arial Narrow"/>
            </a:rPr>
            <a:t>INSTRUMEN PENILAIAN </a:t>
          </a:r>
          <a:endParaRPr sz="1400"/>
        </a:p>
        <a:p>
          <a:pPr indent="0" lvl="0" marL="0" rtl="0" algn="ctr">
            <a:spcBef>
              <a:spcPts val="0"/>
            </a:spcBef>
            <a:spcAft>
              <a:spcPts val="0"/>
            </a:spcAft>
            <a:buClr>
              <a:srgbClr val="333333"/>
            </a:buClr>
            <a:buSzPts val="1400"/>
            <a:buFont typeface="Arial Narrow"/>
            <a:buNone/>
          </a:pPr>
          <a:r>
            <a:rPr b="1" i="0" lang="en-US" sz="1400" u="none" strike="noStrike">
              <a:solidFill>
                <a:srgbClr val="333333"/>
              </a:solidFill>
              <a:latin typeface="Arial Narrow"/>
              <a:ea typeface="Arial Narrow"/>
              <a:cs typeface="Arial Narrow"/>
              <a:sym typeface="Arial Narrow"/>
            </a:rPr>
            <a:t>PENYELENGGARAAN</a:t>
          </a:r>
          <a:r>
            <a:rPr b="0" i="0" lang="en-US" sz="1400" u="none" strike="noStrike">
              <a:solidFill>
                <a:srgbClr val="000000"/>
              </a:solidFill>
              <a:latin typeface="Calibri"/>
              <a:ea typeface="Calibri"/>
              <a:cs typeface="Calibri"/>
              <a:sym typeface="Calibri"/>
            </a:rPr>
            <a:t> </a:t>
          </a:r>
          <a:r>
            <a:rPr b="1" i="0" lang="en-US" sz="1600" u="none" strike="noStrike">
              <a:solidFill>
                <a:srgbClr val="333333"/>
              </a:solidFill>
              <a:latin typeface="Arial Narrow"/>
              <a:ea typeface="Arial Narrow"/>
              <a:cs typeface="Arial Narrow"/>
              <a:sym typeface="Arial Narrow"/>
            </a:rPr>
            <a:t>KABUPATEN/KOTA SEHAT TAHUN 2024</a:t>
          </a:r>
          <a:endParaRPr sz="1400"/>
        </a:p>
        <a:p>
          <a:pPr indent="0" lvl="0" marL="0" rtl="0" algn="ctr">
            <a:spcBef>
              <a:spcPts val="0"/>
            </a:spcBef>
            <a:spcAft>
              <a:spcPts val="0"/>
            </a:spcAft>
            <a:buClr>
              <a:srgbClr val="333333"/>
            </a:buClr>
            <a:buSzPts val="1600"/>
            <a:buFont typeface="Arial Narrow"/>
            <a:buNone/>
          </a:pPr>
          <a:r>
            <a:rPr b="0" i="0" lang="en-US" sz="1600" u="none" strike="noStrike">
              <a:solidFill>
                <a:srgbClr val="333333"/>
              </a:solidFill>
              <a:latin typeface="Arial Narrow"/>
              <a:ea typeface="Arial Narrow"/>
              <a:cs typeface="Arial Narrow"/>
              <a:sym typeface="Arial Narrow"/>
            </a:rPr>
            <a:t>(Indikator Tatanan) </a:t>
          </a:r>
          <a:endParaRPr sz="1400"/>
        </a:p>
      </xdr:txBody>
    </xdr:sp>
    <xdr:clientData fLocksWithSheet="0"/>
  </xdr:oneCellAnchor>
  <xdr:oneCellAnchor>
    <xdr:from>
      <xdr:col>0</xdr:col>
      <xdr:colOff>85725</xdr:colOff>
      <xdr:row>0</xdr:row>
      <xdr:rowOff>190500</xdr:rowOff>
    </xdr:from>
    <xdr:ext cx="1343025" cy="10477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1638300</xdr:colOff>
      <xdr:row>1</xdr:row>
      <xdr:rowOff>0</xdr:rowOff>
    </xdr:from>
    <xdr:ext cx="7981950" cy="1190625"/>
    <xdr:sp>
      <xdr:nvSpPr>
        <xdr:cNvPr id="10" name="Shape 10"/>
        <xdr:cNvSpPr txBox="1"/>
      </xdr:nvSpPr>
      <xdr:spPr>
        <a:xfrm>
          <a:off x="1359788" y="3189450"/>
          <a:ext cx="7972425" cy="1181100"/>
        </a:xfrm>
        <a:prstGeom prst="rect">
          <a:avLst/>
        </a:prstGeom>
        <a:solidFill>
          <a:srgbClr val="FFFFFF"/>
        </a:solidFill>
        <a:ln cap="flat" cmpd="sng" w="9525">
          <a:solidFill>
            <a:srgbClr val="BABABA"/>
          </a:solidFill>
          <a:prstDash val="solid"/>
          <a:round/>
          <a:headEnd len="sm" w="sm" type="none"/>
          <a:tailEnd len="sm" w="sm" type="none"/>
        </a:ln>
      </xdr:spPr>
      <xdr:txBody>
        <a:bodyPr anchorCtr="0" anchor="ctr" bIns="45675" lIns="91425" spcFirstLastPara="1" rIns="91425" wrap="square" tIns="45675">
          <a:noAutofit/>
        </a:bodyPr>
        <a:lstStyle/>
        <a:p>
          <a:pPr indent="0" lvl="0" marL="0" rtl="0" algn="ctr">
            <a:spcBef>
              <a:spcPts val="0"/>
            </a:spcBef>
            <a:spcAft>
              <a:spcPts val="0"/>
            </a:spcAft>
            <a:buClr>
              <a:srgbClr val="333333"/>
            </a:buClr>
            <a:buSzPts val="1400"/>
            <a:buFont typeface="Arial Narrow"/>
            <a:buNone/>
          </a:pPr>
          <a:r>
            <a:rPr b="0" i="0" lang="en-US" sz="1400" u="none" strike="noStrike">
              <a:solidFill>
                <a:srgbClr val="333333"/>
              </a:solidFill>
              <a:latin typeface="Arial Narrow"/>
              <a:ea typeface="Arial Narrow"/>
              <a:cs typeface="Arial Narrow"/>
              <a:sym typeface="Arial Narrow"/>
            </a:rPr>
            <a:t>INSTRUMEN PENILAIAN </a:t>
          </a:r>
          <a:endParaRPr sz="1400"/>
        </a:p>
        <a:p>
          <a:pPr indent="0" lvl="0" marL="0" rtl="0" algn="ctr">
            <a:spcBef>
              <a:spcPts val="0"/>
            </a:spcBef>
            <a:spcAft>
              <a:spcPts val="0"/>
            </a:spcAft>
            <a:buClr>
              <a:srgbClr val="333333"/>
            </a:buClr>
            <a:buSzPts val="1400"/>
            <a:buFont typeface="Arial Narrow"/>
            <a:buNone/>
          </a:pPr>
          <a:r>
            <a:rPr b="1" i="0" lang="en-US" sz="1400" u="none" strike="noStrike">
              <a:solidFill>
                <a:srgbClr val="333333"/>
              </a:solidFill>
              <a:latin typeface="Arial Narrow"/>
              <a:ea typeface="Arial Narrow"/>
              <a:cs typeface="Arial Narrow"/>
              <a:sym typeface="Arial Narrow"/>
            </a:rPr>
            <a:t>PENYELENGGARAAN</a:t>
          </a:r>
          <a:r>
            <a:rPr b="0" i="0" lang="en-US" sz="1400" u="none" strike="noStrike">
              <a:solidFill>
                <a:srgbClr val="000000"/>
              </a:solidFill>
              <a:latin typeface="Calibri"/>
              <a:ea typeface="Calibri"/>
              <a:cs typeface="Calibri"/>
              <a:sym typeface="Calibri"/>
            </a:rPr>
            <a:t> </a:t>
          </a:r>
          <a:r>
            <a:rPr b="1" i="0" lang="en-US" sz="1600" u="none" strike="noStrike">
              <a:solidFill>
                <a:srgbClr val="333333"/>
              </a:solidFill>
              <a:latin typeface="Arial Narrow"/>
              <a:ea typeface="Arial Narrow"/>
              <a:cs typeface="Arial Narrow"/>
              <a:sym typeface="Arial Narrow"/>
            </a:rPr>
            <a:t>KABUPATEN/KOTA SEHAT TAHUN 2024</a:t>
          </a:r>
          <a:endParaRPr sz="1400"/>
        </a:p>
        <a:p>
          <a:pPr indent="0" lvl="0" marL="0" rtl="0" algn="ctr">
            <a:spcBef>
              <a:spcPts val="0"/>
            </a:spcBef>
            <a:spcAft>
              <a:spcPts val="0"/>
            </a:spcAft>
            <a:buClr>
              <a:srgbClr val="333333"/>
            </a:buClr>
            <a:buSzPts val="1600"/>
            <a:buFont typeface="Arial Narrow"/>
            <a:buNone/>
          </a:pPr>
          <a:r>
            <a:rPr b="0" i="0" lang="en-US" sz="1600" u="none" strike="noStrike">
              <a:solidFill>
                <a:srgbClr val="333333"/>
              </a:solidFill>
              <a:latin typeface="Arial Narrow"/>
              <a:ea typeface="Arial Narrow"/>
              <a:cs typeface="Arial Narrow"/>
              <a:sym typeface="Arial Narrow"/>
            </a:rPr>
            <a:t>(Indikator Tatanan) </a:t>
          </a:r>
          <a:endParaRPr sz="1400"/>
        </a:p>
      </xdr:txBody>
    </xdr:sp>
    <xdr:clientData fLocksWithSheet="0"/>
  </xdr:oneCellAnchor>
  <xdr:oneCellAnchor>
    <xdr:from>
      <xdr:col>0</xdr:col>
      <xdr:colOff>209550</xdr:colOff>
      <xdr:row>1</xdr:row>
      <xdr:rowOff>9525</xdr:rowOff>
    </xdr:from>
    <xdr:ext cx="150495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1476375</xdr:colOff>
      <xdr:row>1</xdr:row>
      <xdr:rowOff>19050</xdr:rowOff>
    </xdr:from>
    <xdr:ext cx="8010525" cy="1247775"/>
    <xdr:sp>
      <xdr:nvSpPr>
        <xdr:cNvPr id="11" name="Shape 11"/>
        <xdr:cNvSpPr txBox="1"/>
      </xdr:nvSpPr>
      <xdr:spPr>
        <a:xfrm>
          <a:off x="1345500" y="3160875"/>
          <a:ext cx="8001000" cy="1238250"/>
        </a:xfrm>
        <a:prstGeom prst="rect">
          <a:avLst/>
        </a:prstGeom>
        <a:solidFill>
          <a:srgbClr val="FFFFFF"/>
        </a:solidFill>
        <a:ln cap="flat" cmpd="sng" w="9525">
          <a:solidFill>
            <a:srgbClr val="BABABA"/>
          </a:solidFill>
          <a:prstDash val="solid"/>
          <a:round/>
          <a:headEnd len="sm" w="sm" type="none"/>
          <a:tailEnd len="sm" w="sm" type="none"/>
        </a:ln>
      </xdr:spPr>
      <xdr:txBody>
        <a:bodyPr anchorCtr="0" anchor="ctr" bIns="45675" lIns="91425" spcFirstLastPara="1" rIns="91425" wrap="square" tIns="45675">
          <a:noAutofit/>
        </a:bodyPr>
        <a:lstStyle/>
        <a:p>
          <a:pPr indent="0" lvl="0" marL="0" rtl="0" algn="ctr">
            <a:spcBef>
              <a:spcPts val="0"/>
            </a:spcBef>
            <a:spcAft>
              <a:spcPts val="0"/>
            </a:spcAft>
            <a:buClr>
              <a:srgbClr val="333333"/>
            </a:buClr>
            <a:buSzPts val="1400"/>
            <a:buFont typeface="Arial Narrow"/>
            <a:buNone/>
          </a:pPr>
          <a:r>
            <a:rPr b="0" i="0" lang="en-US" sz="1400" u="none" strike="noStrike">
              <a:solidFill>
                <a:srgbClr val="333333"/>
              </a:solidFill>
              <a:latin typeface="Arial Narrow"/>
              <a:ea typeface="Arial Narrow"/>
              <a:cs typeface="Arial Narrow"/>
              <a:sym typeface="Arial Narrow"/>
            </a:rPr>
            <a:t>INSTRUMEN PENILAIAN </a:t>
          </a:r>
          <a:endParaRPr sz="1400"/>
        </a:p>
        <a:p>
          <a:pPr indent="0" lvl="0" marL="0" rtl="0" algn="ctr">
            <a:spcBef>
              <a:spcPts val="0"/>
            </a:spcBef>
            <a:spcAft>
              <a:spcPts val="0"/>
            </a:spcAft>
            <a:buClr>
              <a:srgbClr val="333333"/>
            </a:buClr>
            <a:buSzPts val="1400"/>
            <a:buFont typeface="Arial Narrow"/>
            <a:buNone/>
          </a:pPr>
          <a:r>
            <a:rPr b="1" i="0" lang="en-US" sz="1400" u="none" strike="noStrike">
              <a:solidFill>
                <a:srgbClr val="333333"/>
              </a:solidFill>
              <a:latin typeface="Arial Narrow"/>
              <a:ea typeface="Arial Narrow"/>
              <a:cs typeface="Arial Narrow"/>
              <a:sym typeface="Arial Narrow"/>
            </a:rPr>
            <a:t>PENYELENGGARAAN</a:t>
          </a:r>
          <a:r>
            <a:rPr b="0" i="0" lang="en-US" sz="1400" u="none" strike="noStrike">
              <a:solidFill>
                <a:srgbClr val="000000"/>
              </a:solidFill>
              <a:latin typeface="Calibri"/>
              <a:ea typeface="Calibri"/>
              <a:cs typeface="Calibri"/>
              <a:sym typeface="Calibri"/>
            </a:rPr>
            <a:t> </a:t>
          </a:r>
          <a:r>
            <a:rPr b="1" i="0" lang="en-US" sz="1600" u="none" strike="noStrike">
              <a:solidFill>
                <a:srgbClr val="333333"/>
              </a:solidFill>
              <a:latin typeface="Arial Narrow"/>
              <a:ea typeface="Arial Narrow"/>
              <a:cs typeface="Arial Narrow"/>
              <a:sym typeface="Arial Narrow"/>
            </a:rPr>
            <a:t>KABUPATEN/KOTA SEHAT TAHUN 2024</a:t>
          </a:r>
          <a:endParaRPr sz="1400"/>
        </a:p>
        <a:p>
          <a:pPr indent="0" lvl="0" marL="0" rtl="0" algn="ctr">
            <a:spcBef>
              <a:spcPts val="0"/>
            </a:spcBef>
            <a:spcAft>
              <a:spcPts val="0"/>
            </a:spcAft>
            <a:buClr>
              <a:srgbClr val="333333"/>
            </a:buClr>
            <a:buSzPts val="1600"/>
            <a:buFont typeface="Arial Narrow"/>
            <a:buNone/>
          </a:pPr>
          <a:r>
            <a:rPr b="0" i="0" lang="en-US" sz="1600" u="none" strike="noStrike">
              <a:solidFill>
                <a:srgbClr val="333333"/>
              </a:solidFill>
              <a:latin typeface="Arial Narrow"/>
              <a:ea typeface="Arial Narrow"/>
              <a:cs typeface="Arial Narrow"/>
              <a:sym typeface="Arial Narrow"/>
            </a:rPr>
            <a:t>(Indikator Tatanan) </a:t>
          </a:r>
          <a:endParaRPr sz="1400"/>
        </a:p>
      </xdr:txBody>
    </xdr:sp>
    <xdr:clientData fLocksWithSheet="0"/>
  </xdr:oneCellAnchor>
  <xdr:oneCellAnchor>
    <xdr:from>
      <xdr:col>0</xdr:col>
      <xdr:colOff>152400</xdr:colOff>
      <xdr:row>0</xdr:row>
      <xdr:rowOff>57150</xdr:rowOff>
    </xdr:from>
    <xdr:ext cx="1552575" cy="12763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1533525</xdr:colOff>
      <xdr:row>0</xdr:row>
      <xdr:rowOff>142875</xdr:rowOff>
    </xdr:from>
    <xdr:ext cx="4152900" cy="1247775"/>
    <xdr:sp>
      <xdr:nvSpPr>
        <xdr:cNvPr id="12" name="Shape 12"/>
        <xdr:cNvSpPr txBox="1"/>
      </xdr:nvSpPr>
      <xdr:spPr>
        <a:xfrm>
          <a:off x="3274313" y="3160875"/>
          <a:ext cx="4143375" cy="1238250"/>
        </a:xfrm>
        <a:prstGeom prst="rect">
          <a:avLst/>
        </a:prstGeom>
        <a:solidFill>
          <a:srgbClr val="FFFFFF"/>
        </a:solidFill>
        <a:ln cap="flat" cmpd="sng" w="9525">
          <a:solidFill>
            <a:srgbClr val="BABABA"/>
          </a:solidFill>
          <a:prstDash val="solid"/>
          <a:round/>
          <a:headEnd len="sm" w="sm" type="none"/>
          <a:tailEnd len="sm" w="sm" type="none"/>
        </a:ln>
      </xdr:spPr>
      <xdr:txBody>
        <a:bodyPr anchorCtr="0" anchor="ctr" bIns="45675" lIns="91425" spcFirstLastPara="1" rIns="91425" wrap="square" tIns="45675">
          <a:noAutofit/>
        </a:bodyPr>
        <a:lstStyle/>
        <a:p>
          <a:pPr indent="0" lvl="0" marL="0" rtl="0" algn="ctr">
            <a:spcBef>
              <a:spcPts val="0"/>
            </a:spcBef>
            <a:spcAft>
              <a:spcPts val="0"/>
            </a:spcAft>
            <a:buClr>
              <a:srgbClr val="333333"/>
            </a:buClr>
            <a:buSzPts val="1400"/>
            <a:buFont typeface="Arial Narrow"/>
            <a:buNone/>
          </a:pPr>
          <a:r>
            <a:rPr b="0" i="0" lang="en-US" sz="1400" u="none" strike="noStrike">
              <a:solidFill>
                <a:srgbClr val="333333"/>
              </a:solidFill>
              <a:latin typeface="Arial Narrow"/>
              <a:ea typeface="Arial Narrow"/>
              <a:cs typeface="Arial Narrow"/>
              <a:sym typeface="Arial Narrow"/>
            </a:rPr>
            <a:t>INSTRUMEN PENILAIAN </a:t>
          </a:r>
          <a:endParaRPr sz="1400"/>
        </a:p>
        <a:p>
          <a:pPr indent="0" lvl="0" marL="0" rtl="0" algn="ctr">
            <a:spcBef>
              <a:spcPts val="0"/>
            </a:spcBef>
            <a:spcAft>
              <a:spcPts val="0"/>
            </a:spcAft>
            <a:buClr>
              <a:srgbClr val="333333"/>
            </a:buClr>
            <a:buSzPts val="1400"/>
            <a:buFont typeface="Arial Narrow"/>
            <a:buNone/>
          </a:pPr>
          <a:r>
            <a:rPr b="1" i="0" lang="en-US" sz="1400" u="none" strike="noStrike">
              <a:solidFill>
                <a:srgbClr val="333333"/>
              </a:solidFill>
              <a:latin typeface="Arial Narrow"/>
              <a:ea typeface="Arial Narrow"/>
              <a:cs typeface="Arial Narrow"/>
              <a:sym typeface="Arial Narrow"/>
            </a:rPr>
            <a:t>PENYELENGGARAAN</a:t>
          </a:r>
          <a:r>
            <a:rPr b="0" i="0" lang="en-US" sz="1400" u="none" strike="noStrike">
              <a:solidFill>
                <a:srgbClr val="000000"/>
              </a:solidFill>
              <a:latin typeface="Calibri"/>
              <a:ea typeface="Calibri"/>
              <a:cs typeface="Calibri"/>
              <a:sym typeface="Calibri"/>
            </a:rPr>
            <a:t> </a:t>
          </a:r>
          <a:r>
            <a:rPr b="1" i="0" lang="en-US" sz="1600" u="none" strike="noStrike">
              <a:solidFill>
                <a:srgbClr val="333333"/>
              </a:solidFill>
              <a:latin typeface="Arial Narrow"/>
              <a:ea typeface="Arial Narrow"/>
              <a:cs typeface="Arial Narrow"/>
              <a:sym typeface="Arial Narrow"/>
            </a:rPr>
            <a:t>KABUPATEN/KOTA SEHAT TAHUN 2024</a:t>
          </a:r>
          <a:endParaRPr sz="1400"/>
        </a:p>
        <a:p>
          <a:pPr indent="0" lvl="0" marL="0" rtl="0" algn="ctr">
            <a:spcBef>
              <a:spcPts val="0"/>
            </a:spcBef>
            <a:spcAft>
              <a:spcPts val="0"/>
            </a:spcAft>
            <a:buClr>
              <a:srgbClr val="333333"/>
            </a:buClr>
            <a:buSzPts val="1600"/>
            <a:buFont typeface="Arial Narrow"/>
            <a:buNone/>
          </a:pPr>
          <a:r>
            <a:rPr b="0" i="0" lang="en-US" sz="1600" u="none" strike="noStrike">
              <a:solidFill>
                <a:srgbClr val="333333"/>
              </a:solidFill>
              <a:latin typeface="Arial Narrow"/>
              <a:ea typeface="Arial Narrow"/>
              <a:cs typeface="Arial Narrow"/>
              <a:sym typeface="Arial Narrow"/>
            </a:rPr>
            <a:t>(Data Umum) </a:t>
          </a:r>
          <a:endParaRPr sz="1400"/>
        </a:p>
      </xdr:txBody>
    </xdr:sp>
    <xdr:clientData fLocksWithSheet="0"/>
  </xdr:oneCellAnchor>
  <xdr:oneCellAnchor>
    <xdr:from>
      <xdr:col>0</xdr:col>
      <xdr:colOff>238125</xdr:colOff>
      <xdr:row>0</xdr:row>
      <xdr:rowOff>85725</xdr:rowOff>
    </xdr:from>
    <xdr:ext cx="1466850" cy="13144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1762125</xdr:colOff>
      <xdr:row>0</xdr:row>
      <xdr:rowOff>85725</xdr:rowOff>
    </xdr:from>
    <xdr:ext cx="5734050" cy="1257300"/>
    <xdr:sp>
      <xdr:nvSpPr>
        <xdr:cNvPr id="13" name="Shape 13"/>
        <xdr:cNvSpPr txBox="1"/>
      </xdr:nvSpPr>
      <xdr:spPr>
        <a:xfrm>
          <a:off x="2483738" y="3156113"/>
          <a:ext cx="5724525" cy="1247775"/>
        </a:xfrm>
        <a:prstGeom prst="rect">
          <a:avLst/>
        </a:prstGeom>
        <a:solidFill>
          <a:srgbClr val="FFFFFF"/>
        </a:solidFill>
        <a:ln cap="flat" cmpd="sng" w="9525">
          <a:solidFill>
            <a:srgbClr val="BABABA"/>
          </a:solidFill>
          <a:prstDash val="solid"/>
          <a:round/>
          <a:headEnd len="sm" w="sm" type="none"/>
          <a:tailEnd len="sm" w="sm" type="none"/>
        </a:ln>
      </xdr:spPr>
      <xdr:txBody>
        <a:bodyPr anchorCtr="0" anchor="ctr" bIns="45675" lIns="91425" spcFirstLastPara="1" rIns="91425" wrap="square" tIns="45675">
          <a:noAutofit/>
        </a:bodyPr>
        <a:lstStyle/>
        <a:p>
          <a:pPr indent="0" lvl="0" marL="0" rtl="0" algn="ctr">
            <a:spcBef>
              <a:spcPts val="0"/>
            </a:spcBef>
            <a:spcAft>
              <a:spcPts val="0"/>
            </a:spcAft>
            <a:buClr>
              <a:srgbClr val="333333"/>
            </a:buClr>
            <a:buSzPts val="1400"/>
            <a:buFont typeface="Arial Narrow"/>
            <a:buNone/>
          </a:pPr>
          <a:r>
            <a:rPr b="0" i="0" lang="en-US" sz="1400" u="none" strike="noStrike">
              <a:solidFill>
                <a:srgbClr val="333333"/>
              </a:solidFill>
              <a:latin typeface="Arial Narrow"/>
              <a:ea typeface="Arial Narrow"/>
              <a:cs typeface="Arial Narrow"/>
              <a:sym typeface="Arial Narrow"/>
            </a:rPr>
            <a:t>INSTRUMEN PENILAIAN </a:t>
          </a:r>
          <a:endParaRPr sz="1400"/>
        </a:p>
        <a:p>
          <a:pPr indent="0" lvl="0" marL="0" rtl="0" algn="ctr">
            <a:spcBef>
              <a:spcPts val="0"/>
            </a:spcBef>
            <a:spcAft>
              <a:spcPts val="0"/>
            </a:spcAft>
            <a:buClr>
              <a:srgbClr val="333333"/>
            </a:buClr>
            <a:buSzPts val="1600"/>
            <a:buFont typeface="Arial Narrow"/>
            <a:buNone/>
          </a:pPr>
          <a:r>
            <a:rPr b="1" i="0" lang="en-US" sz="1600" u="none" strike="noStrike">
              <a:solidFill>
                <a:srgbClr val="333333"/>
              </a:solidFill>
              <a:latin typeface="Arial Narrow"/>
              <a:ea typeface="Arial Narrow"/>
              <a:cs typeface="Arial Narrow"/>
              <a:sym typeface="Arial Narrow"/>
            </a:rPr>
            <a:t>PENYELENGGARAAN</a:t>
          </a:r>
          <a:r>
            <a:rPr b="0" i="0" lang="en-US" sz="1400" u="none" strike="noStrike">
              <a:solidFill>
                <a:srgbClr val="000000"/>
              </a:solidFill>
              <a:latin typeface="Calibri"/>
              <a:ea typeface="Calibri"/>
              <a:cs typeface="Calibri"/>
              <a:sym typeface="Calibri"/>
            </a:rPr>
            <a:t> </a:t>
          </a:r>
          <a:r>
            <a:rPr b="1" i="0" lang="en-US" sz="1600" u="none" strike="noStrike">
              <a:solidFill>
                <a:srgbClr val="333333"/>
              </a:solidFill>
              <a:latin typeface="Arial Narrow"/>
              <a:ea typeface="Arial Narrow"/>
              <a:cs typeface="Arial Narrow"/>
              <a:sym typeface="Arial Narrow"/>
            </a:rPr>
            <a:t>KABUPATEN/KOTA SEHAT TAHUN 2024</a:t>
          </a:r>
          <a:endParaRPr sz="1400"/>
        </a:p>
        <a:p>
          <a:pPr indent="0" lvl="0" marL="0" rtl="0" algn="ctr">
            <a:spcBef>
              <a:spcPts val="0"/>
            </a:spcBef>
            <a:spcAft>
              <a:spcPts val="0"/>
            </a:spcAft>
            <a:buClr>
              <a:srgbClr val="333333"/>
            </a:buClr>
            <a:buSzPts val="1600"/>
            <a:buFont typeface="Arial Narrow"/>
            <a:buNone/>
          </a:pPr>
          <a:r>
            <a:rPr b="0" i="0" lang="en-US" sz="1600" u="none" strike="noStrike">
              <a:solidFill>
                <a:srgbClr val="333333"/>
              </a:solidFill>
              <a:latin typeface="Arial Narrow"/>
              <a:ea typeface="Arial Narrow"/>
              <a:cs typeface="Arial Narrow"/>
              <a:sym typeface="Arial Narrow"/>
            </a:rPr>
            <a:t>(Kelembagaan) </a:t>
          </a:r>
          <a:endParaRPr sz="1400"/>
        </a:p>
      </xdr:txBody>
    </xdr:sp>
    <xdr:clientData fLocksWithSheet="0"/>
  </xdr:oneCellAnchor>
  <xdr:oneCellAnchor>
    <xdr:from>
      <xdr:col>0</xdr:col>
      <xdr:colOff>323850</xdr:colOff>
      <xdr:row>0</xdr:row>
      <xdr:rowOff>57150</xdr:rowOff>
    </xdr:from>
    <xdr:ext cx="1514475" cy="13144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323850</xdr:colOff>
      <xdr:row>0</xdr:row>
      <xdr:rowOff>57150</xdr:rowOff>
    </xdr:from>
    <xdr:ext cx="1514475" cy="13144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VZgf5W5lDP5QJMRN28FnPOD14F-h09LN" TargetMode="External"/><Relationship Id="rId84" Type="http://schemas.openxmlformats.org/officeDocument/2006/relationships/hyperlink" Target="https://drive.google.com/open?id=1x-foUJunpUcc8P7_yic5eCv1fr4ReEC5" TargetMode="External"/><Relationship Id="rId83" Type="http://schemas.openxmlformats.org/officeDocument/2006/relationships/hyperlink" Target="https://drive.google.com/open?id=1iUaxjBHP2biI77p6SiL3UQ8LFTZwNXwT" TargetMode="External"/><Relationship Id="rId42" Type="http://schemas.openxmlformats.org/officeDocument/2006/relationships/hyperlink" Target="https://drive.google.com/open?id=1ecThYB9tJXNi3v40QcTXrk-manVZYrPn" TargetMode="External"/><Relationship Id="rId86" Type="http://schemas.openxmlformats.org/officeDocument/2006/relationships/hyperlink" Target="https://drive.google.com/open?id=176sQEaiSLMmuUvALyKEDf3ndeYxSrPrJ" TargetMode="External"/><Relationship Id="rId41" Type="http://schemas.openxmlformats.org/officeDocument/2006/relationships/hyperlink" Target="https://drive.google.com/open?id=1zXzW_Oq4C02ShKkaWJs9QIVLsRJt5WVN" TargetMode="External"/><Relationship Id="rId85" Type="http://schemas.openxmlformats.org/officeDocument/2006/relationships/hyperlink" Target="https://drive.google.com/open?id=1fpxft_3Ig7_RnTEBB4e9RinXIJmC7JJG" TargetMode="External"/><Relationship Id="rId44" Type="http://schemas.openxmlformats.org/officeDocument/2006/relationships/hyperlink" Target="https://drive.google.com/open?id=141ovS34UHvJNCmasheSDRM2xlvp5zyTz" TargetMode="External"/><Relationship Id="rId88" Type="http://schemas.openxmlformats.org/officeDocument/2006/relationships/hyperlink" Target="https://drive.google.com/open?id=12OhFxbw2TzyfJlXQfK6A1aqWmGT9bKKv" TargetMode="External"/><Relationship Id="rId43" Type="http://schemas.openxmlformats.org/officeDocument/2006/relationships/hyperlink" Target="https://drive.google.com/open?id=13tOz9bfoIwpk4fMyQHidbUOcWaONJxRW" TargetMode="External"/><Relationship Id="rId87" Type="http://schemas.openxmlformats.org/officeDocument/2006/relationships/hyperlink" Target="https://drive.google.com/open?id=1UX-qh98kyBZXwiQGLM9j6BuAXzulva7l" TargetMode="External"/><Relationship Id="rId46" Type="http://schemas.openxmlformats.org/officeDocument/2006/relationships/hyperlink" Target="https://drive.google.com/open?id=12F5kN7NWYjgbDmhV4fmaLf9-62iM0mVZ" TargetMode="External"/><Relationship Id="rId45" Type="http://schemas.openxmlformats.org/officeDocument/2006/relationships/hyperlink" Target="https://drive.google.com/open?id=1NGF76cw-8bbZeh60_RIMYdNxZLYjluVX" TargetMode="External"/><Relationship Id="rId89" Type="http://schemas.openxmlformats.org/officeDocument/2006/relationships/hyperlink" Target="https://drive.google.com/open?id=1d_uaotCui_uqJYzF2rB1NCLD8YXWHWFb" TargetMode="External"/><Relationship Id="rId80" Type="http://schemas.openxmlformats.org/officeDocument/2006/relationships/hyperlink" Target="https://drive.google.com/open?id=1ha_x7fP4UkTyBuoDMz9KNSRSVJ1-MC-Q" TargetMode="External"/><Relationship Id="rId82" Type="http://schemas.openxmlformats.org/officeDocument/2006/relationships/hyperlink" Target="https://drive.google.com/open?id=1-KIyGpdJPkRld3Q_rkYVJPbfBRFqEPsY" TargetMode="External"/><Relationship Id="rId81" Type="http://schemas.openxmlformats.org/officeDocument/2006/relationships/hyperlink" Target="https://drive.google.com/open?id=1p4mrU7YjLo9uxj-Vx6HgOtPQWyBy6DGq" TargetMode="External"/><Relationship Id="rId1" Type="http://schemas.openxmlformats.org/officeDocument/2006/relationships/hyperlink" Target="https://drive.google.com/open?id=1PVjiItEUDkvnzfdSO1gyDRXzDJXpxQ7a" TargetMode="External"/><Relationship Id="rId2" Type="http://schemas.openxmlformats.org/officeDocument/2006/relationships/hyperlink" Target="https://drive.google.com/open?id=1OeA9tMjyxPyuI_K-50eEMuF_iFgza-MG" TargetMode="External"/><Relationship Id="rId3" Type="http://schemas.openxmlformats.org/officeDocument/2006/relationships/hyperlink" Target="https://drive.google.com/open?id=1L_UB1Bm2C1JGE_-huX1LPYbcpoqp_Uq2" TargetMode="External"/><Relationship Id="rId4" Type="http://schemas.openxmlformats.org/officeDocument/2006/relationships/hyperlink" Target="https://drive.google.com/open?id=18fUrfNALC0OA20PdRmH5sEA8PrVB0i4Q" TargetMode="External"/><Relationship Id="rId9" Type="http://schemas.openxmlformats.org/officeDocument/2006/relationships/hyperlink" Target="https://drive.google.com/open?id=1NcwmeqbK3aApHsDbpthmN2iAUi3-IDz4" TargetMode="External"/><Relationship Id="rId48" Type="http://schemas.openxmlformats.org/officeDocument/2006/relationships/hyperlink" Target="https://drive.google.com/open?id=124EHNbNikhAD71hw3MgY1CPCs7uu1_Uw" TargetMode="External"/><Relationship Id="rId47" Type="http://schemas.openxmlformats.org/officeDocument/2006/relationships/hyperlink" Target="https://drive.google.com/open?id=1rF___jUJLfdVzxabyXf_DLgdZkdBs0lc" TargetMode="External"/><Relationship Id="rId49" Type="http://schemas.openxmlformats.org/officeDocument/2006/relationships/hyperlink" Target="https://drive.google.com/open?id=1fQXMWsDabIutWjCskeUAEfYz_wakBFh9" TargetMode="External"/><Relationship Id="rId5" Type="http://schemas.openxmlformats.org/officeDocument/2006/relationships/hyperlink" Target="https://drive.google.com/open?id=14rDbwIVzWL4cZ6QUWE55i3rPRPuYQZCY" TargetMode="External"/><Relationship Id="rId6" Type="http://schemas.openxmlformats.org/officeDocument/2006/relationships/hyperlink" Target="https://drive.google.com/open?id=1TBbdtqOtimMirh7t4IbYnKtq68UbHDpG" TargetMode="External"/><Relationship Id="rId7" Type="http://schemas.openxmlformats.org/officeDocument/2006/relationships/hyperlink" Target="https://drive.google.com/open?id=1jozrFuWJAfCdMF84964kXmOZfXTMMVB2" TargetMode="External"/><Relationship Id="rId8" Type="http://schemas.openxmlformats.org/officeDocument/2006/relationships/hyperlink" Target="https://drive.google.com/open?id=1NcwmeqbK3aApHsDbpthmN2iAUi3-IDz4" TargetMode="External"/><Relationship Id="rId73" Type="http://schemas.openxmlformats.org/officeDocument/2006/relationships/hyperlink" Target="https://drive.google.com/open?id=1EX1OhJkRnYGnqTe79oyQfXEbIuYHiB9H" TargetMode="External"/><Relationship Id="rId72" Type="http://schemas.openxmlformats.org/officeDocument/2006/relationships/hyperlink" Target="https://drive.google.com/open?id=1CTmwKZxjI7FeX8cPBpjVp6aWuymMlpp7" TargetMode="External"/><Relationship Id="rId31" Type="http://schemas.openxmlformats.org/officeDocument/2006/relationships/hyperlink" Target="https://drive.google.com/open?id=1TdxRtXWi1I-wv-kPdNyU-40K5z3fQzie" TargetMode="External"/><Relationship Id="rId75" Type="http://schemas.openxmlformats.org/officeDocument/2006/relationships/hyperlink" Target="https://drive.google.com/open?id=1OJCmp52GdXdkbY-qkrVmpP2dp8BTWUn_" TargetMode="External"/><Relationship Id="rId30" Type="http://schemas.openxmlformats.org/officeDocument/2006/relationships/hyperlink" Target="https://drive.google.com/open?id=1jmg5gGpvXVriKxnlDF-KmW5Be6ddJkL_" TargetMode="External"/><Relationship Id="rId74" Type="http://schemas.openxmlformats.org/officeDocument/2006/relationships/hyperlink" Target="https://drive.google.com/open?id=1GvLrH9QMMge8FGtdPqgkXNIiwLGjcV2v" TargetMode="External"/><Relationship Id="rId33" Type="http://schemas.openxmlformats.org/officeDocument/2006/relationships/hyperlink" Target="https://drive.google.com/open?id=1OWTycYXZuLVhmmB3iTT-rhAk2q6IbT3f" TargetMode="External"/><Relationship Id="rId77" Type="http://schemas.openxmlformats.org/officeDocument/2006/relationships/hyperlink" Target="https://drive.google.com/open?id=10GCHKMJ-0wpKp2pg5mWSXxUZT0ImUZDx" TargetMode="External"/><Relationship Id="rId32" Type="http://schemas.openxmlformats.org/officeDocument/2006/relationships/hyperlink" Target="https://drive.google.com/open?id=1xUnVsfyvQnCDJ0nbz83yDfvmuNziODGu" TargetMode="External"/><Relationship Id="rId76" Type="http://schemas.openxmlformats.org/officeDocument/2006/relationships/hyperlink" Target="https://drive.google.com/open?id=1yzv-0veoHXygYcP6EWUlKJKlHXb-ytBt" TargetMode="External"/><Relationship Id="rId35" Type="http://schemas.openxmlformats.org/officeDocument/2006/relationships/hyperlink" Target="https://drive.google.com/open?id=1OwrWxMDrpa-izA2s61SUYX4SxIdwiVNP" TargetMode="External"/><Relationship Id="rId79" Type="http://schemas.openxmlformats.org/officeDocument/2006/relationships/hyperlink" Target="https://drive.google.com/open?id=1b3Zh5miICQaGZwCE4YQyLRCX2dy1dNCj" TargetMode="External"/><Relationship Id="rId34" Type="http://schemas.openxmlformats.org/officeDocument/2006/relationships/hyperlink" Target="https://drive.google.com/open?id=1uBiKGQr3K-9EtO2yId0w7mqbg7XRgGVg" TargetMode="External"/><Relationship Id="rId78" Type="http://schemas.openxmlformats.org/officeDocument/2006/relationships/hyperlink" Target="https://drive.google.com/open?id=1R8WciLVNZSZ5tZC8jbeAeSEHaXqzOMft" TargetMode="External"/><Relationship Id="rId71" Type="http://schemas.openxmlformats.org/officeDocument/2006/relationships/hyperlink" Target="https://drive.google.com/open?id=1QzpYWzIpVue5qi4-yRpS81wjkmJNZJSa" TargetMode="External"/><Relationship Id="rId70" Type="http://schemas.openxmlformats.org/officeDocument/2006/relationships/hyperlink" Target="https://drive.google.com/open?id=1glfk-IJsywJ-zt4YRzpyPQTK6VGcp34i" TargetMode="External"/><Relationship Id="rId37" Type="http://schemas.openxmlformats.org/officeDocument/2006/relationships/hyperlink" Target="https://drive.google.com/open?id=148qLA213Flmg_T86ijQdjcXM8fjm_lIV" TargetMode="External"/><Relationship Id="rId36" Type="http://schemas.openxmlformats.org/officeDocument/2006/relationships/hyperlink" Target="https://drive.google.com/open?id=1DBE1LsTGla0XSo1dfygTjl2zksX7PB66" TargetMode="External"/><Relationship Id="rId39" Type="http://schemas.openxmlformats.org/officeDocument/2006/relationships/hyperlink" Target="https://drive.google.com/open?id=11YyDCYWAkpg6_D0yRK9CCGifwliUfl3y" TargetMode="External"/><Relationship Id="rId38" Type="http://schemas.openxmlformats.org/officeDocument/2006/relationships/hyperlink" Target="https://drive.google.com/open?id=1tVp8BTxaxVelrxx_MzXZMDvJqKXw0D2J" TargetMode="External"/><Relationship Id="rId62" Type="http://schemas.openxmlformats.org/officeDocument/2006/relationships/hyperlink" Target="https://drive.google.com/open?id=14kdEQXLbk_b8yA-PzwSBKp2Y5QfIvk51" TargetMode="External"/><Relationship Id="rId61" Type="http://schemas.openxmlformats.org/officeDocument/2006/relationships/hyperlink" Target="https://drive.google.com/open?id=1x2swCNc0i4Le9AbuRPCFnBhyyh7Opsd4" TargetMode="External"/><Relationship Id="rId20" Type="http://schemas.openxmlformats.org/officeDocument/2006/relationships/hyperlink" Target="https://drive.google.com/open?id=1f55TvIgcACbOVtzDifSQh29yNxtvfpMR" TargetMode="External"/><Relationship Id="rId64" Type="http://schemas.openxmlformats.org/officeDocument/2006/relationships/hyperlink" Target="https://drive.google.com/open?id=1q3_nxhgQh8tQYPpN4oS0z6YH_Yhu3BpA" TargetMode="External"/><Relationship Id="rId63" Type="http://schemas.openxmlformats.org/officeDocument/2006/relationships/hyperlink" Target="https://drive.google.com/open?id=1CyoJEh39fqJaZfH7cLq1XSdMpR7ndbYh" TargetMode="External"/><Relationship Id="rId22" Type="http://schemas.openxmlformats.org/officeDocument/2006/relationships/hyperlink" Target="https://drive.google.com/open?id=1B_fytjiLaqwJ9Jq1XLA256E-sfG3dX1I" TargetMode="External"/><Relationship Id="rId66" Type="http://schemas.openxmlformats.org/officeDocument/2006/relationships/hyperlink" Target="https://drive.google.com/open?id=1T-QWUCO990qIEKJ8a3rh1smTticyB7Is" TargetMode="External"/><Relationship Id="rId21" Type="http://schemas.openxmlformats.org/officeDocument/2006/relationships/hyperlink" Target="https://drive.google.com/open?id=17UtJa1_XeJugNt5drM9fT-Mi4ChpYqcg" TargetMode="External"/><Relationship Id="rId65" Type="http://schemas.openxmlformats.org/officeDocument/2006/relationships/hyperlink" Target="https://drive.google.com/open?id=1aHRKj0W-s1WGFcE84_jAN84TU0t3SyeK" TargetMode="External"/><Relationship Id="rId24" Type="http://schemas.openxmlformats.org/officeDocument/2006/relationships/hyperlink" Target="https://drive.google.com/open?id=1h5GkjL4oqDEdXOPSlo2VXl5PbYXSuD0_" TargetMode="External"/><Relationship Id="rId68" Type="http://schemas.openxmlformats.org/officeDocument/2006/relationships/hyperlink" Target="https://drive.google.com/open?id=1Cn9Wlg8mY5U3P5ix7ApVxAX1IrgTj7LZ" TargetMode="External"/><Relationship Id="rId23" Type="http://schemas.openxmlformats.org/officeDocument/2006/relationships/hyperlink" Target="https://drive.google.com/open?id=17SvN8BGDSUG6EDcKK5ICoKgh1SCLurqx" TargetMode="External"/><Relationship Id="rId67" Type="http://schemas.openxmlformats.org/officeDocument/2006/relationships/hyperlink" Target="https://drive.google.com/open?id=1xwI82cOYj-LFMqdPh8UJacgEUIFULEtN" TargetMode="External"/><Relationship Id="rId60" Type="http://schemas.openxmlformats.org/officeDocument/2006/relationships/hyperlink" Target="https://drive.google.com/open?id=1JqJPiUOJZ_XgM9LsHevecOlMa0jWZ2AB" TargetMode="External"/><Relationship Id="rId26" Type="http://schemas.openxmlformats.org/officeDocument/2006/relationships/hyperlink" Target="https://drive.google.com/open?id=1KU5G2FWUYqfh3X1SbKmO96Cf887wsDki" TargetMode="External"/><Relationship Id="rId25" Type="http://schemas.openxmlformats.org/officeDocument/2006/relationships/hyperlink" Target="https://drive.google.com/open?id=1Zp4xKrGZdRDhpGuqMPfjRFelPBJlXB-i" TargetMode="External"/><Relationship Id="rId69" Type="http://schemas.openxmlformats.org/officeDocument/2006/relationships/hyperlink" Target="https://drive.google.com/open?id=1tJmbW5fTZ0Wyfl9lJ33cqXJx7GyUaYAn" TargetMode="External"/><Relationship Id="rId28" Type="http://schemas.openxmlformats.org/officeDocument/2006/relationships/hyperlink" Target="https://drive.google.com/open?id=1Pm3ZOmTZXkX2ra2eP9Fi1-EethvrVKFM" TargetMode="External"/><Relationship Id="rId27" Type="http://schemas.openxmlformats.org/officeDocument/2006/relationships/hyperlink" Target="https://drive.google.com/open?id=19L1KdU0_FgQZy4Mp5hBAoozye74hH8BK" TargetMode="External"/><Relationship Id="rId29" Type="http://schemas.openxmlformats.org/officeDocument/2006/relationships/hyperlink" Target="https://drive.google.com/open?id=19F0-iidVGfvUozHAQLqLzFYKTX88nRe8" TargetMode="External"/><Relationship Id="rId51" Type="http://schemas.openxmlformats.org/officeDocument/2006/relationships/hyperlink" Target="https://drive.google.com/open?id=1HAS_Hf57sLEbam77E517GGOAHGgc5AWJ" TargetMode="External"/><Relationship Id="rId50" Type="http://schemas.openxmlformats.org/officeDocument/2006/relationships/hyperlink" Target="https://drive.google.com/open?id=1qYLm8EbDuWdaycySzW7HInG9L6bZymrK" TargetMode="External"/><Relationship Id="rId53" Type="http://schemas.openxmlformats.org/officeDocument/2006/relationships/hyperlink" Target="https://drive.google.com/open?id=1r2jaSx0aLgon9BV9MSIiS-j4J0lkJCv-" TargetMode="External"/><Relationship Id="rId52" Type="http://schemas.openxmlformats.org/officeDocument/2006/relationships/hyperlink" Target="https://drive.google.com/open?id=1xbNf9tgf03coROJ-sFIlQjWPhikL9-5e" TargetMode="External"/><Relationship Id="rId11" Type="http://schemas.openxmlformats.org/officeDocument/2006/relationships/hyperlink" Target="https://drive.google.com/open?id=16qHfwy9EVK_GyrJcrmpVuXSs0iCHA_7b" TargetMode="External"/><Relationship Id="rId55" Type="http://schemas.openxmlformats.org/officeDocument/2006/relationships/hyperlink" Target="https://drive.google.com/open?id=1uN_LGrib4GHbiCtshz-balED_3joU08F" TargetMode="External"/><Relationship Id="rId10" Type="http://schemas.openxmlformats.org/officeDocument/2006/relationships/hyperlink" Target="https://drive.google.com/open?id=1dHfNtQG2ujS9_i6RWn-r8TCRj5cKB-0m" TargetMode="External"/><Relationship Id="rId54" Type="http://schemas.openxmlformats.org/officeDocument/2006/relationships/hyperlink" Target="https://drive.google.com/open?id=1gsbTlaIZbz9nf0AGRhlANctIILed8Biw" TargetMode="External"/><Relationship Id="rId13" Type="http://schemas.openxmlformats.org/officeDocument/2006/relationships/hyperlink" Target="https://drive.google.com/open?id=1NvJwZvXEofpU7OAK04xB0NsI8icz_ZOO" TargetMode="External"/><Relationship Id="rId57" Type="http://schemas.openxmlformats.org/officeDocument/2006/relationships/hyperlink" Target="https://drive.google.com/open?id=1skYGZAbBuhHgOwylcy8SfPGmgK4SBjYn" TargetMode="External"/><Relationship Id="rId12" Type="http://schemas.openxmlformats.org/officeDocument/2006/relationships/hyperlink" Target="https://drive.google.com/open?id=1ERcpR6ynHjYD3hJ52Lf53xlU6lYCSTMR" TargetMode="External"/><Relationship Id="rId56" Type="http://schemas.openxmlformats.org/officeDocument/2006/relationships/hyperlink" Target="https://drive.google.com/open?id=1m3mDoNXWEN-LDVIacozZJYu-2ol7rIjY" TargetMode="External"/><Relationship Id="rId91" Type="http://schemas.openxmlformats.org/officeDocument/2006/relationships/hyperlink" Target="https://drive.google.com/open?id=1lO7dflmARpiWwFHaFm5Q8NUrchlKpC-x" TargetMode="External"/><Relationship Id="rId90" Type="http://schemas.openxmlformats.org/officeDocument/2006/relationships/hyperlink" Target="https://drive.google.com/open?id=1g8-o78IgXXXalCfeJLyqW0eMpiNdTdfx" TargetMode="External"/><Relationship Id="rId93" Type="http://schemas.openxmlformats.org/officeDocument/2006/relationships/drawing" Target="../drawings/drawing1.xml"/><Relationship Id="rId92" Type="http://schemas.openxmlformats.org/officeDocument/2006/relationships/hyperlink" Target="https://drive.google.com/open?id=1SdU6YH1B-SIFRYKp0gwsDo9xgQlaJKs3" TargetMode="External"/><Relationship Id="rId15" Type="http://schemas.openxmlformats.org/officeDocument/2006/relationships/hyperlink" Target="https://drive.google.com/open?id=10HDAoSu0yho0WG7vcSuuRumLpM3Ukv5B" TargetMode="External"/><Relationship Id="rId59" Type="http://schemas.openxmlformats.org/officeDocument/2006/relationships/hyperlink" Target="https://drive.google.com/open?id=1IB2TYsT_51ztCy7GB47gsWAraPZj6k1l" TargetMode="External"/><Relationship Id="rId14" Type="http://schemas.openxmlformats.org/officeDocument/2006/relationships/hyperlink" Target="https://drive.google.com/open?id=1Gj7WDQzHm5DHR0mcu0SEDCMVpdX_Nxa5" TargetMode="External"/><Relationship Id="rId58" Type="http://schemas.openxmlformats.org/officeDocument/2006/relationships/hyperlink" Target="https://drive.google.com/open?id=1Sx9Ki-ff-Ije8X3CRq9q0QQaNgry_KTT" TargetMode="External"/><Relationship Id="rId17" Type="http://schemas.openxmlformats.org/officeDocument/2006/relationships/hyperlink" Target="https://drive.google.com/open?id=1fRQF-2yt0kMNmaQ0mvNClhsNfAWWDZor" TargetMode="External"/><Relationship Id="rId16" Type="http://schemas.openxmlformats.org/officeDocument/2006/relationships/hyperlink" Target="https://drive.google.com/open?id=1eG2y-XELkPYD6Mq2JGM2el8W5W7xtamf" TargetMode="External"/><Relationship Id="rId19" Type="http://schemas.openxmlformats.org/officeDocument/2006/relationships/hyperlink" Target="https://drive.google.com/open?id=13ZKv1FtuGxzx6Fwkavjzx9HaByry8p74" TargetMode="External"/><Relationship Id="rId18" Type="http://schemas.openxmlformats.org/officeDocument/2006/relationships/hyperlink" Target="https://drive.google.com/open?id=1x7EoN8QoDyuoM5pa0WIQDjW4O0_PBhCx"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open?id=1xFwNI4CWBL5d8K_TP6RLQcBTo2biR-pj" TargetMode="External"/><Relationship Id="rId42" Type="http://schemas.openxmlformats.org/officeDocument/2006/relationships/hyperlink" Target="https://drive.google.com/open?id=13gBtWrByU70bxeYJZjyNnGVZiygll_jX" TargetMode="External"/><Relationship Id="rId41" Type="http://schemas.openxmlformats.org/officeDocument/2006/relationships/hyperlink" Target="https://drive.google.com/open?id=1K9pHNjjTtcT0CpLxHdSN64vrloPBGOgd" TargetMode="External"/><Relationship Id="rId44" Type="http://schemas.openxmlformats.org/officeDocument/2006/relationships/hyperlink" Target="https://drive.google.com/open?id=1fE0xTMVjqt_rjUes1vdrK2hlVcYmJwod" TargetMode="External"/><Relationship Id="rId43" Type="http://schemas.openxmlformats.org/officeDocument/2006/relationships/hyperlink" Target="https://drive.google.com/open?id=1VGFD6HYifj9xvoztFkvdQcHq9AXB84nA" TargetMode="External"/><Relationship Id="rId46" Type="http://schemas.openxmlformats.org/officeDocument/2006/relationships/hyperlink" Target="https://drive.google.com/open?id=1NwG__P2OWP_R25FjJlXPY18tgz_nQ9OW" TargetMode="External"/><Relationship Id="rId45" Type="http://schemas.openxmlformats.org/officeDocument/2006/relationships/hyperlink" Target="https://drive.google.com/open?id=110BGBM4fClO1qcCuwMfu-Eje_txWG7Xl" TargetMode="External"/><Relationship Id="rId1" Type="http://schemas.openxmlformats.org/officeDocument/2006/relationships/hyperlink" Target="https://drive.google.com/open?id=1bGkNvalrbXlotb0PgaWlpfGdkOCaRW1t" TargetMode="External"/><Relationship Id="rId2" Type="http://schemas.openxmlformats.org/officeDocument/2006/relationships/hyperlink" Target="https://drive.google.com/open?id=1-rQUoUQoHhWK3dnyTjakg_2vA_8xyxIp" TargetMode="External"/><Relationship Id="rId3" Type="http://schemas.openxmlformats.org/officeDocument/2006/relationships/hyperlink" Target="https://drive.google.com/open?id=1ImNOQfzQSONyNBpTmBb-J48NZ_lGt3Gm" TargetMode="External"/><Relationship Id="rId4" Type="http://schemas.openxmlformats.org/officeDocument/2006/relationships/hyperlink" Target="https://drive.google.com/open?id=1xRmQuL9k6QJU710LbdX1VYICXDKxlatt" TargetMode="External"/><Relationship Id="rId9" Type="http://schemas.openxmlformats.org/officeDocument/2006/relationships/hyperlink" Target="https://drive.google.com/open?id=1h7KAfU18BZ210dJqqaNIoDqLLViituot" TargetMode="External"/><Relationship Id="rId48" Type="http://schemas.openxmlformats.org/officeDocument/2006/relationships/hyperlink" Target="https://drive.google.com/open?id=1L2V4Rq_ZgxOERpF6CQCtOT7OkwtVha7b" TargetMode="External"/><Relationship Id="rId47" Type="http://schemas.openxmlformats.org/officeDocument/2006/relationships/hyperlink" Target="https://drive.google.com/open?id=138hL52xOObVRklAPTEQtkSQM1XkDMDBq" TargetMode="External"/><Relationship Id="rId49" Type="http://schemas.openxmlformats.org/officeDocument/2006/relationships/hyperlink" Target="https://drive.google.com/open?id=1euwemFaQb3dIBbMtlUbn2fVlb_AbPDdv" TargetMode="External"/><Relationship Id="rId5" Type="http://schemas.openxmlformats.org/officeDocument/2006/relationships/hyperlink" Target="https://drive.google.com/open?id=146wfbiTD9iPgkJ7ZSWSFlvPH0xkkBe64" TargetMode="External"/><Relationship Id="rId6" Type="http://schemas.openxmlformats.org/officeDocument/2006/relationships/hyperlink" Target="https://drive.google.com/open?id=1uTwXj46gWjx9tyNPU7irc9ZyE6fTZBlz" TargetMode="External"/><Relationship Id="rId7" Type="http://schemas.openxmlformats.org/officeDocument/2006/relationships/hyperlink" Target="https://drive.google.com/open?id=1TVxL906HT3oeh_iCUm6MWkhVWZj3iW47" TargetMode="External"/><Relationship Id="rId8" Type="http://schemas.openxmlformats.org/officeDocument/2006/relationships/hyperlink" Target="https://drive.google.com/open?id=1niutG3kqiO9pAXzX8MUgFXpBnjjTOWWI" TargetMode="External"/><Relationship Id="rId31" Type="http://schemas.openxmlformats.org/officeDocument/2006/relationships/hyperlink" Target="https://drive.google.com/open?id=1K_6n9FvW6_vUUU_iQ1DaxWr4n6gKlFib" TargetMode="External"/><Relationship Id="rId30" Type="http://schemas.openxmlformats.org/officeDocument/2006/relationships/hyperlink" Target="https://drive.google.com/open?id=1-6FkYZ0UJNFidaooxXFJb29LQGUI2FVQ" TargetMode="External"/><Relationship Id="rId33" Type="http://schemas.openxmlformats.org/officeDocument/2006/relationships/hyperlink" Target="https://drive.google.com/open?id=1YvyvO9Ih1l7OsBLsLDUAkeC50bcVlgGj" TargetMode="External"/><Relationship Id="rId32" Type="http://schemas.openxmlformats.org/officeDocument/2006/relationships/hyperlink" Target="https://drive.google.com/open?id=1n-XHzn6dTBHR6uCzzue0z5A7ru0Oj83Z" TargetMode="External"/><Relationship Id="rId35" Type="http://schemas.openxmlformats.org/officeDocument/2006/relationships/hyperlink" Target="https://drive.google.com/open?id=1fDEzeH4LsnPhORUlJHeKDwuCzGGNXU_S" TargetMode="External"/><Relationship Id="rId34" Type="http://schemas.openxmlformats.org/officeDocument/2006/relationships/hyperlink" Target="https://drive.google.com/open?id=1WEsvQNCWrbEE1OlMgNfs8uFJI3p2xUOx" TargetMode="External"/><Relationship Id="rId37" Type="http://schemas.openxmlformats.org/officeDocument/2006/relationships/hyperlink" Target="https://drive.google.com/open?id=13Z5cEUAAP7PBIBVFDmy_hGHGAQ-d_IT5" TargetMode="External"/><Relationship Id="rId36" Type="http://schemas.openxmlformats.org/officeDocument/2006/relationships/hyperlink" Target="https://drive.google.com/open?id=1YUkUtc1pZSdFq9vJ4s-PXY6wdaw5sv3W" TargetMode="External"/><Relationship Id="rId39" Type="http://schemas.openxmlformats.org/officeDocument/2006/relationships/hyperlink" Target="https://drive.google.com/open?id=1WStdRmqWV70FM8bg29PQsfYjroJtP1wu" TargetMode="External"/><Relationship Id="rId38" Type="http://schemas.openxmlformats.org/officeDocument/2006/relationships/hyperlink" Target="https://drive.google.com/open?id=1UhcPwF3taIAT8Kf-QXZvgmzztYmiprRo" TargetMode="External"/><Relationship Id="rId61" Type="http://schemas.openxmlformats.org/officeDocument/2006/relationships/drawing" Target="../drawings/drawing2.xml"/><Relationship Id="rId20" Type="http://schemas.openxmlformats.org/officeDocument/2006/relationships/hyperlink" Target="https://drive.google.com/open?id=1G6sNUr-2x3A9CRQ_d1Q4N5F_Whn28gva" TargetMode="External"/><Relationship Id="rId22" Type="http://schemas.openxmlformats.org/officeDocument/2006/relationships/hyperlink" Target="https://drive.google.com/open?id=1NjE_oOf3hbp2LC1sG8RYjx8QCWXLgE_Y" TargetMode="External"/><Relationship Id="rId21" Type="http://schemas.openxmlformats.org/officeDocument/2006/relationships/hyperlink" Target="https://drive.google.com/open?id=1YbKArd4OOt5lPFdkuVxqF9WpwJ86BcW3" TargetMode="External"/><Relationship Id="rId24" Type="http://schemas.openxmlformats.org/officeDocument/2006/relationships/hyperlink" Target="https://drive.google.com/open?id=1qHqVGQCTvzzcc80zjfW-jed_g8TAwTjd" TargetMode="External"/><Relationship Id="rId23" Type="http://schemas.openxmlformats.org/officeDocument/2006/relationships/hyperlink" Target="https://drive.google.com/open?id=19aGuLQPNyX03pmWkvyGGda69zNdoAMwR" TargetMode="External"/><Relationship Id="rId60" Type="http://schemas.openxmlformats.org/officeDocument/2006/relationships/hyperlink" Target="https://drive.google.com/open?id=1GjnHxWanF5riPR4e7OpH8V9oN6podOrY" TargetMode="External"/><Relationship Id="rId26" Type="http://schemas.openxmlformats.org/officeDocument/2006/relationships/hyperlink" Target="https://drive.google.com/open?id=1WuNNN0lHM0FJlw0e39U73HPsTE_fsFPZ" TargetMode="External"/><Relationship Id="rId25" Type="http://schemas.openxmlformats.org/officeDocument/2006/relationships/hyperlink" Target="https://drive.google.com/open?id=1IzI0YyS0YGZ7xrGEWhcL707gQrpVrGhY" TargetMode="External"/><Relationship Id="rId28" Type="http://schemas.openxmlformats.org/officeDocument/2006/relationships/hyperlink" Target="https://drive.google.com/open?id=12AsP76wTNU_4wCpAo4kFXdqa9AdOGrIi" TargetMode="External"/><Relationship Id="rId27" Type="http://schemas.openxmlformats.org/officeDocument/2006/relationships/hyperlink" Target="https://drive.google.com/open?id=1KQZQPwYmjQ94q0yxM_Os44zVbOGwe6ws" TargetMode="External"/><Relationship Id="rId29" Type="http://schemas.openxmlformats.org/officeDocument/2006/relationships/hyperlink" Target="https://drive.google.com/open?id=1AaDdIU9fWWCWo-VYgBEAV_v6RRbAfPqS" TargetMode="External"/><Relationship Id="rId51" Type="http://schemas.openxmlformats.org/officeDocument/2006/relationships/hyperlink" Target="https://drive.google.com/open?id=12ysAPTLd7k2TpuuwGH5njn7chruio9Ra" TargetMode="External"/><Relationship Id="rId50" Type="http://schemas.openxmlformats.org/officeDocument/2006/relationships/hyperlink" Target="https://drive.google.com/open?id=1qY6Lzk5Qe-F_WxE6UIRRd_s5pxf-iw_L" TargetMode="External"/><Relationship Id="rId53" Type="http://schemas.openxmlformats.org/officeDocument/2006/relationships/hyperlink" Target="https://drive.google.com/open?id=1WYTeHDTrUOZxOqL622JGhU7yfgGMthFE" TargetMode="External"/><Relationship Id="rId52" Type="http://schemas.openxmlformats.org/officeDocument/2006/relationships/hyperlink" Target="https://drive.google.com/open?id=1YBIr-xZeIUTrfWowy1J4stkn-ghcBgTT" TargetMode="External"/><Relationship Id="rId11" Type="http://schemas.openxmlformats.org/officeDocument/2006/relationships/hyperlink" Target="https://drive.google.com/open?id=1gqQg5cZWkaeS222xoYag64bRmw-7GN8L" TargetMode="External"/><Relationship Id="rId55" Type="http://schemas.openxmlformats.org/officeDocument/2006/relationships/hyperlink" Target="https://drive.google.com/open?id=1g5La_6rsZKR8gpWQ4DIFBIfHFPkIDXHO" TargetMode="External"/><Relationship Id="rId10" Type="http://schemas.openxmlformats.org/officeDocument/2006/relationships/hyperlink" Target="https://drive.google.com/open?id=1tTlFa1ZRhJI1DGrSEmuSql-9qPo4W2YS" TargetMode="External"/><Relationship Id="rId54" Type="http://schemas.openxmlformats.org/officeDocument/2006/relationships/hyperlink" Target="https://drive.google.com/open?id=1gzUR9hEyD2kbXVIvYc0nHPlONLbFleFZ" TargetMode="External"/><Relationship Id="rId13" Type="http://schemas.openxmlformats.org/officeDocument/2006/relationships/hyperlink" Target="https://drive.google.com/open?id=1-OVkQBHLjmiJv7LANkMQeml1YIVy5PtH" TargetMode="External"/><Relationship Id="rId57" Type="http://schemas.openxmlformats.org/officeDocument/2006/relationships/hyperlink" Target="https://drive.google.com/open?id=1gxnKPJk9JR0W0gksnvMtti_aM1wdzY8s" TargetMode="External"/><Relationship Id="rId12" Type="http://schemas.openxmlformats.org/officeDocument/2006/relationships/hyperlink" Target="https://drive.google.com/open?id=10UzandNp0jqzquLh7c2sXhIOe3UXeeEQ" TargetMode="External"/><Relationship Id="rId56" Type="http://schemas.openxmlformats.org/officeDocument/2006/relationships/hyperlink" Target="https://drive.google.com/open?id=1Msa4pWfd8tsQsz1zQjfRLOKqsuuDfnUS" TargetMode="External"/><Relationship Id="rId15" Type="http://schemas.openxmlformats.org/officeDocument/2006/relationships/hyperlink" Target="https://drive.google.com/open?id=1BhBafmFg2a6XTqQiZj8cwCBEX8rYAka7" TargetMode="External"/><Relationship Id="rId59" Type="http://schemas.openxmlformats.org/officeDocument/2006/relationships/hyperlink" Target="https://drive.google.com/open?id=1YM8pYrU5NmwZllKLnoFXMWO2YBcSuoFa" TargetMode="External"/><Relationship Id="rId14" Type="http://schemas.openxmlformats.org/officeDocument/2006/relationships/hyperlink" Target="https://drive.google.com/open?id=1HzeDKroV1otIUqXkOTVkPTLkZqxFqp5Q" TargetMode="External"/><Relationship Id="rId58" Type="http://schemas.openxmlformats.org/officeDocument/2006/relationships/hyperlink" Target="https://drive.google.com/open?id=1rN5gSsgNCbPWp5q_IywwH1P56DKwC_S2" TargetMode="External"/><Relationship Id="rId17" Type="http://schemas.openxmlformats.org/officeDocument/2006/relationships/hyperlink" Target="https://drive.google.com/open?id=1yOvy0njYq8Sz0_I1sR2R-EpW1RtACXzr" TargetMode="External"/><Relationship Id="rId16" Type="http://schemas.openxmlformats.org/officeDocument/2006/relationships/hyperlink" Target="https://drive.google.com/open?id=1OnHDyUsoMhN567fTy37v3Nz6gZgIufzM" TargetMode="External"/><Relationship Id="rId19" Type="http://schemas.openxmlformats.org/officeDocument/2006/relationships/hyperlink" Target="https://drive.google.com/open?id=1CB6_TF-kwldSYk2bwTJe8MD0AiFbVyCE" TargetMode="External"/><Relationship Id="rId18" Type="http://schemas.openxmlformats.org/officeDocument/2006/relationships/hyperlink" Target="https://drive.google.com/open?id=1z1BTSC0q1qfawQkPiJfA-XM4rHlHsE4N"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open?id=17z0tFciNcwKAnoGs23goASj5LzfjumsV" TargetMode="External"/><Relationship Id="rId2" Type="http://schemas.openxmlformats.org/officeDocument/2006/relationships/hyperlink" Target="https://drive.google.com/open?id=1yQtlSkyc8C7uI9_CLD06JzhFNe7V5sKo" TargetMode="External"/><Relationship Id="rId3" Type="http://schemas.openxmlformats.org/officeDocument/2006/relationships/hyperlink" Target="https://drive.google.com/open?id=1dOc9Go5HBtJRn3tA927RL6nd15qewMXe" TargetMode="External"/><Relationship Id="rId4" Type="http://schemas.openxmlformats.org/officeDocument/2006/relationships/hyperlink" Target="https://drive.google.com/open?id=1XXsMcN0ZvyGompyleRBducoDNel5LHei" TargetMode="External"/><Relationship Id="rId9" Type="http://schemas.openxmlformats.org/officeDocument/2006/relationships/hyperlink" Target="https://drive.google.com/open?id=1h7l2qL6BpfEF0OmYRDuqkW0Kt7fX7lTe" TargetMode="External"/><Relationship Id="rId5" Type="http://schemas.openxmlformats.org/officeDocument/2006/relationships/hyperlink" Target="https://drive.google.com/open?id=11usqvz0tN8TA9QL3z30joFgEtVXbAtsc" TargetMode="External"/><Relationship Id="rId6" Type="http://schemas.openxmlformats.org/officeDocument/2006/relationships/hyperlink" Target="https://drive.google.com/open?id=1q8X6llQTrIP4Z4USj_4ZCOneNKRx7Qyl" TargetMode="External"/><Relationship Id="rId7" Type="http://schemas.openxmlformats.org/officeDocument/2006/relationships/hyperlink" Target="https://drive.google.com/open?id=1gxSo7wZKLlEeq77x95wBF_MmSGHbrAHC" TargetMode="External"/><Relationship Id="rId8" Type="http://schemas.openxmlformats.org/officeDocument/2006/relationships/hyperlink" Target="https://drive.google.com/open?id=1_FXmWB9Y8Azy-2L05HuaICEV1q-1kIfE" TargetMode="External"/><Relationship Id="rId31" Type="http://schemas.openxmlformats.org/officeDocument/2006/relationships/hyperlink" Target="https://drive.google.com/open?id=1_smIL8AqRvSRCdJqwkEkYV7uHbWOELXq" TargetMode="External"/><Relationship Id="rId30" Type="http://schemas.openxmlformats.org/officeDocument/2006/relationships/hyperlink" Target="https://drive.google.com/open?id=1oMSghvJqbWu31iXqYIO2VSZql9mt_XJg" TargetMode="External"/><Relationship Id="rId32" Type="http://schemas.openxmlformats.org/officeDocument/2006/relationships/drawing" Target="../drawings/drawing3.xml"/><Relationship Id="rId20" Type="http://schemas.openxmlformats.org/officeDocument/2006/relationships/hyperlink" Target="https://drive.google.com/open?id=18JICNUJ1lk4orpqyWffqxvDsYZHmMKAK" TargetMode="External"/><Relationship Id="rId22" Type="http://schemas.openxmlformats.org/officeDocument/2006/relationships/hyperlink" Target="https://drive.google.com/open?id=19f-3J6-CpJ2PTSMEQq3c3PAewnnyhkrW" TargetMode="External"/><Relationship Id="rId21" Type="http://schemas.openxmlformats.org/officeDocument/2006/relationships/hyperlink" Target="https://drive.google.com/open?id=17U9e0SG43iHblfjEfcaJXHZt4Aofj1Jy" TargetMode="External"/><Relationship Id="rId24" Type="http://schemas.openxmlformats.org/officeDocument/2006/relationships/hyperlink" Target="https://drive.google.com/open?id=19k2rsvGGHZpg9mLUebe_WDc_6altOQrS" TargetMode="External"/><Relationship Id="rId23" Type="http://schemas.openxmlformats.org/officeDocument/2006/relationships/hyperlink" Target="https://drive.google.com/open?id=1XeaZBWLFD1K_6aQnC5y5_nknfTMgjfUw" TargetMode="External"/><Relationship Id="rId26" Type="http://schemas.openxmlformats.org/officeDocument/2006/relationships/hyperlink" Target="https://drive.google.com/open?id=1Ffj32VKmc548fDAFHe0hXtuFw_7LFfTd" TargetMode="External"/><Relationship Id="rId25" Type="http://schemas.openxmlformats.org/officeDocument/2006/relationships/hyperlink" Target="https://drive.google.com/open?id=1h6-3hS_LSN7xm6ObGfPSc-sqcY12uF3n" TargetMode="External"/><Relationship Id="rId28" Type="http://schemas.openxmlformats.org/officeDocument/2006/relationships/hyperlink" Target="https://drive.google.com/open?id=1K8DDQvz45VLE8JsBNHHDvgOa8Q3yIyLB" TargetMode="External"/><Relationship Id="rId27" Type="http://schemas.openxmlformats.org/officeDocument/2006/relationships/hyperlink" Target="https://drive.google.com/open?id=1Gmeojykhqku9MVr8gSPuCuXoc_VGrdrL" TargetMode="External"/><Relationship Id="rId29" Type="http://schemas.openxmlformats.org/officeDocument/2006/relationships/hyperlink" Target="https://drive.google.com/open?id=1lDClnOfltYLhuovlD3pp0aAoSt2th-_O" TargetMode="External"/><Relationship Id="rId11" Type="http://schemas.openxmlformats.org/officeDocument/2006/relationships/hyperlink" Target="https://drive.google.com/open?id=1wmJFQpd94DdhdlQZ-6Ym4nGnOE-1Wr_s" TargetMode="External"/><Relationship Id="rId10" Type="http://schemas.openxmlformats.org/officeDocument/2006/relationships/hyperlink" Target="https://drive.google.com/open?id=1ibmdfsXAhMzfjcqdF0bRRdXYdKaaAKKA" TargetMode="External"/><Relationship Id="rId13" Type="http://schemas.openxmlformats.org/officeDocument/2006/relationships/hyperlink" Target="https://drive.google.com/open?id=1_HB6U9mrydWvQUwX3Uum94sj3ZCGf31E" TargetMode="External"/><Relationship Id="rId12" Type="http://schemas.openxmlformats.org/officeDocument/2006/relationships/hyperlink" Target="https://drive.google.com/open?id=1UbFYmHAmdjlpzpKOdVuY3v6KEmA56EBU" TargetMode="External"/><Relationship Id="rId15" Type="http://schemas.openxmlformats.org/officeDocument/2006/relationships/hyperlink" Target="https://drive.google.com/open?id=1ldZ2p4mjaGQ-BchV0Opzi2gOCewqcNBH" TargetMode="External"/><Relationship Id="rId14" Type="http://schemas.openxmlformats.org/officeDocument/2006/relationships/hyperlink" Target="https://drive.google.com/open?id=1sjrezyhgYHywONX0RREjNlqOSHUdPVyD" TargetMode="External"/><Relationship Id="rId17" Type="http://schemas.openxmlformats.org/officeDocument/2006/relationships/hyperlink" Target="https://drive.google.com/open?id=1WdPXWnRcptsJBxzegSr10mjD3m4W1f9p" TargetMode="External"/><Relationship Id="rId16" Type="http://schemas.openxmlformats.org/officeDocument/2006/relationships/hyperlink" Target="https://drive.google.com/open?id=1T0hjS_SCCjsKRzfJ8opV8_bPLOSxbkIk" TargetMode="External"/><Relationship Id="rId19" Type="http://schemas.openxmlformats.org/officeDocument/2006/relationships/hyperlink" Target="https://drive.google.com/open?id=19vk6DPDPhCpgNBKkQ4vZSPj_CK_zS41V" TargetMode="External"/><Relationship Id="rId18" Type="http://schemas.openxmlformats.org/officeDocument/2006/relationships/hyperlink" Target="https://drive.google.com/open?id=1SMRCY1TvHPKNc9Z0GgrAEnBD86bdrU3d"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open?id=12GzmU5-0RYkDjesZNuVbBIpmBHHtLlT0" TargetMode="External"/><Relationship Id="rId2" Type="http://schemas.openxmlformats.org/officeDocument/2006/relationships/hyperlink" Target="https://drive.google.com/open?id=1gocB1BqJBu-yQCoPCRr4ybEwTDubxQ_M" TargetMode="External"/><Relationship Id="rId3" Type="http://schemas.openxmlformats.org/officeDocument/2006/relationships/hyperlink" Target="https://drive.google.com/open?id=1bJVq58l-pkkQP776ICjLiGZT9n3TL8UP" TargetMode="External"/><Relationship Id="rId4" Type="http://schemas.openxmlformats.org/officeDocument/2006/relationships/hyperlink" Target="https://drive.google.com/open?id=1LHEqxsbdHhk8HKLW9dY90LSWbaiMcdwi" TargetMode="External"/><Relationship Id="rId9" Type="http://schemas.openxmlformats.org/officeDocument/2006/relationships/hyperlink" Target="https://drive.google.com/open?id=1j8Mc4BUiYkEC1bV7e1TTIOwlJj3MRR19" TargetMode="External"/><Relationship Id="rId5" Type="http://schemas.openxmlformats.org/officeDocument/2006/relationships/hyperlink" Target="https://drive.google.com/open?id=18T5fVJ5ECL9UPunnQineFZj-WuJzok87" TargetMode="External"/><Relationship Id="rId6" Type="http://schemas.openxmlformats.org/officeDocument/2006/relationships/hyperlink" Target="https://drive.google.com/open?id=1dJneV7hTv_d49LQC5lghVBd8LVuccFDl" TargetMode="External"/><Relationship Id="rId7" Type="http://schemas.openxmlformats.org/officeDocument/2006/relationships/hyperlink" Target="https://drive.google.com/open?id=1LgYSKMmUOHwg1AkKrjy4V3N8ucrxIqVN" TargetMode="External"/><Relationship Id="rId8" Type="http://schemas.openxmlformats.org/officeDocument/2006/relationships/hyperlink" Target="https://drive.google.com/open?id=1qUSutblzUuIGVnZf3tKfhwGMeFumpyia" TargetMode="External"/><Relationship Id="rId20" Type="http://schemas.openxmlformats.org/officeDocument/2006/relationships/hyperlink" Target="https://drive.google.com/open?id=1RlXZoLcAQqEgIW0ZDAF8O90VsyDNoAO4" TargetMode="External"/><Relationship Id="rId22" Type="http://schemas.openxmlformats.org/officeDocument/2006/relationships/hyperlink" Target="https://drive.google.com/open?id=1Vbg1735KZuD5NGq2gjM_uNTzk5arC5D8" TargetMode="External"/><Relationship Id="rId21" Type="http://schemas.openxmlformats.org/officeDocument/2006/relationships/hyperlink" Target="https://drive.google.com/open?id=1JkMiMaUxmszB05ha0jibOvxK2inLXNYz" TargetMode="External"/><Relationship Id="rId24" Type="http://schemas.openxmlformats.org/officeDocument/2006/relationships/hyperlink" Target="https://drive.google.com/open?id=1vUdvm3SmYW5CDIfRoQvHFf7mnKbyJT8L" TargetMode="External"/><Relationship Id="rId23" Type="http://schemas.openxmlformats.org/officeDocument/2006/relationships/hyperlink" Target="https://drive.google.com/open?id=1HiwZ8QOzwnHI0Jze7uDCDQAlD2BfkpWP" TargetMode="External"/><Relationship Id="rId25" Type="http://schemas.openxmlformats.org/officeDocument/2006/relationships/drawing" Target="../drawings/drawing4.xml"/><Relationship Id="rId11" Type="http://schemas.openxmlformats.org/officeDocument/2006/relationships/hyperlink" Target="https://drive.google.com/open?id=19RNn1ItL7ZMnRXGfL1eR09ik8pbXBlVR" TargetMode="External"/><Relationship Id="rId10" Type="http://schemas.openxmlformats.org/officeDocument/2006/relationships/hyperlink" Target="https://drive.google.com/open?id=1yoN2Mrn6272PzFKJDZnpt0bIRmOROsrj" TargetMode="External"/><Relationship Id="rId13" Type="http://schemas.openxmlformats.org/officeDocument/2006/relationships/hyperlink" Target="https://drive.google.com/open?id=18cshckgzS3xNT-myDnrf0r1APu16S50u" TargetMode="External"/><Relationship Id="rId12" Type="http://schemas.openxmlformats.org/officeDocument/2006/relationships/hyperlink" Target="https://drive.google.com/open?id=18FLgy3Wj-M_Y8qTdjgiupJPuftkvMTZ5" TargetMode="External"/><Relationship Id="rId15" Type="http://schemas.openxmlformats.org/officeDocument/2006/relationships/hyperlink" Target="https://drive.google.com/open?id=1G6GWfi2nM_h9cZJF615uJUIk9mtVKWaX" TargetMode="External"/><Relationship Id="rId14" Type="http://schemas.openxmlformats.org/officeDocument/2006/relationships/hyperlink" Target="https://drive.google.com/open?id=1NFUcCmjdtp5Dd7P4iysXz0e4ncRZ4717" TargetMode="External"/><Relationship Id="rId17" Type="http://schemas.openxmlformats.org/officeDocument/2006/relationships/hyperlink" Target="https://drive.google.com/open?id=1oqJxOfOPPLM0wGAyb5aGPoM_0Mm3LRmr" TargetMode="External"/><Relationship Id="rId16" Type="http://schemas.openxmlformats.org/officeDocument/2006/relationships/hyperlink" Target="https://drive.google.com/open?id=1AgA5KifslLQcCYg5kg-0W66MoGDCclgr" TargetMode="External"/><Relationship Id="rId19" Type="http://schemas.openxmlformats.org/officeDocument/2006/relationships/hyperlink" Target="https://drive.google.com/open?id=1v5iRpXW4rSAEuzhEOSnQDWs6LlyI-glS" TargetMode="External"/><Relationship Id="rId18" Type="http://schemas.openxmlformats.org/officeDocument/2006/relationships/hyperlink" Target="https://drive.google.com/open?id=1JkMiMaUxmszB05ha0jibOvxK2inLXNYz"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open?id=12MPktb7q5cZ5BbCL5yNaWuqhLBx9KuNz" TargetMode="External"/><Relationship Id="rId2" Type="http://schemas.openxmlformats.org/officeDocument/2006/relationships/hyperlink" Target="https://drive.google.com/open?id=1fPkOWLT8wD35a59il71-6rfXlm6QvE7L" TargetMode="External"/><Relationship Id="rId3" Type="http://schemas.openxmlformats.org/officeDocument/2006/relationships/hyperlink" Target="https://drive.google.com/open?id=1JaUluQqnTWf3wOikVEOXR2zqWFm0csH9" TargetMode="External"/><Relationship Id="rId4" Type="http://schemas.openxmlformats.org/officeDocument/2006/relationships/hyperlink" Target="https://drive.google.com/open?id=18hrG1iEETAlNT5n9Ag0T4R0__oxW4jfg" TargetMode="External"/><Relationship Id="rId9" Type="http://schemas.openxmlformats.org/officeDocument/2006/relationships/hyperlink" Target="https://drive.google.com/open?id=18RSB7lsfUgnNvL09QG0LVpRZyod7BqpM" TargetMode="External"/><Relationship Id="rId5" Type="http://schemas.openxmlformats.org/officeDocument/2006/relationships/hyperlink" Target="https://drive.google.com/open?id=1Iwhdw70EW-5n6bN1VTmw3wUChjNk88-L" TargetMode="External"/><Relationship Id="rId6" Type="http://schemas.openxmlformats.org/officeDocument/2006/relationships/hyperlink" Target="https://drive.google.com/open?id=1XFd3bmSB4yV3RhRvdb8NR4eFFJVGC2U4" TargetMode="External"/><Relationship Id="rId7" Type="http://schemas.openxmlformats.org/officeDocument/2006/relationships/hyperlink" Target="https://drive.google.com/open?id=1lM-rbalK8lasQoob0tQZkadzBCTcnhZQ" TargetMode="External"/><Relationship Id="rId8" Type="http://schemas.openxmlformats.org/officeDocument/2006/relationships/hyperlink" Target="https://drive.google.com/open?id=1L0UG5Vw8bv9wrYdqsKzs8T3hTbHYDDX0" TargetMode="External"/><Relationship Id="rId20" Type="http://schemas.openxmlformats.org/officeDocument/2006/relationships/drawing" Target="../drawings/drawing5.xml"/><Relationship Id="rId11" Type="http://schemas.openxmlformats.org/officeDocument/2006/relationships/hyperlink" Target="https://drive.google.com/open?id=1v2IHwPp8QvGEYvZJPuzO6ad70iCXxeZ3" TargetMode="External"/><Relationship Id="rId10" Type="http://schemas.openxmlformats.org/officeDocument/2006/relationships/hyperlink" Target="https://drive.google.com/open?id=119sxogyfk1Jel6L9iEu3EuzFssDE0ve3" TargetMode="External"/><Relationship Id="rId13" Type="http://schemas.openxmlformats.org/officeDocument/2006/relationships/hyperlink" Target="https://drive.google.com/open?id=1raFLrV_-aLl4RYa4G5xRSs3K8uI6Kixj" TargetMode="External"/><Relationship Id="rId12" Type="http://schemas.openxmlformats.org/officeDocument/2006/relationships/hyperlink" Target="https://drive.google.com/open?id=1xw63NslSijVaN9kFg1RU18p2Z9pFQ-Hf" TargetMode="External"/><Relationship Id="rId15" Type="http://schemas.openxmlformats.org/officeDocument/2006/relationships/hyperlink" Target="https://drive.google.com/open?id=1w_38kNYNXr-yJOgp8x4B8lwFADp0DqSE" TargetMode="External"/><Relationship Id="rId14" Type="http://schemas.openxmlformats.org/officeDocument/2006/relationships/hyperlink" Target="https://drive.google.com/open?id=1cpL-SXYFKrh2K0BRtHnrTUOfVV6R-Eow" TargetMode="External"/><Relationship Id="rId17" Type="http://schemas.openxmlformats.org/officeDocument/2006/relationships/hyperlink" Target="https://drive.google.com/open?id=1QtBSCxfIT_BZbMEdIweoesliB5Xlg-BJ" TargetMode="External"/><Relationship Id="rId16" Type="http://schemas.openxmlformats.org/officeDocument/2006/relationships/hyperlink" Target="https://drive.google.com/open?id=1xkinmq5Fsd5nEUfvpSSnf907GUCUDeZl" TargetMode="External"/><Relationship Id="rId19" Type="http://schemas.openxmlformats.org/officeDocument/2006/relationships/hyperlink" Target="https://drive.google.com/open?id=1-Elr4Ye_VC3ONTu07I0wE-FZ4Ih8Ap2O" TargetMode="External"/><Relationship Id="rId18" Type="http://schemas.openxmlformats.org/officeDocument/2006/relationships/hyperlink" Target="https://drive.google.com/open?id=1pDneqTpUAUyaSGVDS3IbEdwzjUUYSzCa"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drive.google.com/open?id=1oVSfqybXElg_A6l_pt9esIOVKQSO-PMt" TargetMode="External"/><Relationship Id="rId42" Type="http://schemas.openxmlformats.org/officeDocument/2006/relationships/hyperlink" Target="https://drive.google.com/open?id=1h9g9vsuxbZL62IHYPB0lZ9F4QQ8qu_8R" TargetMode="External"/><Relationship Id="rId41" Type="http://schemas.openxmlformats.org/officeDocument/2006/relationships/hyperlink" Target="https://drive.google.com/open?id=1hlL-rZKvRiWTxUfFZv0_2lGBn5SNEyQ5" TargetMode="External"/><Relationship Id="rId44" Type="http://schemas.openxmlformats.org/officeDocument/2006/relationships/hyperlink" Target="https://drive.google.com/open?id=1OshriKIA7Ku6idPR8iRiOOrW18H_cwU7" TargetMode="External"/><Relationship Id="rId43" Type="http://schemas.openxmlformats.org/officeDocument/2006/relationships/hyperlink" Target="https://drive.google.com/open?id=1TUtO7EVcrodfGeevlVSZy9KrOaHGJ7bB" TargetMode="External"/><Relationship Id="rId46" Type="http://schemas.openxmlformats.org/officeDocument/2006/relationships/drawing" Target="../drawings/drawing6.xml"/><Relationship Id="rId45" Type="http://schemas.openxmlformats.org/officeDocument/2006/relationships/hyperlink" Target="https://drive.google.com/open?id=1ut5-SR75CoZqVjhybECUf3hoGwTBk9WG" TargetMode="External"/><Relationship Id="rId1" Type="http://schemas.openxmlformats.org/officeDocument/2006/relationships/hyperlink" Target="https://drive.google.com/open?id=1ETFF445Q4i0NyZXVoVrUFyJmQpBXG5Vf" TargetMode="External"/><Relationship Id="rId2" Type="http://schemas.openxmlformats.org/officeDocument/2006/relationships/hyperlink" Target="https://drive.google.com/open?id=1IvKb-9SlG9fSqd1Q6TMszKgrNPvDKgDn" TargetMode="External"/><Relationship Id="rId3" Type="http://schemas.openxmlformats.org/officeDocument/2006/relationships/hyperlink" Target="https://drive.google.com/open?id=1G4-VOVqGLl4jYRjtangTxuajiCYFzF3A" TargetMode="External"/><Relationship Id="rId4" Type="http://schemas.openxmlformats.org/officeDocument/2006/relationships/hyperlink" Target="https://drive.google.com/open?id=1MpMva_kx3JOsW_bU-I8e3KD1N9-UkSef" TargetMode="External"/><Relationship Id="rId9" Type="http://schemas.openxmlformats.org/officeDocument/2006/relationships/hyperlink" Target="https://drive.google.com/open?id=1LkgG0KhsJaP4W9N3xZ0jCi3Dp8bXDFbR" TargetMode="External"/><Relationship Id="rId5" Type="http://schemas.openxmlformats.org/officeDocument/2006/relationships/hyperlink" Target="https://drive.google.com/open?id=1aGQzdxYzfw3mCE6r0EA7GnRZ6XoiC3pr" TargetMode="External"/><Relationship Id="rId6" Type="http://schemas.openxmlformats.org/officeDocument/2006/relationships/hyperlink" Target="https://drive.google.com/open?id=129ttUEbA_E4oXBdblO_BnbuI7wb7Pe3v" TargetMode="External"/><Relationship Id="rId7" Type="http://schemas.openxmlformats.org/officeDocument/2006/relationships/hyperlink" Target="https://drive.google.com/open?id=1x_cl4Dqouot4YHMP25_EPXsshPPmr7WE" TargetMode="External"/><Relationship Id="rId8" Type="http://schemas.openxmlformats.org/officeDocument/2006/relationships/hyperlink" Target="https://drive.google.com/open?id=12GiNF_miLHW8tWgG07I8rEgkn9_yezYX" TargetMode="External"/><Relationship Id="rId31" Type="http://schemas.openxmlformats.org/officeDocument/2006/relationships/hyperlink" Target="https://drive.google.com/open?id=1Gw-_zPGNA-iRw6o9dydw1ht_nhWzMeRq" TargetMode="External"/><Relationship Id="rId30" Type="http://schemas.openxmlformats.org/officeDocument/2006/relationships/hyperlink" Target="https://drive.google.com/open?id=1Dcc9k-6wL61-C6KcyZ2r9G89oXOWMNjW" TargetMode="External"/><Relationship Id="rId33" Type="http://schemas.openxmlformats.org/officeDocument/2006/relationships/hyperlink" Target="https://drive.google.com/open?id=1UBgaltOF840_nu8d5qfhNzbHUT4Guy_6" TargetMode="External"/><Relationship Id="rId32" Type="http://schemas.openxmlformats.org/officeDocument/2006/relationships/hyperlink" Target="https://drive.google.com/open?id=1Yj9VZTcPl-XHg898W0ccF9RWBUFo4xGs" TargetMode="External"/><Relationship Id="rId35" Type="http://schemas.openxmlformats.org/officeDocument/2006/relationships/hyperlink" Target="https://drive.google.com/open?id=1pfSP7ozlppobG6qYcK5qIBUjsFF89B8D" TargetMode="External"/><Relationship Id="rId34" Type="http://schemas.openxmlformats.org/officeDocument/2006/relationships/hyperlink" Target="https://drive.google.com/open?id=1yG9lAskAZE4n8S_OQBHTmsr6PdNw0bTn" TargetMode="External"/><Relationship Id="rId37" Type="http://schemas.openxmlformats.org/officeDocument/2006/relationships/hyperlink" Target="https://drive.google.com/open?id=1iipB5pDbtgVpDF0hghtZZKWX9YoiyHWb" TargetMode="External"/><Relationship Id="rId36" Type="http://schemas.openxmlformats.org/officeDocument/2006/relationships/hyperlink" Target="https://drive.google.com/open?id=1cWEYRMNrh7E_uMF916OOENlOJMwLJIYy" TargetMode="External"/><Relationship Id="rId39" Type="http://schemas.openxmlformats.org/officeDocument/2006/relationships/hyperlink" Target="https://drive.google.com/open?id=1QTyq_R-LbJ_VV7HY5yopYgAoIi1skbMS" TargetMode="External"/><Relationship Id="rId38" Type="http://schemas.openxmlformats.org/officeDocument/2006/relationships/hyperlink" Target="https://drive.google.com/open?id=1HJDL9egq43fCmvzVc6JtQA9jTVILthQY" TargetMode="External"/><Relationship Id="rId20" Type="http://schemas.openxmlformats.org/officeDocument/2006/relationships/hyperlink" Target="https://drive.google.com/open?id=1pRa3lsuH-rBV7RMkK3KPc26ZJRcGgjac" TargetMode="External"/><Relationship Id="rId22" Type="http://schemas.openxmlformats.org/officeDocument/2006/relationships/hyperlink" Target="https://drive.google.com/open?id=12lAVcUCjYiTLI1UdVS3HWMdw3JqvKTcZ" TargetMode="External"/><Relationship Id="rId21" Type="http://schemas.openxmlformats.org/officeDocument/2006/relationships/hyperlink" Target="https://drive.google.com/open?id=1UthlDJhxnT3HWlEQ4zaxVG_DJlr1EkHR" TargetMode="External"/><Relationship Id="rId24" Type="http://schemas.openxmlformats.org/officeDocument/2006/relationships/hyperlink" Target="https://drive.google.com/open?id=1fD9w_oOtCttF9zBcfGJB5zhXY4TT_-MZ" TargetMode="External"/><Relationship Id="rId23" Type="http://schemas.openxmlformats.org/officeDocument/2006/relationships/hyperlink" Target="https://drive.google.com/open?id=1-b9Rg8cXXG0FJjH7ZgDfeVe_Uybtr0pL" TargetMode="External"/><Relationship Id="rId26" Type="http://schemas.openxmlformats.org/officeDocument/2006/relationships/hyperlink" Target="https://drive.google.com/open?id=1zbYRSU9I31nufYgDXnKWHN_3BzR_95Xt" TargetMode="External"/><Relationship Id="rId25" Type="http://schemas.openxmlformats.org/officeDocument/2006/relationships/hyperlink" Target="https://drive.google.com/open?id=1KCpCEN5G8b9j6iWxR-pbo0d0Nbdss1tf" TargetMode="External"/><Relationship Id="rId28" Type="http://schemas.openxmlformats.org/officeDocument/2006/relationships/hyperlink" Target="https://drive.google.com/open?id=1vlH3dQ5mFIJnJmJdcdXsglTo-mJN5AG_" TargetMode="External"/><Relationship Id="rId27" Type="http://schemas.openxmlformats.org/officeDocument/2006/relationships/hyperlink" Target="https://drive.google.com/open?id=14hTeUNYeYCRrPemJAlpplkxgxZVN445c" TargetMode="External"/><Relationship Id="rId29" Type="http://schemas.openxmlformats.org/officeDocument/2006/relationships/hyperlink" Target="https://drive.google.com/open?id=1ZXAII0oYMcQF1xnMmkuPCp8CpHgTh2Jf" TargetMode="External"/><Relationship Id="rId11" Type="http://schemas.openxmlformats.org/officeDocument/2006/relationships/hyperlink" Target="https://drive.google.com/open?id=17QXz50j_Rk9PHGiM6_qkTxU2rXTKmcvx" TargetMode="External"/><Relationship Id="rId10" Type="http://schemas.openxmlformats.org/officeDocument/2006/relationships/hyperlink" Target="https://drive.google.com/open?id=1x70C02CE73_gu-REd9FbP_an-HKigsIo" TargetMode="External"/><Relationship Id="rId13" Type="http://schemas.openxmlformats.org/officeDocument/2006/relationships/hyperlink" Target="https://drive.google.com/open?id=159eQf3dHSzm8Jr8wZ5bIj29um9aLfjLN" TargetMode="External"/><Relationship Id="rId12" Type="http://schemas.openxmlformats.org/officeDocument/2006/relationships/hyperlink" Target="https://drive.google.com/open?id=1-BUrtYJEVzWYULO5fKKs4tGBLDegI7y5" TargetMode="External"/><Relationship Id="rId15" Type="http://schemas.openxmlformats.org/officeDocument/2006/relationships/hyperlink" Target="https://drive.google.com/open?id=1IU_mopxc0nqxH6XAphczVNvS5QWyUady" TargetMode="External"/><Relationship Id="rId14" Type="http://schemas.openxmlformats.org/officeDocument/2006/relationships/hyperlink" Target="https://drive.google.com/open?id=1aGR06B8eEl6eg5_LKU0KodiouI_Ep5Ua" TargetMode="External"/><Relationship Id="rId17" Type="http://schemas.openxmlformats.org/officeDocument/2006/relationships/hyperlink" Target="https://drive.google.com/open?id=1wocevw5UscA_JOzHIHgVeI7-Ltd9fqlF" TargetMode="External"/><Relationship Id="rId16" Type="http://schemas.openxmlformats.org/officeDocument/2006/relationships/hyperlink" Target="https://drive.google.com/open?id=1ZZDjFbbF7dAbDP1d8jnP728A-dF0lcj7" TargetMode="External"/><Relationship Id="rId19" Type="http://schemas.openxmlformats.org/officeDocument/2006/relationships/hyperlink" Target="https://drive.google.com/open?id=1Fm_Jj0RqxGnwOhFYLYNaupWGziV0jYbO" TargetMode="External"/><Relationship Id="rId18" Type="http://schemas.openxmlformats.org/officeDocument/2006/relationships/hyperlink" Target="https://drive.google.com/open?id=1tt40yLK50pNhagF8m7j6wACltl58_edq"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open?id=16HuWzCAPsx0Nf9tDw3NBFQXVbDw7QdH4" TargetMode="External"/><Relationship Id="rId2" Type="http://schemas.openxmlformats.org/officeDocument/2006/relationships/hyperlink" Target="https://drive.google.com/open?id=171FbacIbDfnFh7XLEsz5fZDXI3kKUnnD" TargetMode="External"/><Relationship Id="rId3" Type="http://schemas.openxmlformats.org/officeDocument/2006/relationships/hyperlink" Target="https://drive.google.com/open?id=1xnFoFUhaWdJFLNKy8S4zAWlyCuDereoY" TargetMode="External"/><Relationship Id="rId4" Type="http://schemas.openxmlformats.org/officeDocument/2006/relationships/hyperlink" Target="https://drive.google.com/open?id=15w5EBN2b81mqfKCdHcE2GF2cTpxMc9dB" TargetMode="External"/><Relationship Id="rId9" Type="http://schemas.openxmlformats.org/officeDocument/2006/relationships/hyperlink" Target="https://drive.google.com/open?id=1oFEITUceNn70SLtLyz5APtt9g3OgefMV" TargetMode="External"/><Relationship Id="rId5" Type="http://schemas.openxmlformats.org/officeDocument/2006/relationships/hyperlink" Target="https://drive.google.com/open?id=1ZR9kiHFQrUkJbFqctCL86Hiq7M9bPIFt" TargetMode="External"/><Relationship Id="rId6" Type="http://schemas.openxmlformats.org/officeDocument/2006/relationships/hyperlink" Target="https://drive.google.com/open?id=13w1Jx_PLJdp7pf2AF2mePzer-vxpAuG3" TargetMode="External"/><Relationship Id="rId7" Type="http://schemas.openxmlformats.org/officeDocument/2006/relationships/hyperlink" Target="https://drive.google.com/open?id=1wGfdstYGj5Xd-4iA8YU8F5J_Yhy_Xphv" TargetMode="External"/><Relationship Id="rId8" Type="http://schemas.openxmlformats.org/officeDocument/2006/relationships/hyperlink" Target="https://drive.google.com/open?id=1f2g4W1ybw3RdS8bOcmx_XCsGDVeCCfi7" TargetMode="External"/><Relationship Id="rId20" Type="http://schemas.openxmlformats.org/officeDocument/2006/relationships/hyperlink" Target="https://drive.google.com/open?id=19J1_DfrE4OPw14FOe2jaALJhjs_mebZe," TargetMode="External"/><Relationship Id="rId22" Type="http://schemas.openxmlformats.org/officeDocument/2006/relationships/hyperlink" Target="https://drive.google.com/open?id=13CjXO7wyIR91_oA9DZ2QHG7rTlffRaIY" TargetMode="External"/><Relationship Id="rId21" Type="http://schemas.openxmlformats.org/officeDocument/2006/relationships/hyperlink" Target="https://drive.google.com/open?id=12qn1M-HGlySMXPFDnYqXMMRJAKEd0w3U" TargetMode="External"/><Relationship Id="rId24" Type="http://schemas.openxmlformats.org/officeDocument/2006/relationships/hyperlink" Target="https://drive.google.com/open?id=1mUefjGLygw7KqDP_1NRX3KX_AXH6_3cP" TargetMode="External"/><Relationship Id="rId23" Type="http://schemas.openxmlformats.org/officeDocument/2006/relationships/hyperlink" Target="https://drive.google.com/open?id=1p1dS7H4ePJY6yoKSDcqpwl55spVedqmR" TargetMode="External"/><Relationship Id="rId26" Type="http://schemas.openxmlformats.org/officeDocument/2006/relationships/hyperlink" Target="https://drive.google.com/open?id=1kpXhBstj6LCVCAtf_rKIKEpvAYVa6kD8" TargetMode="External"/><Relationship Id="rId25" Type="http://schemas.openxmlformats.org/officeDocument/2006/relationships/hyperlink" Target="https://drive.google.com/open?id=1LBROwWrq6-HeNWW5yvtU2ZU1kQZTtuSu" TargetMode="External"/><Relationship Id="rId28" Type="http://schemas.openxmlformats.org/officeDocument/2006/relationships/hyperlink" Target="https://drive.google.com/open?id=1SSBfECiDc-Kq53c5X_4TIoLH5a1AeCIX" TargetMode="External"/><Relationship Id="rId27" Type="http://schemas.openxmlformats.org/officeDocument/2006/relationships/hyperlink" Target="https://drive.google.com/open?id=16nGQBkXtr3EaerfdarMO_5D47xTOmlsc" TargetMode="External"/><Relationship Id="rId29" Type="http://schemas.openxmlformats.org/officeDocument/2006/relationships/drawing" Target="../drawings/drawing7.xml"/><Relationship Id="rId11" Type="http://schemas.openxmlformats.org/officeDocument/2006/relationships/hyperlink" Target="https://drive.google.com/open?id=1ebdAenzOxGyMFyrnL_FarBqcJJnwTooW" TargetMode="External"/><Relationship Id="rId10" Type="http://schemas.openxmlformats.org/officeDocument/2006/relationships/hyperlink" Target="https://drive.google.com/open?id=1pIbcYW0TAPbY1xTmtfBbYL7sDN55nDEP" TargetMode="External"/><Relationship Id="rId13" Type="http://schemas.openxmlformats.org/officeDocument/2006/relationships/hyperlink" Target="https://drive.google.com/open?id=1rvUHdRMaaYOZu_8iu8D9uB2f2yU6EpsR" TargetMode="External"/><Relationship Id="rId12" Type="http://schemas.openxmlformats.org/officeDocument/2006/relationships/hyperlink" Target="https://drive.google.com/open?id=1UxJTZ2cA2CA0e_ozYZPW7s2iI1h5o-eE" TargetMode="External"/><Relationship Id="rId15" Type="http://schemas.openxmlformats.org/officeDocument/2006/relationships/hyperlink" Target="https://drive.google.com/open?id=14HftMEr0xljBH2FQUB4KwUzglMxG2b_m" TargetMode="External"/><Relationship Id="rId14" Type="http://schemas.openxmlformats.org/officeDocument/2006/relationships/hyperlink" Target="https://drive.google.com/open?id=1HhOYTlio59lWgNmZ8BOWcVuxZvWpMfhE" TargetMode="External"/><Relationship Id="rId17" Type="http://schemas.openxmlformats.org/officeDocument/2006/relationships/hyperlink" Target="https://drive.google.com/open?id=1fWneK5HBmLhRsG5ygK2T26oqmpOQIjMe" TargetMode="External"/><Relationship Id="rId16" Type="http://schemas.openxmlformats.org/officeDocument/2006/relationships/hyperlink" Target="https://drive.google.com/open?id=1HYIlid_JAiLUakUWhsJNbzu4Vb_3chw-" TargetMode="External"/><Relationship Id="rId19" Type="http://schemas.openxmlformats.org/officeDocument/2006/relationships/hyperlink" Target="https://drive.google.com/open?id=11WuPN2wDzvW-nzzu4rdsCVZJmRrbWnif" TargetMode="External"/><Relationship Id="rId18" Type="http://schemas.openxmlformats.org/officeDocument/2006/relationships/hyperlink" Target="https://drive.google.com/open?id=1ONOKy8Ki9VckVBndPxbfadfg76gC5bd4"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drive.google.com/open?id=16xC7-68bQUatfVzJ9kozHb7RguZ-p08o" TargetMode="External"/><Relationship Id="rId42" Type="http://schemas.openxmlformats.org/officeDocument/2006/relationships/hyperlink" Target="https://drive.google.com/open?id=1PSOjrjjiZrSAnAjTqTdF6Xg9urOhQn2Z" TargetMode="External"/><Relationship Id="rId41" Type="http://schemas.openxmlformats.org/officeDocument/2006/relationships/hyperlink" Target="https://drive.google.com/open?id=1Am6FvYLoCPR5poQqwnVX8LOL_27xE3J3" TargetMode="External"/><Relationship Id="rId44" Type="http://schemas.openxmlformats.org/officeDocument/2006/relationships/hyperlink" Target="https://drive.google.com/open?id=1l18VukB7GS2fhvKmqJmBWQneSoc8K9VR" TargetMode="External"/><Relationship Id="rId43" Type="http://schemas.openxmlformats.org/officeDocument/2006/relationships/hyperlink" Target="https://drive.google.com/open?id=1h009Tysf8GEfHuovnFQVBCfl0QZGnFlW" TargetMode="External"/><Relationship Id="rId46" Type="http://schemas.openxmlformats.org/officeDocument/2006/relationships/hyperlink" Target="https://drive.google.com/open?id=1cJObIJ8dP1xWftQ8XbKvfiEMqnIA00zc" TargetMode="External"/><Relationship Id="rId45" Type="http://schemas.openxmlformats.org/officeDocument/2006/relationships/hyperlink" Target="https://drive.google.com/open?id=17_PWWg_UEU-j_slDPrn8f4Nw-vqy1cgy" TargetMode="External"/><Relationship Id="rId1" Type="http://schemas.openxmlformats.org/officeDocument/2006/relationships/hyperlink" Target="https://drive.google.com/open?id=1eQwIfWA-MoePpiYgcPNev-juQ9u8ZDDL" TargetMode="External"/><Relationship Id="rId2" Type="http://schemas.openxmlformats.org/officeDocument/2006/relationships/hyperlink" Target="https://drive.google.com/open?id=1K6FBHRKgw05pk8uDI2fisvYX2Dv0cECv" TargetMode="External"/><Relationship Id="rId3" Type="http://schemas.openxmlformats.org/officeDocument/2006/relationships/hyperlink" Target="https://drive.google.com/open?id=1qhSqkx_ULCNJJgMNDJopGyKKUsm42SgU" TargetMode="External"/><Relationship Id="rId4" Type="http://schemas.openxmlformats.org/officeDocument/2006/relationships/hyperlink" Target="https://drive.google.com/open?id=1-cI6EN7hdUcoFPwlHmIq7AP8dBDWui9Z" TargetMode="External"/><Relationship Id="rId9" Type="http://schemas.openxmlformats.org/officeDocument/2006/relationships/hyperlink" Target="https://drive.google.com/open?id=1gvkvUdk7j0e3dypJzHOcWDAFkqIHAFXy" TargetMode="External"/><Relationship Id="rId48" Type="http://schemas.openxmlformats.org/officeDocument/2006/relationships/drawing" Target="../drawings/drawing8.xml"/><Relationship Id="rId47" Type="http://schemas.openxmlformats.org/officeDocument/2006/relationships/hyperlink" Target="https://drive.google.com/open?id=1IlBbPQ-VGIbGwJJI_llOcu1ZNV1JTkI3" TargetMode="External"/><Relationship Id="rId5" Type="http://schemas.openxmlformats.org/officeDocument/2006/relationships/hyperlink" Target="https://drive.google.com/open?id=1OhUSFpmXeWK5LxuWoq0b0m-gWjNwhBHM" TargetMode="External"/><Relationship Id="rId6" Type="http://schemas.openxmlformats.org/officeDocument/2006/relationships/hyperlink" Target="https://drive.google.com/open?id=1DKUbsnYhibU5qd6dlZUxgf32RQrBM-PE" TargetMode="External"/><Relationship Id="rId7" Type="http://schemas.openxmlformats.org/officeDocument/2006/relationships/hyperlink" Target="https://drive.google.com/open?id=11Sdc3-a1V3-7E5w2WI41FQewMRjTlcnN" TargetMode="External"/><Relationship Id="rId8" Type="http://schemas.openxmlformats.org/officeDocument/2006/relationships/hyperlink" Target="https://drive.google.com/open?id=1y_uzzhjJceV6MG73-ljy53SoCPe1eBYv" TargetMode="External"/><Relationship Id="rId31" Type="http://schemas.openxmlformats.org/officeDocument/2006/relationships/hyperlink" Target="https://drive.google.com/open?id=1cEP6mIyLUj5eaqsOPXhKZymg1ItnAGo6" TargetMode="External"/><Relationship Id="rId30" Type="http://schemas.openxmlformats.org/officeDocument/2006/relationships/hyperlink" Target="https://drive.google.com/open?id=1kGwH3-syJLSymZHD6L9zdS-wD5tJ3jJd" TargetMode="External"/><Relationship Id="rId33" Type="http://schemas.openxmlformats.org/officeDocument/2006/relationships/hyperlink" Target="https://drive.google.com/open?id=1iDh-zRdlA2p0tMXJBs-GqNP2s6er1mH7" TargetMode="External"/><Relationship Id="rId32" Type="http://schemas.openxmlformats.org/officeDocument/2006/relationships/hyperlink" Target="https://drive.google.com/open?id=1wGXa6AoLCR6CVXY4GAd3mZT5DjDa4Kgl" TargetMode="External"/><Relationship Id="rId35" Type="http://schemas.openxmlformats.org/officeDocument/2006/relationships/hyperlink" Target="https://drive.google.com/open?id=1Gntr1iHW6A6Yt9mvKVAhdPicsLj21PtO" TargetMode="External"/><Relationship Id="rId34" Type="http://schemas.openxmlformats.org/officeDocument/2006/relationships/hyperlink" Target="https://drive.google.com/open?id=18R0Si3JqDcIELb-SdHgBpUOW04u3ObVR" TargetMode="External"/><Relationship Id="rId37" Type="http://schemas.openxmlformats.org/officeDocument/2006/relationships/hyperlink" Target="https://drive.google.com/open?id=1IDcO2hQHM7iUJhXrVpAdXETjS4MpjCP5" TargetMode="External"/><Relationship Id="rId36" Type="http://schemas.openxmlformats.org/officeDocument/2006/relationships/hyperlink" Target="https://drive.google.com/open?id=1IlVw821oSb0LqCAtq0q9eqFP0znOGNA1" TargetMode="External"/><Relationship Id="rId39" Type="http://schemas.openxmlformats.org/officeDocument/2006/relationships/hyperlink" Target="https://drive.google.com/open?id=1GtZMBhWi5vx04jUNfd1FIgaxnsOTlsNs" TargetMode="External"/><Relationship Id="rId38" Type="http://schemas.openxmlformats.org/officeDocument/2006/relationships/hyperlink" Target="https://drive.google.com/open?id=1N22ZA2WBauePYe0bbSIsHhNzqKzYccUJ" TargetMode="External"/><Relationship Id="rId20" Type="http://schemas.openxmlformats.org/officeDocument/2006/relationships/hyperlink" Target="https://drive.google.com/open?id=1v_zqGblmJBReFsLLtnDNilFuOpmKtZYy" TargetMode="External"/><Relationship Id="rId22" Type="http://schemas.openxmlformats.org/officeDocument/2006/relationships/hyperlink" Target="https://drive.google.com/open?id=1LcjFra7-faj0axmoad6g2nNb2xgJAtW2" TargetMode="External"/><Relationship Id="rId21" Type="http://schemas.openxmlformats.org/officeDocument/2006/relationships/hyperlink" Target="https://drive.google.com/open?id=1fROilyU0R7KZiyumWhVQIsH3eAMVq7vo" TargetMode="External"/><Relationship Id="rId24" Type="http://schemas.openxmlformats.org/officeDocument/2006/relationships/hyperlink" Target="https://drive.google.com/open?id=1B9kfg3zw3qjinais6TU0xEimQWpBnd9O" TargetMode="External"/><Relationship Id="rId23" Type="http://schemas.openxmlformats.org/officeDocument/2006/relationships/hyperlink" Target="https://drive.google.com/open?id=1rA1LuKD4VFSrx-mg70tW1XigrpmRCJ-t" TargetMode="External"/><Relationship Id="rId26" Type="http://schemas.openxmlformats.org/officeDocument/2006/relationships/hyperlink" Target="https://drive.google.com/open?id=148uSIjl4ypXTKiFDgp4DYn7ErtVqVf0F" TargetMode="External"/><Relationship Id="rId25" Type="http://schemas.openxmlformats.org/officeDocument/2006/relationships/hyperlink" Target="https://drive.google.com/open?id=1h4s6gb7MNsGpVR3kvzWWtRDDs8MmSikT" TargetMode="External"/><Relationship Id="rId28" Type="http://schemas.openxmlformats.org/officeDocument/2006/relationships/hyperlink" Target="https://drive.google.com/open?id=1v5Dpn8VF4vLpED7ZAL2bMjCAKLW_3NFb" TargetMode="External"/><Relationship Id="rId27" Type="http://schemas.openxmlformats.org/officeDocument/2006/relationships/hyperlink" Target="https://drive.google.com/open?id=1Nagat7woj5wpJSZxPdorNRCf647l_riU" TargetMode="External"/><Relationship Id="rId29" Type="http://schemas.openxmlformats.org/officeDocument/2006/relationships/hyperlink" Target="https://drive.google.com/open?id=1zU5VwuTh6ZLlUa_7Iiiz9DSYFEGR6M1J" TargetMode="External"/><Relationship Id="rId11" Type="http://schemas.openxmlformats.org/officeDocument/2006/relationships/hyperlink" Target="https://drive.google.com/open?id=1ualyeXlhyG4f40KGwsh6MFDZhUM03hx3" TargetMode="External"/><Relationship Id="rId10" Type="http://schemas.openxmlformats.org/officeDocument/2006/relationships/hyperlink" Target="https://drive.google.com/open?id=1SRi_nM9ILrakXYKtCDSio4lb6Q8jJUnM" TargetMode="External"/><Relationship Id="rId13" Type="http://schemas.openxmlformats.org/officeDocument/2006/relationships/hyperlink" Target="https://drive.google.com/open?id=1Ii_mY7QvT6ebgtX-lzZzOw36iaQuX_2z" TargetMode="External"/><Relationship Id="rId12" Type="http://schemas.openxmlformats.org/officeDocument/2006/relationships/hyperlink" Target="https://drive.google.com/open?id=1pinqTQTA2op4vt__I7XfW5EwNId8bZez" TargetMode="External"/><Relationship Id="rId15" Type="http://schemas.openxmlformats.org/officeDocument/2006/relationships/hyperlink" Target="https://drive.google.com/open?id=1wTrhIYBa20hANV6fiPCiJAg-CQ-0q5dc" TargetMode="External"/><Relationship Id="rId14" Type="http://schemas.openxmlformats.org/officeDocument/2006/relationships/hyperlink" Target="https://drive.google.com/open?id=1MPK_zzKAE3P0GFy9v4F_T5552xz3nci6" TargetMode="External"/><Relationship Id="rId17" Type="http://schemas.openxmlformats.org/officeDocument/2006/relationships/hyperlink" Target="https://drive.google.com/open?id=1KOpAgF33fs31RlTEu2F47tz2RUiYsHcf" TargetMode="External"/><Relationship Id="rId16" Type="http://schemas.openxmlformats.org/officeDocument/2006/relationships/hyperlink" Target="https://drive.google.com/open?id=1eL0pnr9sCMZfMHYTTOD_XWViQyrm7kr6" TargetMode="External"/><Relationship Id="rId19" Type="http://schemas.openxmlformats.org/officeDocument/2006/relationships/hyperlink" Target="https://drive.google.com/open?id=1gmrtSEsP-jIJFmaqE2FHf14Jyv5DLLG7" TargetMode="External"/><Relationship Id="rId18" Type="http://schemas.openxmlformats.org/officeDocument/2006/relationships/hyperlink" Target="https://drive.google.com/open?id=1-dB9jclbxi2Euyml9v2QQ9bUMbt3AVXI"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open?id=1m10_qlqIioKrzDelw8CtLtsJtuIJJGsy" TargetMode="External"/><Relationship Id="rId2" Type="http://schemas.openxmlformats.org/officeDocument/2006/relationships/hyperlink" Target="https://drive.google.com/open?id=1lrnJOTaNU9RIAV83q4PV5Oj-CqYgtRc_" TargetMode="External"/><Relationship Id="rId3" Type="http://schemas.openxmlformats.org/officeDocument/2006/relationships/hyperlink" Target="https://drive.google.com/open?id=1JWbYpSrxrmGvuBV2tAN-xxQdxyB9zEZu" TargetMode="External"/><Relationship Id="rId4" Type="http://schemas.openxmlformats.org/officeDocument/2006/relationships/hyperlink" Target="https://drive.google.com/open?id=18G-sVSRkuYopXPvmeAGxvpJ9EqF_NyZ1" TargetMode="External"/><Relationship Id="rId9" Type="http://schemas.openxmlformats.org/officeDocument/2006/relationships/hyperlink" Target="https://drive.google.com/open?id=14KqgJvWiA3Tz-4cdYa1Hk4kEncEiwHMa" TargetMode="External"/><Relationship Id="rId5" Type="http://schemas.openxmlformats.org/officeDocument/2006/relationships/hyperlink" Target="https://drive.google.com/open?id=185o0Rk-VLOrj3hBOICGXPwc-hIDJkkeU" TargetMode="External"/><Relationship Id="rId6" Type="http://schemas.openxmlformats.org/officeDocument/2006/relationships/hyperlink" Target="https://drive.google.com/open?id=19Y8h6nzot5ndbU2HF6IVPbB23DTibEmF" TargetMode="External"/><Relationship Id="rId7" Type="http://schemas.openxmlformats.org/officeDocument/2006/relationships/hyperlink" Target="https://drive.google.com/open?id=1f4ijZsuyJdR36Fjd4xWoTSHH9f_HsDRJ" TargetMode="External"/><Relationship Id="rId8" Type="http://schemas.openxmlformats.org/officeDocument/2006/relationships/hyperlink" Target="https://drive.google.com/open?id=1A_q2cNC7xoh7Ds08uKBLmahOlALOZwj7" TargetMode="External"/><Relationship Id="rId31" Type="http://schemas.openxmlformats.org/officeDocument/2006/relationships/hyperlink" Target="https://drive.google.com/open?id=1Qb5a7vchwyCDmwzBKweBzicFVBpGU16n" TargetMode="External"/><Relationship Id="rId30" Type="http://schemas.openxmlformats.org/officeDocument/2006/relationships/hyperlink" Target="https://drive.google.com/open?id=1Mov_D69Kl5-Jqcn0kOE1KanPXRDvgBL9" TargetMode="External"/><Relationship Id="rId33" Type="http://schemas.openxmlformats.org/officeDocument/2006/relationships/hyperlink" Target="https://drive.google.com/open?id=15uReA9KSJF75jXiHcv_FzSZEnNC3_f47" TargetMode="External"/><Relationship Id="rId32" Type="http://schemas.openxmlformats.org/officeDocument/2006/relationships/hyperlink" Target="https://drive.google.com/open?id=1EBfLE4-cEUGibAoDOJSSFfRV0xUdb3IE" TargetMode="External"/><Relationship Id="rId35" Type="http://schemas.openxmlformats.org/officeDocument/2006/relationships/drawing" Target="../drawings/drawing9.xml"/><Relationship Id="rId34" Type="http://schemas.openxmlformats.org/officeDocument/2006/relationships/hyperlink" Target="https://drive.google.com/open?id=1hjnBAVSbRgxTRO32fOAzZ1YhL9kbm_JN" TargetMode="External"/><Relationship Id="rId20" Type="http://schemas.openxmlformats.org/officeDocument/2006/relationships/hyperlink" Target="https://drive.google.com/open?id=1c3waNHqtiED1YH89_FPzj4HTCSApNKGB" TargetMode="External"/><Relationship Id="rId22" Type="http://schemas.openxmlformats.org/officeDocument/2006/relationships/hyperlink" Target="https://drive.google.com/open?id=1WTdjHE2IC--TftirPWQFNvfevCfSPxuD" TargetMode="External"/><Relationship Id="rId21" Type="http://schemas.openxmlformats.org/officeDocument/2006/relationships/hyperlink" Target="https://drive.google.com/open?id=1Dp-5lAkVCGTKlFTI94GHC5HMXwfulF1d" TargetMode="External"/><Relationship Id="rId24" Type="http://schemas.openxmlformats.org/officeDocument/2006/relationships/hyperlink" Target="https://drive.google.com/open?id=1UvQ2nnmYeT2IxRqOsZJsKl07uCv26PEP" TargetMode="External"/><Relationship Id="rId23" Type="http://schemas.openxmlformats.org/officeDocument/2006/relationships/hyperlink" Target="https://drive.google.com/open?id=1egKTGSUO4GCqY3jx4oh_ieUMJV0EUcBF" TargetMode="External"/><Relationship Id="rId26" Type="http://schemas.openxmlformats.org/officeDocument/2006/relationships/hyperlink" Target="https://drive.google.com/open?id=1WE01xA5eHzL9_23LVHUzty9DgNvBwSF3" TargetMode="External"/><Relationship Id="rId25" Type="http://schemas.openxmlformats.org/officeDocument/2006/relationships/hyperlink" Target="https://drive.google.com/open?id=10vciME9dp65FMyHcR5xMQVNVbPMAshuI" TargetMode="External"/><Relationship Id="rId28" Type="http://schemas.openxmlformats.org/officeDocument/2006/relationships/hyperlink" Target="https://drive.google.com/open?id=1xs9he4ctpCGgu3cXgXralIAken2a0pzL" TargetMode="External"/><Relationship Id="rId27" Type="http://schemas.openxmlformats.org/officeDocument/2006/relationships/hyperlink" Target="https://drive.google.com/open?id=1GcbnCNL0xF1kGFqb4DoAlU9F9Frls4UG" TargetMode="External"/><Relationship Id="rId29" Type="http://schemas.openxmlformats.org/officeDocument/2006/relationships/hyperlink" Target="https://drive.google.com/open?id=1ydjmhVC7uKNKb3YhxlpJUAy047uCq7sf" TargetMode="External"/><Relationship Id="rId11" Type="http://schemas.openxmlformats.org/officeDocument/2006/relationships/hyperlink" Target="https://drive.google.com/open?id=1XYWQhE5B2pQP12WwxBNlchFvby5SnPrI" TargetMode="External"/><Relationship Id="rId10" Type="http://schemas.openxmlformats.org/officeDocument/2006/relationships/hyperlink" Target="https://drive.google.com/open?id=1LItmeWOqciXLM4Jq5DjxF9Ql_5fwmPbr" TargetMode="External"/><Relationship Id="rId13" Type="http://schemas.openxmlformats.org/officeDocument/2006/relationships/hyperlink" Target="https://drive.google.com/open?id=1quuU7hhPxHEfChDRwo3VaFPlwDcqGeBR" TargetMode="External"/><Relationship Id="rId12" Type="http://schemas.openxmlformats.org/officeDocument/2006/relationships/hyperlink" Target="https://drive.google.com/open?id=1jipIIqNVAAzC-cCCJphAxj4QsBn5fp28" TargetMode="External"/><Relationship Id="rId15" Type="http://schemas.openxmlformats.org/officeDocument/2006/relationships/hyperlink" Target="https://drive.google.com/open?id=1BNes1uwuDPR_aEweE6t-pR-JJgLmg1c1" TargetMode="External"/><Relationship Id="rId14" Type="http://schemas.openxmlformats.org/officeDocument/2006/relationships/hyperlink" Target="https://drive.google.com/open?id=1cXMmEgiSMiaqvN3KYshU44uGlvRjr6Ut" TargetMode="External"/><Relationship Id="rId17" Type="http://schemas.openxmlformats.org/officeDocument/2006/relationships/hyperlink" Target="https://drive.google.com/open?id=1bFmlLzwQVCUgzOlAoJ6VDiRIRJ3Ppc10" TargetMode="External"/><Relationship Id="rId16" Type="http://schemas.openxmlformats.org/officeDocument/2006/relationships/hyperlink" Target="https://drive.google.com/open?id=1Nwe8CKsDeo6itlRVEA6qXBW_XaKyxu20" TargetMode="External"/><Relationship Id="rId19" Type="http://schemas.openxmlformats.org/officeDocument/2006/relationships/hyperlink" Target="https://drive.google.com/open?id=1gxSl16mGqsWMAnr7U5Gw3aDQlb9MOGAo" TargetMode="External"/><Relationship Id="rId18" Type="http://schemas.openxmlformats.org/officeDocument/2006/relationships/hyperlink" Target="https://drive.google.com/open?id=1Nz2EC3wDphHgFfG7MB33O_RYIcRxg1i5"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m.si/"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file/d/1LPMJox8z4IH8-qPE3jiuAFw_DY1dWofQ/view?usp=drive_link" TargetMode="External"/><Relationship Id="rId2" Type="http://schemas.openxmlformats.org/officeDocument/2006/relationships/hyperlink" Target="https://drive.google.com/file/d/147BFtCk38KGRsmQg_icg2Rnx6h0TyeM9/view?usp=sharing" TargetMode="External"/><Relationship Id="rId3" Type="http://schemas.openxmlformats.org/officeDocument/2006/relationships/hyperlink" Target="https://drive.google.com/file/d/1u3A_8tcuzx-FS8MpxBaOk0Z4RDliFamb/view?usp=sharing" TargetMode="External"/><Relationship Id="rId4" Type="http://schemas.openxmlformats.org/officeDocument/2006/relationships/hyperlink" Target="https://drive.google.com/drive/folders/1Ts_sO8UlCJXr5H4EcWdYs-aO0obzPfey?usp=sharing" TargetMode="External"/><Relationship Id="rId9" Type="http://schemas.openxmlformats.org/officeDocument/2006/relationships/hyperlink" Target="https://drive.google.com/file/d/1DfFoci390Z8R5EB1TmRqzXifTZaFgx8G/view?usp=sharing" TargetMode="External"/><Relationship Id="rId5" Type="http://schemas.openxmlformats.org/officeDocument/2006/relationships/hyperlink" Target="https://drive.google.com/drive/folders/1Y_Pt4kCBvdWcP4cBnwa2khK4K9O_g2YK" TargetMode="External"/><Relationship Id="rId6" Type="http://schemas.openxmlformats.org/officeDocument/2006/relationships/hyperlink" Target="https://drive.google.com/drive/folders/1oi6oyUqWlRcmZ1aeUmopr_TJTcQrtCd_" TargetMode="External"/><Relationship Id="rId7" Type="http://schemas.openxmlformats.org/officeDocument/2006/relationships/hyperlink" Target="https://drive.google.com/drive/folders/1Dohb6wDku3KHVMO8zfstoggujLfPW8yE?usp=sharing" TargetMode="External"/><Relationship Id="rId8" Type="http://schemas.openxmlformats.org/officeDocument/2006/relationships/hyperlink" Target="https://drive.google.com/file/d/1iVHHd_73Y11ONdZcqOM8BD5rFB1u4jYn/view?usp=sharing" TargetMode="External"/><Relationship Id="rId11" Type="http://schemas.openxmlformats.org/officeDocument/2006/relationships/hyperlink" Target="https://drive.google.com/drive/folders/1S0OmfQyRERB1ZlJSiZV1FgzY3SE3DI02" TargetMode="External"/><Relationship Id="rId10" Type="http://schemas.openxmlformats.org/officeDocument/2006/relationships/hyperlink" Target="https://drive.google.com/file/d/1d3OmlNPDybTrxTpVxyjEeG--AFZhuarj/view?usp=sharing" TargetMode="External"/><Relationship Id="rId13" Type="http://schemas.openxmlformats.org/officeDocument/2006/relationships/hyperlink" Target="https://drive.google.com/drive/folders/1tUe5gAGJFbid81b5gfh2vIctO1aAUPhf?usp=sharing" TargetMode="External"/><Relationship Id="rId12" Type="http://schemas.openxmlformats.org/officeDocument/2006/relationships/hyperlink" Target="https://drive.google.com/drive/folders/177857r0USv_RvNRkSqO3eHSuzsfegbzv?usp=sharing" TargetMode="External"/><Relationship Id="rId15" Type="http://schemas.openxmlformats.org/officeDocument/2006/relationships/hyperlink" Target="https://drive.google.com/drive/folders/1NnNSFhp_Jc9XxKwATTOG18FElxyryc8S?usp=sharing" TargetMode="External"/><Relationship Id="rId14" Type="http://schemas.openxmlformats.org/officeDocument/2006/relationships/hyperlink" Target="https://drive.google.com/file/d/1y0qe1N0MXFHTWsQvCZ5Sqx9xDA8LQdty/view?usp=drive_link" TargetMode="External"/><Relationship Id="rId17" Type="http://schemas.openxmlformats.org/officeDocument/2006/relationships/hyperlink" Target="https://drive.google.com/file/d/1xBBrYmjEMiPbkgH1G7vOWyuLsB66KqoA/view?usp=sharing" TargetMode="External"/><Relationship Id="rId16" Type="http://schemas.openxmlformats.org/officeDocument/2006/relationships/hyperlink" Target="https://drive.google.com/drive/folders/1QtTRKqm5wcabIfj8qB19VfwUShZZQ04T?usp=sharing" TargetMode="External"/><Relationship Id="rId19" Type="http://schemas.openxmlformats.org/officeDocument/2006/relationships/drawing" Target="../drawings/drawing11.xml"/><Relationship Id="rId18" Type="http://schemas.openxmlformats.org/officeDocument/2006/relationships/hyperlink" Target="https://drive.google.com/drive/folders/1qMeo4qQ-2tKyvNm4qJ94yfTA0nOR63u2?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showGridLines="0" workbookViewId="0">
      <pane xSplit="1.0" ySplit="8.0" topLeftCell="B9" activePane="bottomRight" state="frozen"/>
      <selection activeCell="B1" sqref="B1" pane="topRight"/>
      <selection activeCell="A9" sqref="A9" pane="bottomLeft"/>
      <selection activeCell="B9" sqref="B9" pane="bottomRight"/>
    </sheetView>
  </sheetViews>
  <sheetFormatPr customHeight="1" defaultColWidth="12.63" defaultRowHeight="15.0"/>
  <cols>
    <col customWidth="1" min="1" max="1" width="5.75"/>
    <col customWidth="1" min="2" max="2" width="60.63"/>
    <col customWidth="1" min="3" max="3" width="16.0"/>
    <col customWidth="1" min="4" max="4" width="18.75"/>
    <col customWidth="1" min="5" max="6" width="24.0"/>
    <col customWidth="1" min="7" max="8" width="54.38"/>
    <col customWidth="1" min="9" max="9" width="39.38"/>
    <col customWidth="1" min="10" max="10" width="38.63"/>
    <col customWidth="1" min="11" max="20" width="12.63"/>
  </cols>
  <sheetData>
    <row r="1" ht="11.25" customHeight="1">
      <c r="A1" s="1"/>
      <c r="B1" s="2"/>
      <c r="C1" s="2"/>
      <c r="D1" s="3"/>
      <c r="E1" s="4"/>
      <c r="F1" s="2"/>
      <c r="G1" s="5"/>
      <c r="H1" s="5"/>
      <c r="I1" s="5"/>
      <c r="J1" s="5"/>
      <c r="K1" s="6"/>
      <c r="L1" s="6"/>
      <c r="M1" s="6"/>
      <c r="N1" s="6"/>
      <c r="O1" s="6"/>
      <c r="P1" s="6"/>
      <c r="Q1" s="6"/>
      <c r="R1" s="6"/>
      <c r="S1" s="6"/>
      <c r="T1" s="6"/>
      <c r="U1" s="6"/>
      <c r="V1" s="6"/>
      <c r="W1" s="6"/>
      <c r="X1" s="6"/>
      <c r="Y1" s="6"/>
      <c r="Z1" s="6"/>
      <c r="AA1" s="6"/>
      <c r="AB1" s="6"/>
    </row>
    <row r="2" ht="15.75" customHeight="1">
      <c r="A2" s="1"/>
      <c r="B2" s="2"/>
      <c r="C2" s="2"/>
      <c r="D2" s="3"/>
      <c r="E2" s="4"/>
      <c r="F2" s="2"/>
      <c r="G2" s="5"/>
      <c r="H2" s="5"/>
      <c r="I2" s="5"/>
      <c r="J2" s="5"/>
      <c r="K2" s="6"/>
      <c r="L2" s="6"/>
      <c r="M2" s="6"/>
      <c r="N2" s="6"/>
      <c r="O2" s="6"/>
      <c r="P2" s="6"/>
      <c r="Q2" s="6"/>
      <c r="R2" s="6"/>
      <c r="S2" s="6"/>
      <c r="T2" s="6"/>
      <c r="U2" s="6"/>
      <c r="V2" s="6"/>
      <c r="W2" s="6"/>
      <c r="X2" s="6"/>
      <c r="Y2" s="6"/>
      <c r="Z2" s="6"/>
      <c r="AA2" s="6"/>
      <c r="AB2" s="6"/>
    </row>
    <row r="3" ht="15.75" customHeight="1">
      <c r="A3" s="1"/>
      <c r="B3" s="2"/>
      <c r="C3" s="2"/>
      <c r="D3" s="3"/>
      <c r="E3" s="4"/>
      <c r="F3" s="2"/>
      <c r="G3" s="5"/>
      <c r="H3" s="5"/>
      <c r="I3" s="5"/>
      <c r="J3" s="5"/>
      <c r="K3" s="6"/>
      <c r="L3" s="6"/>
      <c r="M3" s="6"/>
      <c r="N3" s="6"/>
      <c r="O3" s="6"/>
      <c r="P3" s="6"/>
      <c r="Q3" s="6"/>
      <c r="R3" s="6"/>
      <c r="S3" s="6"/>
      <c r="T3" s="6"/>
      <c r="U3" s="6"/>
      <c r="V3" s="6"/>
      <c r="W3" s="6"/>
      <c r="X3" s="6"/>
      <c r="Y3" s="6"/>
      <c r="Z3" s="6"/>
      <c r="AA3" s="6"/>
      <c r="AB3" s="6"/>
    </row>
    <row r="4" ht="15.75" customHeight="1">
      <c r="A4" s="1"/>
      <c r="B4" s="2"/>
      <c r="C4" s="2"/>
      <c r="D4" s="3"/>
      <c r="E4" s="4"/>
      <c r="F4" s="2"/>
      <c r="G4" s="5"/>
      <c r="H4" s="5"/>
      <c r="I4" s="5"/>
      <c r="J4" s="5"/>
      <c r="K4" s="6"/>
      <c r="L4" s="6"/>
      <c r="M4" s="6"/>
      <c r="N4" s="6"/>
      <c r="O4" s="6"/>
      <c r="P4" s="6"/>
      <c r="Q4" s="6"/>
      <c r="R4" s="6"/>
      <c r="S4" s="6"/>
      <c r="T4" s="6"/>
      <c r="U4" s="6"/>
      <c r="V4" s="6"/>
      <c r="W4" s="6"/>
      <c r="X4" s="6"/>
      <c r="Y4" s="6"/>
      <c r="Z4" s="6"/>
      <c r="AA4" s="6"/>
      <c r="AB4" s="6"/>
    </row>
    <row r="5" ht="15.75" customHeight="1">
      <c r="A5" s="1"/>
      <c r="B5" s="2"/>
      <c r="C5" s="2"/>
      <c r="D5" s="3"/>
      <c r="E5" s="4"/>
      <c r="F5" s="2"/>
      <c r="G5" s="5"/>
      <c r="H5" s="5"/>
      <c r="I5" s="5"/>
      <c r="J5" s="5"/>
      <c r="K5" s="6"/>
      <c r="L5" s="6"/>
      <c r="M5" s="6"/>
      <c r="N5" s="6"/>
      <c r="O5" s="6"/>
      <c r="P5" s="6"/>
      <c r="Q5" s="6"/>
      <c r="R5" s="6"/>
      <c r="S5" s="6"/>
      <c r="T5" s="6"/>
      <c r="U5" s="6"/>
      <c r="V5" s="6"/>
      <c r="W5" s="6"/>
      <c r="X5" s="6"/>
      <c r="Y5" s="6"/>
      <c r="Z5" s="6"/>
      <c r="AA5" s="6"/>
      <c r="AB5" s="6"/>
    </row>
    <row r="6" ht="15.75" customHeight="1">
      <c r="A6" s="1"/>
      <c r="B6" s="2"/>
      <c r="C6" s="2"/>
      <c r="D6" s="3"/>
      <c r="E6" s="4"/>
      <c r="F6" s="2"/>
      <c r="G6" s="5"/>
      <c r="H6" s="5"/>
      <c r="I6" s="5"/>
      <c r="J6" s="5"/>
      <c r="K6" s="6"/>
      <c r="L6" s="6"/>
      <c r="M6" s="6"/>
      <c r="N6" s="6"/>
      <c r="O6" s="6"/>
      <c r="P6" s="6"/>
      <c r="Q6" s="6"/>
      <c r="R6" s="6"/>
      <c r="S6" s="6"/>
      <c r="T6" s="6"/>
      <c r="U6" s="6"/>
      <c r="V6" s="6"/>
      <c r="W6" s="6"/>
      <c r="X6" s="6"/>
      <c r="Y6" s="6"/>
      <c r="Z6" s="6"/>
      <c r="AA6" s="6"/>
      <c r="AB6" s="6"/>
    </row>
    <row r="7" ht="17.25" customHeight="1">
      <c r="A7" s="1"/>
      <c r="B7" s="7"/>
      <c r="C7" s="7"/>
      <c r="D7" s="8"/>
      <c r="E7" s="9"/>
      <c r="F7" s="7"/>
      <c r="G7" s="5"/>
      <c r="H7" s="5"/>
      <c r="I7" s="5"/>
      <c r="J7" s="5"/>
      <c r="K7" s="6"/>
      <c r="L7" s="6"/>
      <c r="M7" s="6"/>
      <c r="N7" s="6"/>
      <c r="O7" s="6"/>
      <c r="P7" s="6"/>
      <c r="Q7" s="6"/>
      <c r="R7" s="6"/>
      <c r="S7" s="6"/>
      <c r="T7" s="6"/>
      <c r="U7" s="6"/>
      <c r="V7" s="6"/>
      <c r="W7" s="6"/>
      <c r="X7" s="6"/>
      <c r="Y7" s="6"/>
      <c r="Z7" s="6"/>
      <c r="AA7" s="6"/>
      <c r="AB7" s="6"/>
    </row>
    <row r="8" ht="36.0" customHeight="1">
      <c r="A8" s="10" t="s">
        <v>0</v>
      </c>
      <c r="B8" s="11" t="s">
        <v>1</v>
      </c>
      <c r="C8" s="12" t="s">
        <v>2</v>
      </c>
      <c r="D8" s="12" t="s">
        <v>3</v>
      </c>
      <c r="E8" s="12" t="s">
        <v>4</v>
      </c>
      <c r="F8" s="12" t="s">
        <v>5</v>
      </c>
      <c r="G8" s="12" t="s">
        <v>6</v>
      </c>
      <c r="H8" s="12" t="s">
        <v>7</v>
      </c>
      <c r="I8" s="12" t="s">
        <v>8</v>
      </c>
      <c r="J8" s="12" t="s">
        <v>9</v>
      </c>
      <c r="K8" s="13"/>
      <c r="L8" s="13"/>
      <c r="M8" s="13"/>
      <c r="N8" s="13"/>
      <c r="O8" s="13"/>
      <c r="P8" s="13"/>
      <c r="Q8" s="13"/>
      <c r="R8" s="13"/>
      <c r="S8" s="13"/>
      <c r="T8" s="13"/>
      <c r="U8" s="13"/>
      <c r="V8" s="13"/>
      <c r="W8" s="13"/>
      <c r="X8" s="13"/>
      <c r="Y8" s="13"/>
      <c r="Z8" s="13"/>
      <c r="AA8" s="13"/>
      <c r="AB8" s="13"/>
    </row>
    <row r="9" ht="54.0" customHeight="1">
      <c r="A9" s="14">
        <v>1.0</v>
      </c>
      <c r="B9" s="15" t="s">
        <v>10</v>
      </c>
      <c r="C9" s="16"/>
      <c r="D9" s="17"/>
      <c r="E9" s="18" t="s">
        <v>11</v>
      </c>
      <c r="F9" s="19"/>
      <c r="G9" s="20" t="s">
        <v>12</v>
      </c>
      <c r="H9" s="20" t="s">
        <v>13</v>
      </c>
      <c r="I9" s="21" t="s">
        <v>14</v>
      </c>
      <c r="J9" s="22" t="s">
        <v>15</v>
      </c>
      <c r="K9" s="23"/>
      <c r="L9" s="23"/>
      <c r="M9" s="23"/>
      <c r="N9" s="23"/>
      <c r="O9" s="23"/>
      <c r="P9" s="23"/>
      <c r="Q9" s="23"/>
      <c r="R9" s="23"/>
      <c r="S9" s="23"/>
      <c r="T9" s="23"/>
      <c r="U9" s="23"/>
      <c r="V9" s="23"/>
      <c r="W9" s="23"/>
      <c r="X9" s="23"/>
      <c r="Y9" s="23"/>
      <c r="Z9" s="23"/>
      <c r="AA9" s="23"/>
      <c r="AB9" s="23"/>
    </row>
    <row r="10" ht="39.75" customHeight="1">
      <c r="A10" s="24"/>
      <c r="B10" s="25" t="s">
        <v>16</v>
      </c>
      <c r="C10" s="26">
        <v>100.0</v>
      </c>
      <c r="D10" s="27">
        <v>100.0</v>
      </c>
      <c r="E10" s="28" t="s">
        <v>17</v>
      </c>
      <c r="F10" s="29"/>
      <c r="G10" s="20"/>
      <c r="H10" s="20"/>
      <c r="I10" s="30"/>
      <c r="J10" s="24"/>
      <c r="K10" s="31"/>
      <c r="L10" s="31"/>
      <c r="M10" s="31"/>
      <c r="N10" s="31"/>
      <c r="O10" s="31"/>
      <c r="P10" s="31"/>
      <c r="Q10" s="31"/>
      <c r="R10" s="31"/>
      <c r="S10" s="31"/>
      <c r="T10" s="31"/>
      <c r="U10" s="31"/>
      <c r="V10" s="31"/>
      <c r="W10" s="31"/>
      <c r="X10" s="31"/>
      <c r="Y10" s="31"/>
      <c r="Z10" s="31"/>
      <c r="AA10" s="31"/>
      <c r="AB10" s="31"/>
    </row>
    <row r="11" ht="42.75" customHeight="1">
      <c r="A11" s="32"/>
      <c r="B11" s="33" t="s">
        <v>18</v>
      </c>
      <c r="C11" s="26">
        <v>0.0</v>
      </c>
      <c r="D11" s="17"/>
      <c r="E11" s="28" t="s">
        <v>19</v>
      </c>
      <c r="F11" s="29"/>
      <c r="G11" s="20"/>
      <c r="H11" s="20"/>
      <c r="I11" s="34"/>
      <c r="J11" s="32"/>
      <c r="K11" s="31"/>
      <c r="L11" s="31"/>
      <c r="M11" s="31"/>
      <c r="N11" s="31"/>
      <c r="O11" s="31"/>
      <c r="P11" s="31"/>
      <c r="Q11" s="31"/>
      <c r="R11" s="31"/>
      <c r="S11" s="31"/>
      <c r="T11" s="31"/>
      <c r="U11" s="31"/>
      <c r="V11" s="31"/>
      <c r="W11" s="31"/>
      <c r="X11" s="31"/>
      <c r="Y11" s="31"/>
      <c r="Z11" s="31"/>
      <c r="AA11" s="31"/>
      <c r="AB11" s="31"/>
    </row>
    <row r="12" ht="46.5" customHeight="1">
      <c r="A12" s="14">
        <v>2.0</v>
      </c>
      <c r="B12" s="33" t="s">
        <v>20</v>
      </c>
      <c r="C12" s="26"/>
      <c r="D12" s="35"/>
      <c r="E12" s="36"/>
      <c r="F12" s="29"/>
      <c r="G12" s="37"/>
      <c r="H12" s="37" t="s">
        <v>21</v>
      </c>
      <c r="I12" s="21" t="s">
        <v>22</v>
      </c>
      <c r="J12" s="22" t="s">
        <v>15</v>
      </c>
      <c r="K12" s="31"/>
      <c r="L12" s="31"/>
      <c r="M12" s="31"/>
      <c r="N12" s="31"/>
      <c r="O12" s="31"/>
      <c r="P12" s="31"/>
      <c r="Q12" s="31"/>
      <c r="R12" s="31"/>
      <c r="S12" s="31"/>
      <c r="T12" s="31"/>
      <c r="U12" s="31"/>
      <c r="V12" s="31"/>
      <c r="W12" s="31"/>
      <c r="X12" s="31"/>
      <c r="Y12" s="31"/>
      <c r="Z12" s="31"/>
      <c r="AA12" s="31"/>
      <c r="AB12" s="31"/>
    </row>
    <row r="13" ht="51.0" customHeight="1">
      <c r="A13" s="24"/>
      <c r="B13" s="25" t="s">
        <v>16</v>
      </c>
      <c r="C13" s="26">
        <v>100.0</v>
      </c>
      <c r="D13" s="38">
        <v>100.0</v>
      </c>
      <c r="E13" s="39" t="s">
        <v>23</v>
      </c>
      <c r="F13" s="29"/>
      <c r="G13" s="40" t="s">
        <v>24</v>
      </c>
      <c r="H13" s="40"/>
      <c r="I13" s="30"/>
      <c r="J13" s="24"/>
      <c r="K13" s="31"/>
      <c r="L13" s="31"/>
      <c r="M13" s="31"/>
      <c r="N13" s="31"/>
      <c r="O13" s="31"/>
      <c r="P13" s="31"/>
      <c r="Q13" s="31"/>
      <c r="R13" s="31"/>
      <c r="S13" s="31"/>
      <c r="T13" s="31"/>
      <c r="U13" s="31"/>
      <c r="V13" s="31"/>
      <c r="W13" s="31"/>
      <c r="X13" s="31"/>
      <c r="Y13" s="31"/>
      <c r="Z13" s="31"/>
      <c r="AA13" s="31"/>
      <c r="AB13" s="31"/>
    </row>
    <row r="14" ht="59.25" customHeight="1">
      <c r="A14" s="32"/>
      <c r="B14" s="33" t="s">
        <v>18</v>
      </c>
      <c r="C14" s="26">
        <v>0.0</v>
      </c>
      <c r="D14" s="35"/>
      <c r="E14" s="39" t="s">
        <v>25</v>
      </c>
      <c r="F14" s="29"/>
      <c r="G14" s="41"/>
      <c r="H14" s="41"/>
      <c r="I14" s="34"/>
      <c r="J14" s="32"/>
      <c r="K14" s="31"/>
      <c r="L14" s="31"/>
      <c r="M14" s="31"/>
      <c r="N14" s="31"/>
      <c r="O14" s="31"/>
      <c r="P14" s="31"/>
      <c r="Q14" s="31"/>
      <c r="R14" s="31"/>
      <c r="S14" s="31"/>
      <c r="T14" s="31"/>
      <c r="U14" s="31"/>
      <c r="V14" s="31"/>
      <c r="W14" s="31"/>
      <c r="X14" s="31"/>
      <c r="Y14" s="31"/>
      <c r="Z14" s="31"/>
      <c r="AA14" s="31"/>
      <c r="AB14" s="31"/>
    </row>
    <row r="15" ht="39.75" customHeight="1">
      <c r="A15" s="14">
        <v>3.0</v>
      </c>
      <c r="B15" s="42" t="s">
        <v>26</v>
      </c>
      <c r="C15" s="43"/>
      <c r="D15" s="44"/>
      <c r="E15" s="45"/>
      <c r="F15" s="29"/>
      <c r="G15" s="20"/>
      <c r="H15" s="37" t="s">
        <v>27</v>
      </c>
      <c r="I15" s="21" t="s">
        <v>28</v>
      </c>
      <c r="J15" s="22" t="s">
        <v>29</v>
      </c>
      <c r="K15" s="31"/>
      <c r="L15" s="31"/>
      <c r="M15" s="31"/>
      <c r="N15" s="31"/>
      <c r="O15" s="31"/>
      <c r="P15" s="31"/>
      <c r="Q15" s="31"/>
      <c r="R15" s="31"/>
      <c r="S15" s="31"/>
      <c r="T15" s="31"/>
      <c r="U15" s="31"/>
      <c r="V15" s="31"/>
      <c r="W15" s="31"/>
      <c r="X15" s="31"/>
      <c r="Y15" s="31"/>
      <c r="Z15" s="31"/>
      <c r="AA15" s="31"/>
      <c r="AB15" s="31"/>
    </row>
    <row r="16" ht="33.75" customHeight="1">
      <c r="A16" s="24"/>
      <c r="B16" s="46" t="s">
        <v>30</v>
      </c>
      <c r="C16" s="47">
        <v>100.0</v>
      </c>
      <c r="D16" s="48">
        <v>100.0</v>
      </c>
      <c r="E16" s="28" t="s">
        <v>31</v>
      </c>
      <c r="F16" s="29"/>
      <c r="G16" s="20"/>
      <c r="H16" s="24"/>
      <c r="I16" s="30"/>
      <c r="J16" s="24"/>
      <c r="K16" s="31"/>
      <c r="L16" s="31"/>
      <c r="M16" s="31"/>
      <c r="N16" s="31"/>
      <c r="O16" s="31"/>
      <c r="P16" s="31"/>
      <c r="Q16" s="31"/>
      <c r="R16" s="31"/>
      <c r="S16" s="31"/>
      <c r="T16" s="31"/>
      <c r="U16" s="31"/>
      <c r="V16" s="31"/>
      <c r="W16" s="31"/>
      <c r="X16" s="31"/>
      <c r="Y16" s="31"/>
      <c r="Z16" s="31"/>
      <c r="AA16" s="31"/>
      <c r="AB16" s="31"/>
    </row>
    <row r="17" ht="33.75" customHeight="1">
      <c r="A17" s="32"/>
      <c r="B17" s="33" t="s">
        <v>32</v>
      </c>
      <c r="C17" s="26">
        <v>0.0</v>
      </c>
      <c r="D17" s="48"/>
      <c r="E17" s="28" t="s">
        <v>33</v>
      </c>
      <c r="F17" s="29"/>
      <c r="G17" s="20"/>
      <c r="H17" s="32"/>
      <c r="I17" s="34"/>
      <c r="J17" s="32"/>
      <c r="K17" s="31"/>
      <c r="L17" s="31"/>
      <c r="M17" s="31"/>
      <c r="N17" s="31"/>
      <c r="O17" s="31"/>
      <c r="P17" s="31"/>
      <c r="Q17" s="31"/>
      <c r="R17" s="31"/>
      <c r="S17" s="31"/>
      <c r="T17" s="31"/>
      <c r="U17" s="31"/>
      <c r="V17" s="31"/>
      <c r="W17" s="31"/>
      <c r="X17" s="31"/>
      <c r="Y17" s="31"/>
      <c r="Z17" s="31"/>
      <c r="AA17" s="31"/>
      <c r="AB17" s="31"/>
    </row>
    <row r="18">
      <c r="A18" s="49">
        <v>4.0</v>
      </c>
      <c r="B18" s="50" t="s">
        <v>34</v>
      </c>
      <c r="C18" s="43"/>
      <c r="D18" s="27"/>
      <c r="E18" s="28" t="s">
        <v>35</v>
      </c>
      <c r="F18" s="51"/>
      <c r="G18" s="41" t="s">
        <v>36</v>
      </c>
      <c r="H18" s="40" t="s">
        <v>37</v>
      </c>
      <c r="I18" s="52" t="s">
        <v>38</v>
      </c>
      <c r="J18" s="22" t="s">
        <v>39</v>
      </c>
      <c r="K18" s="31"/>
      <c r="L18" s="31"/>
      <c r="M18" s="31"/>
      <c r="N18" s="31"/>
      <c r="O18" s="31"/>
      <c r="P18" s="31"/>
      <c r="Q18" s="31"/>
      <c r="R18" s="31"/>
      <c r="S18" s="31"/>
      <c r="T18" s="31"/>
      <c r="U18" s="31"/>
      <c r="V18" s="31"/>
      <c r="W18" s="31"/>
      <c r="X18" s="31"/>
      <c r="Y18" s="31"/>
      <c r="Z18" s="31"/>
      <c r="AA18" s="31"/>
      <c r="AB18" s="31"/>
    </row>
    <row r="19" ht="21.0" customHeight="1">
      <c r="A19" s="49"/>
      <c r="B19" s="53" t="s">
        <v>40</v>
      </c>
      <c r="C19" s="47">
        <v>100.0</v>
      </c>
      <c r="D19" s="27">
        <v>100.0</v>
      </c>
      <c r="E19" s="54" t="s">
        <v>35</v>
      </c>
      <c r="F19" s="29"/>
      <c r="G19" s="41" t="s">
        <v>36</v>
      </c>
      <c r="H19" s="24"/>
      <c r="I19" s="52"/>
      <c r="J19" s="24"/>
      <c r="K19" s="31"/>
      <c r="L19" s="31"/>
      <c r="M19" s="31"/>
      <c r="N19" s="31"/>
      <c r="O19" s="31"/>
      <c r="P19" s="31"/>
      <c r="Q19" s="31"/>
      <c r="R19" s="31"/>
      <c r="S19" s="31"/>
      <c r="T19" s="31"/>
      <c r="U19" s="31"/>
      <c r="V19" s="31"/>
      <c r="W19" s="31"/>
      <c r="X19" s="31"/>
      <c r="Y19" s="31"/>
      <c r="Z19" s="31"/>
      <c r="AA19" s="31"/>
      <c r="AB19" s="31"/>
    </row>
    <row r="20" ht="25.5" customHeight="1">
      <c r="A20" s="55"/>
      <c r="B20" s="33" t="s">
        <v>41</v>
      </c>
      <c r="C20" s="26">
        <v>0.0</v>
      </c>
      <c r="D20" s="27"/>
      <c r="E20" s="54" t="s">
        <v>42</v>
      </c>
      <c r="F20" s="29"/>
      <c r="G20" s="41"/>
      <c r="H20" s="32"/>
      <c r="I20" s="56"/>
      <c r="J20" s="32"/>
      <c r="K20" s="31"/>
      <c r="L20" s="31"/>
      <c r="M20" s="31"/>
      <c r="N20" s="31"/>
      <c r="O20" s="31"/>
      <c r="P20" s="31"/>
      <c r="Q20" s="31"/>
      <c r="R20" s="31"/>
      <c r="S20" s="31"/>
      <c r="T20" s="31"/>
      <c r="U20" s="31"/>
      <c r="V20" s="31"/>
      <c r="W20" s="31"/>
      <c r="X20" s="31"/>
      <c r="Y20" s="31"/>
      <c r="Z20" s="31"/>
      <c r="AA20" s="31"/>
      <c r="AB20" s="31"/>
    </row>
    <row r="21" ht="48.0" customHeight="1">
      <c r="A21" s="49">
        <v>5.0</v>
      </c>
      <c r="B21" s="57" t="s">
        <v>43</v>
      </c>
      <c r="C21" s="58"/>
      <c r="D21" s="27"/>
      <c r="E21" s="28" t="s">
        <v>44</v>
      </c>
      <c r="F21" s="59"/>
      <c r="G21" s="60" t="s">
        <v>45</v>
      </c>
      <c r="H21" s="60" t="s">
        <v>46</v>
      </c>
      <c r="I21" s="61" t="s">
        <v>47</v>
      </c>
      <c r="J21" s="62" t="s">
        <v>48</v>
      </c>
      <c r="K21" s="31"/>
      <c r="L21" s="31"/>
      <c r="M21" s="31"/>
      <c r="N21" s="31"/>
      <c r="O21" s="31"/>
      <c r="P21" s="31"/>
      <c r="Q21" s="31"/>
      <c r="R21" s="31"/>
      <c r="S21" s="31"/>
      <c r="T21" s="31"/>
      <c r="U21" s="31"/>
      <c r="V21" s="31"/>
      <c r="W21" s="31"/>
      <c r="X21" s="31"/>
      <c r="Y21" s="31"/>
      <c r="Z21" s="31"/>
      <c r="AA21" s="31"/>
      <c r="AB21" s="31"/>
    </row>
    <row r="22" ht="15.75" customHeight="1">
      <c r="A22" s="49"/>
      <c r="B22" s="63" t="s">
        <v>49</v>
      </c>
      <c r="C22" s="26">
        <v>100.0</v>
      </c>
      <c r="D22" s="27">
        <v>100.0</v>
      </c>
      <c r="E22" s="28" t="s">
        <v>50</v>
      </c>
      <c r="F22" s="29"/>
      <c r="G22" s="60"/>
      <c r="H22" s="60"/>
      <c r="I22" s="24"/>
      <c r="J22" s="24"/>
      <c r="K22" s="31"/>
      <c r="L22" s="31"/>
      <c r="M22" s="31"/>
      <c r="N22" s="31"/>
      <c r="O22" s="31"/>
      <c r="P22" s="31"/>
      <c r="Q22" s="31"/>
      <c r="R22" s="31"/>
      <c r="S22" s="31"/>
      <c r="T22" s="31"/>
      <c r="U22" s="31"/>
      <c r="V22" s="31"/>
      <c r="W22" s="31"/>
      <c r="X22" s="31"/>
      <c r="Y22" s="31"/>
      <c r="Z22" s="31"/>
      <c r="AA22" s="31"/>
      <c r="AB22" s="31"/>
    </row>
    <row r="23" ht="15.75" customHeight="1">
      <c r="A23" s="49"/>
      <c r="B23" s="63" t="s">
        <v>51</v>
      </c>
      <c r="C23" s="43">
        <v>0.0</v>
      </c>
      <c r="D23" s="64"/>
      <c r="E23" s="28" t="s">
        <v>52</v>
      </c>
      <c r="F23" s="29"/>
      <c r="G23" s="65"/>
      <c r="H23" s="65"/>
      <c r="I23" s="32"/>
      <c r="J23" s="32"/>
      <c r="K23" s="31"/>
      <c r="L23" s="31"/>
      <c r="M23" s="31"/>
      <c r="N23" s="31"/>
      <c r="O23" s="31"/>
      <c r="P23" s="31"/>
      <c r="Q23" s="31"/>
      <c r="R23" s="31"/>
      <c r="S23" s="31"/>
      <c r="T23" s="31"/>
      <c r="U23" s="31"/>
      <c r="V23" s="31"/>
      <c r="W23" s="31"/>
      <c r="X23" s="31"/>
      <c r="Y23" s="31"/>
      <c r="Z23" s="31"/>
      <c r="AA23" s="31"/>
      <c r="AB23" s="31"/>
    </row>
    <row r="24" ht="57.75" customHeight="1">
      <c r="A24" s="66">
        <v>6.0</v>
      </c>
      <c r="B24" s="67" t="s">
        <v>53</v>
      </c>
      <c r="C24" s="16"/>
      <c r="D24" s="27"/>
      <c r="E24" s="28" t="s">
        <v>54</v>
      </c>
      <c r="F24" s="19"/>
      <c r="G24" s="20" t="s">
        <v>55</v>
      </c>
      <c r="H24" s="37" t="s">
        <v>56</v>
      </c>
      <c r="I24" s="21" t="s">
        <v>57</v>
      </c>
      <c r="J24" s="22" t="s">
        <v>58</v>
      </c>
      <c r="K24" s="31"/>
      <c r="L24" s="31"/>
      <c r="M24" s="31"/>
      <c r="N24" s="31"/>
      <c r="O24" s="31"/>
      <c r="P24" s="31"/>
      <c r="Q24" s="31"/>
      <c r="R24" s="31"/>
      <c r="S24" s="31"/>
      <c r="T24" s="31"/>
      <c r="U24" s="31"/>
      <c r="V24" s="31"/>
      <c r="W24" s="31"/>
      <c r="X24" s="31"/>
      <c r="Y24" s="31"/>
      <c r="Z24" s="31"/>
      <c r="AA24" s="31"/>
      <c r="AB24" s="31"/>
    </row>
    <row r="25" ht="93.75" customHeight="1">
      <c r="A25" s="30"/>
      <c r="B25" s="25" t="s">
        <v>59</v>
      </c>
      <c r="C25" s="68">
        <v>100.0</v>
      </c>
      <c r="D25" s="48">
        <v>100.0</v>
      </c>
      <c r="E25" s="28" t="s">
        <v>60</v>
      </c>
      <c r="F25" s="29"/>
      <c r="G25" s="20"/>
      <c r="H25" s="24"/>
      <c r="I25" s="30"/>
      <c r="J25" s="24"/>
      <c r="K25" s="31"/>
      <c r="L25" s="31"/>
      <c r="M25" s="31"/>
      <c r="N25" s="31"/>
      <c r="O25" s="31"/>
      <c r="P25" s="31"/>
      <c r="Q25" s="31"/>
      <c r="R25" s="31"/>
      <c r="S25" s="31"/>
      <c r="T25" s="31"/>
      <c r="U25" s="31"/>
      <c r="V25" s="31"/>
      <c r="W25" s="31"/>
      <c r="X25" s="31"/>
      <c r="Y25" s="31"/>
      <c r="Z25" s="31"/>
      <c r="AA25" s="31"/>
      <c r="AB25" s="31"/>
    </row>
    <row r="26" ht="72.75" customHeight="1">
      <c r="A26" s="34"/>
      <c r="B26" s="25" t="s">
        <v>61</v>
      </c>
      <c r="C26" s="26">
        <v>0.0</v>
      </c>
      <c r="D26" s="27"/>
      <c r="E26" s="28" t="s">
        <v>62</v>
      </c>
      <c r="F26" s="29"/>
      <c r="G26" s="20"/>
      <c r="H26" s="32"/>
      <c r="I26" s="34"/>
      <c r="J26" s="32"/>
      <c r="K26" s="31"/>
      <c r="L26" s="31"/>
      <c r="M26" s="31"/>
      <c r="N26" s="31"/>
      <c r="O26" s="31"/>
      <c r="P26" s="31"/>
      <c r="Q26" s="31"/>
      <c r="R26" s="31"/>
      <c r="S26" s="31"/>
      <c r="T26" s="31"/>
      <c r="U26" s="31"/>
      <c r="V26" s="31"/>
      <c r="W26" s="31"/>
      <c r="X26" s="31"/>
      <c r="Y26" s="31"/>
      <c r="Z26" s="31"/>
      <c r="AA26" s="31"/>
      <c r="AB26" s="31"/>
    </row>
    <row r="27" ht="20.25" customHeight="1">
      <c r="A27" s="14">
        <v>7.0</v>
      </c>
      <c r="B27" s="69" t="s">
        <v>63</v>
      </c>
      <c r="C27" s="70"/>
      <c r="D27" s="27"/>
      <c r="E27" s="28" t="s">
        <v>64</v>
      </c>
      <c r="F27" s="71"/>
      <c r="G27" s="20" t="s">
        <v>65</v>
      </c>
      <c r="H27" s="37" t="s">
        <v>66</v>
      </c>
      <c r="I27" s="21" t="s">
        <v>67</v>
      </c>
      <c r="J27" s="22" t="s">
        <v>58</v>
      </c>
      <c r="K27" s="31"/>
      <c r="L27" s="31"/>
      <c r="M27" s="31"/>
      <c r="N27" s="31"/>
      <c r="O27" s="31"/>
      <c r="P27" s="31"/>
      <c r="Q27" s="31"/>
      <c r="R27" s="31"/>
      <c r="S27" s="31"/>
      <c r="T27" s="31"/>
      <c r="U27" s="31"/>
      <c r="V27" s="31"/>
      <c r="W27" s="31"/>
      <c r="X27" s="31"/>
      <c r="Y27" s="31"/>
      <c r="Z27" s="31"/>
      <c r="AA27" s="31"/>
      <c r="AB27" s="31"/>
    </row>
    <row r="28" ht="21.0" customHeight="1">
      <c r="A28" s="24"/>
      <c r="B28" s="33" t="s">
        <v>68</v>
      </c>
      <c r="C28" s="72">
        <v>100.0</v>
      </c>
      <c r="D28" s="27">
        <v>0.0</v>
      </c>
      <c r="E28" s="28" t="s">
        <v>69</v>
      </c>
      <c r="F28" s="29"/>
      <c r="G28" s="20"/>
      <c r="H28" s="24"/>
      <c r="I28" s="30"/>
      <c r="J28" s="24"/>
      <c r="K28" s="31"/>
      <c r="L28" s="31"/>
      <c r="M28" s="31"/>
      <c r="N28" s="31"/>
      <c r="O28" s="31"/>
      <c r="P28" s="31"/>
      <c r="Q28" s="31"/>
      <c r="R28" s="31"/>
      <c r="S28" s="31"/>
      <c r="T28" s="31"/>
      <c r="U28" s="31"/>
      <c r="V28" s="31"/>
      <c r="W28" s="31"/>
      <c r="X28" s="31"/>
      <c r="Y28" s="31"/>
      <c r="Z28" s="31"/>
      <c r="AA28" s="31"/>
      <c r="AB28" s="31"/>
    </row>
    <row r="29" ht="21.0" customHeight="1">
      <c r="A29" s="32"/>
      <c r="B29" s="33" t="s">
        <v>70</v>
      </c>
      <c r="C29" s="26">
        <v>0.0</v>
      </c>
      <c r="D29" s="48"/>
      <c r="E29" s="28" t="s">
        <v>71</v>
      </c>
      <c r="F29" s="29"/>
      <c r="G29" s="20"/>
      <c r="H29" s="32"/>
      <c r="I29" s="34"/>
      <c r="J29" s="32"/>
      <c r="K29" s="31"/>
      <c r="L29" s="31"/>
      <c r="M29" s="31"/>
      <c r="N29" s="31"/>
      <c r="O29" s="31"/>
      <c r="P29" s="31"/>
      <c r="Q29" s="31"/>
      <c r="R29" s="31"/>
      <c r="S29" s="31"/>
      <c r="T29" s="31"/>
      <c r="U29" s="31"/>
      <c r="V29" s="31"/>
      <c r="W29" s="31"/>
      <c r="X29" s="31"/>
      <c r="Y29" s="31"/>
      <c r="Z29" s="31"/>
      <c r="AA29" s="31"/>
      <c r="AB29" s="31"/>
    </row>
    <row r="30" ht="43.5" customHeight="1">
      <c r="A30" s="14">
        <v>8.0</v>
      </c>
      <c r="B30" s="67" t="s">
        <v>72</v>
      </c>
      <c r="C30" s="16"/>
      <c r="D30" s="27"/>
      <c r="E30" s="28" t="s">
        <v>73</v>
      </c>
      <c r="F30" s="73"/>
      <c r="G30" s="41" t="s">
        <v>74</v>
      </c>
      <c r="H30" s="37" t="s">
        <v>75</v>
      </c>
      <c r="I30" s="21" t="s">
        <v>76</v>
      </c>
      <c r="J30" s="22" t="s">
        <v>77</v>
      </c>
      <c r="K30" s="31"/>
      <c r="L30" s="31"/>
      <c r="M30" s="31"/>
      <c r="N30" s="31"/>
      <c r="O30" s="31"/>
      <c r="P30" s="31"/>
      <c r="Q30" s="31"/>
      <c r="R30" s="31"/>
      <c r="S30" s="31"/>
      <c r="T30" s="31"/>
      <c r="U30" s="31"/>
      <c r="V30" s="31"/>
      <c r="W30" s="31"/>
      <c r="X30" s="31"/>
      <c r="Y30" s="31"/>
      <c r="Z30" s="31"/>
      <c r="AA30" s="31"/>
      <c r="AB30" s="31"/>
    </row>
    <row r="31" ht="41.25" customHeight="1">
      <c r="A31" s="24"/>
      <c r="B31" s="63" t="s">
        <v>78</v>
      </c>
      <c r="C31" s="26">
        <v>100.0</v>
      </c>
      <c r="D31" s="27">
        <v>100.0</v>
      </c>
      <c r="E31" s="54" t="s">
        <v>79</v>
      </c>
      <c r="F31" s="29">
        <v>100.0</v>
      </c>
      <c r="G31" s="20"/>
      <c r="H31" s="24"/>
      <c r="I31" s="30"/>
      <c r="J31" s="24"/>
      <c r="K31" s="31"/>
      <c r="L31" s="31"/>
      <c r="M31" s="31"/>
      <c r="N31" s="31"/>
      <c r="O31" s="31"/>
      <c r="P31" s="31"/>
      <c r="Q31" s="31"/>
      <c r="R31" s="31"/>
      <c r="S31" s="31"/>
      <c r="T31" s="31"/>
      <c r="U31" s="31"/>
      <c r="V31" s="31"/>
      <c r="W31" s="31"/>
      <c r="X31" s="31"/>
      <c r="Y31" s="31"/>
      <c r="Z31" s="31"/>
      <c r="AA31" s="31"/>
      <c r="AB31" s="31"/>
    </row>
    <row r="32" ht="35.25" customHeight="1">
      <c r="A32" s="32"/>
      <c r="B32" s="63" t="s">
        <v>80</v>
      </c>
      <c r="C32" s="26">
        <v>0.0</v>
      </c>
      <c r="D32" s="48"/>
      <c r="E32" s="74" t="s">
        <v>81</v>
      </c>
      <c r="F32" s="29"/>
      <c r="G32" s="20"/>
      <c r="H32" s="32"/>
      <c r="I32" s="34"/>
      <c r="J32" s="32"/>
      <c r="K32" s="31"/>
      <c r="L32" s="31"/>
      <c r="M32" s="31"/>
      <c r="N32" s="31"/>
      <c r="O32" s="31"/>
      <c r="P32" s="31"/>
      <c r="Q32" s="31"/>
      <c r="R32" s="31"/>
      <c r="S32" s="31"/>
      <c r="T32" s="31"/>
      <c r="U32" s="31"/>
      <c r="V32" s="31"/>
      <c r="W32" s="31"/>
      <c r="X32" s="31"/>
      <c r="Y32" s="31"/>
      <c r="Z32" s="31"/>
      <c r="AA32" s="31"/>
      <c r="AB32" s="31"/>
    </row>
    <row r="33" ht="55.5" customHeight="1">
      <c r="A33" s="75">
        <v>9.0</v>
      </c>
      <c r="B33" s="67" t="s">
        <v>82</v>
      </c>
      <c r="C33" s="16"/>
      <c r="D33" s="27"/>
      <c r="E33" s="18" t="s">
        <v>83</v>
      </c>
      <c r="F33" s="76"/>
      <c r="G33" s="40" t="s">
        <v>84</v>
      </c>
      <c r="H33" s="40" t="s">
        <v>85</v>
      </c>
      <c r="I33" s="52" t="s">
        <v>86</v>
      </c>
      <c r="J33" s="65" t="s">
        <v>87</v>
      </c>
      <c r="K33" s="31"/>
      <c r="L33" s="31"/>
      <c r="M33" s="31"/>
      <c r="N33" s="31"/>
      <c r="O33" s="31"/>
      <c r="P33" s="31"/>
      <c r="Q33" s="31"/>
      <c r="R33" s="31"/>
      <c r="S33" s="31"/>
      <c r="T33" s="31"/>
      <c r="U33" s="31"/>
      <c r="V33" s="31"/>
      <c r="W33" s="31"/>
      <c r="X33" s="31"/>
      <c r="Y33" s="31"/>
      <c r="Z33" s="31"/>
      <c r="AA33" s="31"/>
      <c r="AB33" s="31"/>
    </row>
    <row r="34" ht="50.25" customHeight="1">
      <c r="A34" s="24"/>
      <c r="B34" s="77" t="s">
        <v>88</v>
      </c>
      <c r="C34" s="78">
        <v>100.0</v>
      </c>
      <c r="D34" s="27">
        <v>100.0</v>
      </c>
      <c r="E34" s="28" t="s">
        <v>89</v>
      </c>
      <c r="F34" s="29"/>
      <c r="G34" s="40"/>
      <c r="H34" s="24"/>
      <c r="I34" s="30"/>
      <c r="J34" s="24"/>
      <c r="K34" s="31"/>
      <c r="L34" s="31"/>
      <c r="M34" s="31"/>
      <c r="N34" s="31"/>
      <c r="O34" s="31"/>
      <c r="P34" s="31"/>
      <c r="Q34" s="31"/>
      <c r="R34" s="31"/>
      <c r="S34" s="31"/>
      <c r="T34" s="31"/>
      <c r="U34" s="31"/>
      <c r="V34" s="31"/>
      <c r="W34" s="31"/>
      <c r="X34" s="31"/>
      <c r="Y34" s="31"/>
      <c r="Z34" s="31"/>
      <c r="AA34" s="31"/>
      <c r="AB34" s="31"/>
    </row>
    <row r="35" ht="45.75" customHeight="1">
      <c r="A35" s="24"/>
      <c r="B35" s="79" t="s">
        <v>90</v>
      </c>
      <c r="C35" s="80" t="s">
        <v>91</v>
      </c>
      <c r="D35" s="48"/>
      <c r="E35" s="28" t="s">
        <v>92</v>
      </c>
      <c r="F35" s="29"/>
      <c r="G35" s="40"/>
      <c r="H35" s="24"/>
      <c r="I35" s="30"/>
      <c r="J35" s="32"/>
      <c r="K35" s="31"/>
      <c r="L35" s="31"/>
      <c r="M35" s="31"/>
      <c r="N35" s="31"/>
      <c r="O35" s="31"/>
      <c r="P35" s="31"/>
      <c r="Q35" s="31"/>
      <c r="R35" s="31"/>
      <c r="S35" s="31"/>
      <c r="T35" s="31"/>
      <c r="U35" s="31"/>
      <c r="V35" s="31"/>
      <c r="W35" s="31"/>
      <c r="X35" s="31"/>
      <c r="Y35" s="31"/>
      <c r="Z35" s="31"/>
      <c r="AA35" s="31"/>
      <c r="AB35" s="31"/>
    </row>
    <row r="36" ht="40.5" customHeight="1">
      <c r="A36" s="14">
        <v>10.0</v>
      </c>
      <c r="B36" s="67" t="s">
        <v>93</v>
      </c>
      <c r="C36" s="16"/>
      <c r="D36" s="27"/>
      <c r="E36" s="28" t="s">
        <v>94</v>
      </c>
      <c r="F36" s="71"/>
      <c r="G36" s="20" t="s">
        <v>95</v>
      </c>
      <c r="H36" s="37" t="s">
        <v>96</v>
      </c>
      <c r="I36" s="21" t="s">
        <v>97</v>
      </c>
      <c r="J36" s="62" t="s">
        <v>98</v>
      </c>
      <c r="K36" s="81"/>
      <c r="L36" s="81"/>
      <c r="M36" s="81"/>
      <c r="N36" s="81"/>
      <c r="O36" s="81"/>
      <c r="P36" s="81"/>
      <c r="Q36" s="81"/>
      <c r="R36" s="81"/>
      <c r="S36" s="81"/>
      <c r="T36" s="81"/>
      <c r="U36" s="81"/>
      <c r="V36" s="81"/>
      <c r="W36" s="81"/>
      <c r="X36" s="81"/>
      <c r="Y36" s="81"/>
      <c r="Z36" s="81"/>
      <c r="AA36" s="81"/>
      <c r="AB36" s="81"/>
    </row>
    <row r="37" ht="37.5" customHeight="1">
      <c r="A37" s="24"/>
      <c r="B37" s="82" t="s">
        <v>99</v>
      </c>
      <c r="C37" s="26">
        <v>100.0</v>
      </c>
      <c r="D37" s="48">
        <v>0.0</v>
      </c>
      <c r="E37" s="54" t="s">
        <v>100</v>
      </c>
      <c r="F37" s="29"/>
      <c r="G37" s="20"/>
      <c r="H37" s="24"/>
      <c r="I37" s="30"/>
      <c r="J37" s="24"/>
      <c r="K37" s="31"/>
      <c r="L37" s="31"/>
      <c r="M37" s="31"/>
      <c r="N37" s="31"/>
      <c r="O37" s="31"/>
      <c r="P37" s="31"/>
      <c r="Q37" s="31"/>
      <c r="R37" s="31"/>
      <c r="S37" s="31"/>
      <c r="T37" s="31"/>
      <c r="U37" s="31"/>
      <c r="V37" s="31"/>
      <c r="W37" s="31"/>
      <c r="X37" s="31"/>
      <c r="Y37" s="31"/>
      <c r="Z37" s="31"/>
      <c r="AA37" s="31"/>
      <c r="AB37" s="31"/>
    </row>
    <row r="38" ht="48.75" customHeight="1">
      <c r="A38" s="32"/>
      <c r="B38" s="82" t="s">
        <v>101</v>
      </c>
      <c r="C38" s="47">
        <v>0.0</v>
      </c>
      <c r="D38" s="48"/>
      <c r="E38" s="74" t="s">
        <v>102</v>
      </c>
      <c r="F38" s="29"/>
      <c r="G38" s="20"/>
      <c r="H38" s="32"/>
      <c r="I38" s="34"/>
      <c r="J38" s="32"/>
      <c r="K38" s="31"/>
      <c r="L38" s="31"/>
      <c r="M38" s="31"/>
      <c r="N38" s="31"/>
      <c r="O38" s="31"/>
      <c r="P38" s="31"/>
      <c r="Q38" s="31"/>
      <c r="R38" s="31"/>
      <c r="S38" s="31"/>
      <c r="T38" s="31"/>
      <c r="U38" s="31"/>
      <c r="V38" s="31"/>
      <c r="W38" s="31"/>
      <c r="X38" s="31"/>
      <c r="Y38" s="31"/>
      <c r="Z38" s="31"/>
      <c r="AA38" s="31"/>
      <c r="AB38" s="31"/>
    </row>
    <row r="39" ht="49.5" customHeight="1">
      <c r="A39" s="14">
        <v>11.0</v>
      </c>
      <c r="B39" s="67" t="s">
        <v>103</v>
      </c>
      <c r="C39" s="16"/>
      <c r="D39" s="27"/>
      <c r="E39" s="18" t="s">
        <v>104</v>
      </c>
      <c r="F39" s="83"/>
      <c r="G39" s="20" t="s">
        <v>95</v>
      </c>
      <c r="H39" s="37" t="s">
        <v>105</v>
      </c>
      <c r="I39" s="62" t="s">
        <v>106</v>
      </c>
      <c r="J39" s="22" t="s">
        <v>107</v>
      </c>
      <c r="K39" s="31"/>
      <c r="L39" s="31"/>
      <c r="M39" s="31"/>
      <c r="N39" s="31"/>
      <c r="O39" s="31"/>
      <c r="P39" s="31"/>
      <c r="Q39" s="31"/>
      <c r="R39" s="31"/>
      <c r="S39" s="31"/>
      <c r="T39" s="31"/>
      <c r="U39" s="31"/>
      <c r="V39" s="31"/>
      <c r="W39" s="31"/>
      <c r="X39" s="31"/>
      <c r="Y39" s="31"/>
      <c r="Z39" s="31"/>
      <c r="AA39" s="31"/>
      <c r="AB39" s="31"/>
    </row>
    <row r="40" ht="21.0" customHeight="1">
      <c r="A40" s="49"/>
      <c r="B40" s="63" t="s">
        <v>108</v>
      </c>
      <c r="C40" s="43"/>
      <c r="D40" s="48">
        <v>100.0</v>
      </c>
      <c r="E40" s="28" t="s">
        <v>109</v>
      </c>
      <c r="F40" s="29"/>
      <c r="G40" s="20"/>
      <c r="H40" s="24"/>
      <c r="I40" s="24"/>
      <c r="J40" s="24"/>
      <c r="K40" s="31"/>
      <c r="L40" s="31"/>
      <c r="M40" s="31"/>
      <c r="N40" s="31"/>
      <c r="O40" s="31"/>
      <c r="P40" s="31"/>
      <c r="Q40" s="31"/>
      <c r="R40" s="31"/>
      <c r="S40" s="31"/>
      <c r="T40" s="31"/>
      <c r="U40" s="31"/>
      <c r="V40" s="31"/>
      <c r="W40" s="31"/>
      <c r="X40" s="31"/>
      <c r="Y40" s="31"/>
      <c r="Z40" s="31"/>
      <c r="AA40" s="31"/>
      <c r="AB40" s="31"/>
    </row>
    <row r="41" ht="21.0" customHeight="1">
      <c r="A41" s="55"/>
      <c r="B41" s="63" t="s">
        <v>110</v>
      </c>
      <c r="C41" s="43"/>
      <c r="D41" s="48"/>
      <c r="E41" s="28" t="s">
        <v>111</v>
      </c>
      <c r="F41" s="29"/>
      <c r="G41" s="20"/>
      <c r="H41" s="32"/>
      <c r="I41" s="24"/>
      <c r="J41" s="32"/>
      <c r="K41" s="31"/>
      <c r="L41" s="31"/>
      <c r="M41" s="31"/>
      <c r="N41" s="31"/>
      <c r="O41" s="31"/>
      <c r="P41" s="31"/>
      <c r="Q41" s="31"/>
      <c r="R41" s="31"/>
      <c r="S41" s="31"/>
      <c r="T41" s="31"/>
      <c r="U41" s="31"/>
      <c r="V41" s="31"/>
      <c r="W41" s="31"/>
      <c r="X41" s="31"/>
      <c r="Y41" s="31"/>
      <c r="Z41" s="31"/>
      <c r="AA41" s="31"/>
      <c r="AB41" s="31"/>
    </row>
    <row r="42" ht="42.75" customHeight="1">
      <c r="A42" s="66">
        <v>12.0</v>
      </c>
      <c r="B42" s="84" t="s">
        <v>112</v>
      </c>
      <c r="C42" s="43"/>
      <c r="D42" s="27"/>
      <c r="E42" s="28" t="s">
        <v>113</v>
      </c>
      <c r="F42" s="85"/>
      <c r="G42" s="20" t="s">
        <v>95</v>
      </c>
      <c r="H42" s="37" t="s">
        <v>114</v>
      </c>
      <c r="I42" s="62" t="s">
        <v>115</v>
      </c>
      <c r="J42" s="62" t="s">
        <v>98</v>
      </c>
      <c r="K42" s="31"/>
      <c r="L42" s="31"/>
      <c r="M42" s="31"/>
      <c r="N42" s="31"/>
      <c r="O42" s="31"/>
      <c r="P42" s="31"/>
      <c r="Q42" s="31"/>
      <c r="R42" s="31"/>
      <c r="S42" s="31"/>
      <c r="T42" s="31"/>
      <c r="U42" s="31"/>
      <c r="V42" s="31"/>
      <c r="W42" s="31"/>
      <c r="X42" s="31"/>
      <c r="Y42" s="31"/>
      <c r="Z42" s="31"/>
      <c r="AA42" s="31"/>
      <c r="AB42" s="31"/>
    </row>
    <row r="43" ht="84.0" customHeight="1">
      <c r="A43" s="30"/>
      <c r="B43" s="82" t="s">
        <v>116</v>
      </c>
      <c r="C43" s="26">
        <v>100.0</v>
      </c>
      <c r="D43" s="27">
        <v>100.0</v>
      </c>
      <c r="E43" s="54" t="s">
        <v>117</v>
      </c>
      <c r="F43" s="86"/>
      <c r="G43" s="37"/>
      <c r="H43" s="24"/>
      <c r="I43" s="24"/>
      <c r="J43" s="24"/>
      <c r="K43" s="31"/>
      <c r="L43" s="31"/>
      <c r="M43" s="31"/>
      <c r="N43" s="31"/>
      <c r="O43" s="31"/>
      <c r="P43" s="31"/>
      <c r="Q43" s="31"/>
      <c r="R43" s="31"/>
      <c r="S43" s="31"/>
      <c r="T43" s="31"/>
      <c r="U43" s="31"/>
      <c r="V43" s="31"/>
      <c r="W43" s="31"/>
      <c r="X43" s="31"/>
      <c r="Y43" s="31"/>
      <c r="Z43" s="31"/>
      <c r="AA43" s="31"/>
      <c r="AB43" s="31"/>
    </row>
    <row r="44" ht="54.0" customHeight="1">
      <c r="A44" s="30"/>
      <c r="B44" s="87" t="s">
        <v>118</v>
      </c>
      <c r="C44" s="47">
        <v>50.0</v>
      </c>
      <c r="D44" s="48"/>
      <c r="E44" s="28" t="s">
        <v>119</v>
      </c>
      <c r="F44" s="29"/>
      <c r="G44" s="37"/>
      <c r="H44" s="24"/>
      <c r="I44" s="24"/>
      <c r="J44" s="24"/>
      <c r="K44" s="31"/>
      <c r="L44" s="31"/>
      <c r="M44" s="31"/>
      <c r="N44" s="31"/>
      <c r="O44" s="31"/>
      <c r="P44" s="31"/>
      <c r="Q44" s="31"/>
      <c r="R44" s="31"/>
      <c r="S44" s="31"/>
      <c r="T44" s="31"/>
      <c r="U44" s="31"/>
      <c r="V44" s="31"/>
      <c r="W44" s="31"/>
      <c r="X44" s="31"/>
      <c r="Y44" s="31"/>
      <c r="Z44" s="31"/>
      <c r="AA44" s="31"/>
      <c r="AB44" s="31"/>
    </row>
    <row r="45" ht="51.0" customHeight="1">
      <c r="A45" s="49"/>
      <c r="B45" s="82" t="s">
        <v>120</v>
      </c>
      <c r="C45" s="43">
        <v>25.0</v>
      </c>
      <c r="D45" s="27"/>
      <c r="E45" s="88"/>
      <c r="F45" s="29"/>
      <c r="G45" s="65"/>
      <c r="H45" s="65"/>
      <c r="I45" s="24"/>
      <c r="J45" s="24"/>
      <c r="K45" s="31"/>
      <c r="L45" s="31"/>
      <c r="M45" s="31"/>
      <c r="N45" s="31"/>
      <c r="O45" s="31"/>
      <c r="P45" s="31"/>
      <c r="Q45" s="31"/>
      <c r="R45" s="31"/>
      <c r="S45" s="31"/>
      <c r="T45" s="31"/>
      <c r="U45" s="31"/>
      <c r="V45" s="31"/>
      <c r="W45" s="31"/>
      <c r="X45" s="31"/>
      <c r="Y45" s="31"/>
      <c r="Z45" s="31"/>
      <c r="AA45" s="31"/>
      <c r="AB45" s="31"/>
    </row>
    <row r="46" ht="45.75" customHeight="1">
      <c r="A46" s="49"/>
      <c r="B46" s="82" t="s">
        <v>121</v>
      </c>
      <c r="C46" s="43">
        <v>0.0</v>
      </c>
      <c r="D46" s="27"/>
      <c r="E46" s="88"/>
      <c r="F46" s="29"/>
      <c r="G46" s="56"/>
      <c r="H46" s="56"/>
      <c r="I46" s="32"/>
      <c r="J46" s="32"/>
      <c r="K46" s="31"/>
      <c r="L46" s="31"/>
      <c r="M46" s="31"/>
      <c r="N46" s="31"/>
      <c r="O46" s="31"/>
      <c r="P46" s="31"/>
      <c r="Q46" s="31"/>
      <c r="R46" s="31"/>
      <c r="S46" s="31"/>
      <c r="T46" s="31"/>
      <c r="U46" s="31"/>
      <c r="V46" s="31"/>
      <c r="W46" s="31"/>
      <c r="X46" s="31"/>
      <c r="Y46" s="31"/>
      <c r="Z46" s="31"/>
      <c r="AA46" s="31"/>
      <c r="AB46" s="31"/>
    </row>
    <row r="47" ht="21.0" customHeight="1">
      <c r="A47" s="66">
        <v>13.0</v>
      </c>
      <c r="B47" s="67" t="s">
        <v>122</v>
      </c>
      <c r="C47" s="16"/>
      <c r="D47" s="27"/>
      <c r="E47" s="28" t="s">
        <v>123</v>
      </c>
      <c r="F47" s="51"/>
      <c r="G47" s="20" t="s">
        <v>95</v>
      </c>
      <c r="H47" s="37" t="s">
        <v>124</v>
      </c>
      <c r="I47" s="22" t="s">
        <v>125</v>
      </c>
      <c r="J47" s="22" t="s">
        <v>126</v>
      </c>
      <c r="K47" s="31"/>
      <c r="L47" s="31"/>
      <c r="M47" s="31"/>
      <c r="N47" s="31"/>
      <c r="O47" s="31"/>
      <c r="P47" s="31"/>
      <c r="Q47" s="31"/>
      <c r="R47" s="31"/>
      <c r="S47" s="31"/>
      <c r="T47" s="31"/>
      <c r="U47" s="31"/>
      <c r="V47" s="31"/>
      <c r="W47" s="31"/>
      <c r="X47" s="31"/>
      <c r="Y47" s="31"/>
      <c r="Z47" s="31"/>
      <c r="AA47" s="31"/>
      <c r="AB47" s="31"/>
    </row>
    <row r="48" ht="21.0" customHeight="1">
      <c r="A48" s="49"/>
      <c r="B48" s="89" t="s">
        <v>127</v>
      </c>
      <c r="C48" s="43">
        <v>100.0</v>
      </c>
      <c r="D48" s="27">
        <v>100.0</v>
      </c>
      <c r="E48" s="54" t="s">
        <v>128</v>
      </c>
      <c r="F48" s="29"/>
      <c r="G48" s="20"/>
      <c r="H48" s="24"/>
      <c r="I48" s="24"/>
      <c r="J48" s="24"/>
      <c r="K48" s="31"/>
      <c r="L48" s="31"/>
      <c r="M48" s="31"/>
      <c r="N48" s="31"/>
      <c r="O48" s="31"/>
      <c r="P48" s="31"/>
      <c r="Q48" s="31"/>
      <c r="R48" s="31"/>
      <c r="S48" s="31"/>
      <c r="T48" s="31"/>
      <c r="U48" s="31"/>
      <c r="V48" s="31"/>
      <c r="W48" s="31"/>
      <c r="X48" s="31"/>
      <c r="Y48" s="31"/>
      <c r="Z48" s="31"/>
      <c r="AA48" s="31"/>
      <c r="AB48" s="31"/>
    </row>
    <row r="49" ht="21.0" customHeight="1">
      <c r="A49" s="49"/>
      <c r="B49" s="90" t="s">
        <v>129</v>
      </c>
      <c r="C49" s="62">
        <v>75.0</v>
      </c>
      <c r="D49" s="48"/>
      <c r="E49" s="28" t="s">
        <v>130</v>
      </c>
      <c r="F49" s="29"/>
      <c r="G49" s="20"/>
      <c r="H49" s="24"/>
      <c r="I49" s="24"/>
      <c r="J49" s="24"/>
      <c r="K49" s="31"/>
      <c r="L49" s="31"/>
      <c r="M49" s="31"/>
      <c r="N49" s="31"/>
      <c r="O49" s="31"/>
      <c r="P49" s="31"/>
      <c r="Q49" s="31"/>
      <c r="R49" s="31"/>
      <c r="S49" s="31"/>
      <c r="T49" s="31"/>
      <c r="U49" s="31"/>
      <c r="V49" s="31"/>
      <c r="W49" s="31"/>
      <c r="X49" s="31"/>
      <c r="Y49" s="31"/>
      <c r="Z49" s="31"/>
      <c r="AA49" s="31"/>
      <c r="AB49" s="31"/>
    </row>
    <row r="50" ht="21.0" customHeight="1">
      <c r="A50" s="49"/>
      <c r="B50" s="63" t="s">
        <v>131</v>
      </c>
      <c r="C50" s="43">
        <v>50.0</v>
      </c>
      <c r="D50" s="48"/>
      <c r="E50" s="88"/>
      <c r="F50" s="29"/>
      <c r="G50" s="20"/>
      <c r="H50" s="24"/>
      <c r="I50" s="24"/>
      <c r="J50" s="24"/>
      <c r="K50" s="31"/>
      <c r="L50" s="31"/>
      <c r="M50" s="31"/>
      <c r="N50" s="31"/>
      <c r="O50" s="31"/>
      <c r="P50" s="31"/>
      <c r="Q50" s="31"/>
      <c r="R50" s="31"/>
      <c r="S50" s="31"/>
      <c r="T50" s="31"/>
      <c r="U50" s="31"/>
      <c r="V50" s="31"/>
      <c r="W50" s="31"/>
      <c r="X50" s="31"/>
      <c r="Y50" s="31"/>
      <c r="Z50" s="31"/>
      <c r="AA50" s="31"/>
      <c r="AB50" s="31"/>
    </row>
    <row r="51" ht="21.0" customHeight="1">
      <c r="A51" s="91"/>
      <c r="B51" s="63" t="s">
        <v>132</v>
      </c>
      <c r="C51" s="43">
        <v>0.0</v>
      </c>
      <c r="D51" s="48"/>
      <c r="E51" s="92"/>
      <c r="F51" s="29"/>
      <c r="G51" s="20"/>
      <c r="H51" s="32"/>
      <c r="I51" s="32"/>
      <c r="J51" s="32"/>
      <c r="K51" s="31"/>
      <c r="L51" s="31"/>
      <c r="M51" s="31"/>
      <c r="N51" s="31"/>
      <c r="O51" s="31"/>
      <c r="P51" s="31"/>
      <c r="Q51" s="31"/>
      <c r="R51" s="31"/>
      <c r="S51" s="31"/>
      <c r="T51" s="31"/>
      <c r="U51" s="31"/>
      <c r="V51" s="31"/>
      <c r="W51" s="31"/>
      <c r="X51" s="31"/>
      <c r="Y51" s="31"/>
      <c r="Z51" s="31"/>
      <c r="AA51" s="31"/>
      <c r="AB51" s="31"/>
    </row>
    <row r="52" ht="36.75" customHeight="1">
      <c r="A52" s="49">
        <v>14.0</v>
      </c>
      <c r="B52" s="15" t="s">
        <v>133</v>
      </c>
      <c r="C52" s="16"/>
      <c r="D52" s="27"/>
      <c r="E52" s="92"/>
      <c r="F52" s="51"/>
      <c r="G52" s="20" t="s">
        <v>95</v>
      </c>
      <c r="H52" s="37" t="s">
        <v>134</v>
      </c>
      <c r="I52" s="21" t="s">
        <v>135</v>
      </c>
      <c r="J52" s="62" t="s">
        <v>136</v>
      </c>
      <c r="K52" s="31"/>
      <c r="L52" s="31"/>
      <c r="M52" s="31"/>
      <c r="N52" s="31"/>
      <c r="O52" s="31"/>
      <c r="P52" s="31"/>
      <c r="Q52" s="31"/>
      <c r="R52" s="31"/>
      <c r="S52" s="31"/>
      <c r="T52" s="31"/>
      <c r="U52" s="31"/>
      <c r="V52" s="31"/>
      <c r="W52" s="31"/>
      <c r="X52" s="31"/>
      <c r="Y52" s="31"/>
      <c r="Z52" s="31"/>
      <c r="AA52" s="31"/>
      <c r="AB52" s="31"/>
    </row>
    <row r="53" ht="21.0" customHeight="1">
      <c r="A53" s="49"/>
      <c r="B53" s="63" t="s">
        <v>137</v>
      </c>
      <c r="C53" s="26">
        <v>100.0</v>
      </c>
      <c r="D53" s="27">
        <v>100.0</v>
      </c>
      <c r="E53" s="93" t="s">
        <v>138</v>
      </c>
      <c r="F53" s="94"/>
      <c r="G53" s="20"/>
      <c r="H53" s="24"/>
      <c r="I53" s="30"/>
      <c r="J53" s="24"/>
      <c r="K53" s="31"/>
      <c r="L53" s="31"/>
      <c r="M53" s="31"/>
      <c r="N53" s="31"/>
      <c r="O53" s="31"/>
      <c r="P53" s="31"/>
      <c r="Q53" s="31"/>
      <c r="R53" s="31"/>
      <c r="S53" s="31"/>
      <c r="T53" s="31"/>
      <c r="U53" s="31"/>
      <c r="V53" s="31"/>
      <c r="W53" s="31"/>
      <c r="X53" s="31"/>
      <c r="Y53" s="31"/>
      <c r="Z53" s="31"/>
      <c r="AA53" s="31"/>
      <c r="AB53" s="31"/>
    </row>
    <row r="54" ht="21.0" customHeight="1">
      <c r="A54" s="49"/>
      <c r="B54" s="63" t="s">
        <v>139</v>
      </c>
      <c r="C54" s="26">
        <v>50.0</v>
      </c>
      <c r="D54" s="27"/>
      <c r="E54" s="93" t="s">
        <v>140</v>
      </c>
      <c r="F54" s="94"/>
      <c r="G54" s="20"/>
      <c r="H54" s="24"/>
      <c r="I54" s="30"/>
      <c r="J54" s="24"/>
      <c r="K54" s="31"/>
      <c r="L54" s="31"/>
      <c r="M54" s="31"/>
      <c r="N54" s="31"/>
      <c r="O54" s="31"/>
      <c r="P54" s="31"/>
      <c r="Q54" s="31"/>
      <c r="R54" s="31"/>
      <c r="S54" s="31"/>
      <c r="T54" s="31"/>
      <c r="U54" s="31"/>
      <c r="V54" s="31"/>
      <c r="W54" s="31"/>
      <c r="X54" s="31"/>
      <c r="Y54" s="31"/>
      <c r="Z54" s="31"/>
      <c r="AA54" s="31"/>
      <c r="AB54" s="31"/>
    </row>
    <row r="55" ht="21.0" customHeight="1">
      <c r="A55" s="91"/>
      <c r="B55" s="63" t="s">
        <v>141</v>
      </c>
      <c r="C55" s="26">
        <v>0.0</v>
      </c>
      <c r="D55" s="27"/>
      <c r="E55" s="88"/>
      <c r="F55" s="94"/>
      <c r="G55" s="20"/>
      <c r="H55" s="32"/>
      <c r="I55" s="52"/>
      <c r="J55" s="32"/>
      <c r="K55" s="31"/>
      <c r="L55" s="31"/>
      <c r="M55" s="31"/>
      <c r="N55" s="31"/>
      <c r="O55" s="31"/>
      <c r="P55" s="31"/>
      <c r="Q55" s="31"/>
      <c r="R55" s="31"/>
      <c r="S55" s="31"/>
      <c r="T55" s="31"/>
      <c r="U55" s="31"/>
      <c r="V55" s="31"/>
      <c r="W55" s="31"/>
      <c r="X55" s="31"/>
      <c r="Y55" s="31"/>
      <c r="Z55" s="31"/>
      <c r="AA55" s="31"/>
      <c r="AB55" s="31"/>
    </row>
    <row r="56" ht="21.0" customHeight="1">
      <c r="A56" s="75">
        <v>15.0</v>
      </c>
      <c r="B56" s="67" t="s">
        <v>142</v>
      </c>
      <c r="C56" s="16"/>
      <c r="D56" s="27"/>
      <c r="E56" s="28" t="s">
        <v>143</v>
      </c>
      <c r="F56" s="94"/>
      <c r="G56" s="20"/>
      <c r="H56" s="37" t="s">
        <v>144</v>
      </c>
      <c r="I56" s="21" t="s">
        <v>145</v>
      </c>
      <c r="J56" s="22" t="s">
        <v>146</v>
      </c>
      <c r="K56" s="31"/>
      <c r="L56" s="31"/>
      <c r="M56" s="31"/>
      <c r="N56" s="31"/>
      <c r="O56" s="31"/>
      <c r="P56" s="31"/>
      <c r="Q56" s="31"/>
      <c r="R56" s="31"/>
      <c r="S56" s="31"/>
      <c r="T56" s="31"/>
      <c r="U56" s="31"/>
      <c r="V56" s="31"/>
      <c r="W56" s="31"/>
      <c r="X56" s="31"/>
      <c r="Y56" s="31"/>
      <c r="Z56" s="31"/>
      <c r="AA56" s="31"/>
      <c r="AB56" s="31"/>
    </row>
    <row r="57" ht="37.5" customHeight="1">
      <c r="A57" s="24"/>
      <c r="B57" s="63" t="s">
        <v>147</v>
      </c>
      <c r="C57" s="26">
        <v>100.0</v>
      </c>
      <c r="D57" s="27">
        <v>50.0</v>
      </c>
      <c r="E57" s="54" t="s">
        <v>148</v>
      </c>
      <c r="F57" s="59"/>
      <c r="G57" s="20"/>
      <c r="H57" s="24"/>
      <c r="I57" s="30"/>
      <c r="J57" s="24"/>
      <c r="K57" s="31"/>
      <c r="L57" s="31"/>
      <c r="M57" s="31"/>
      <c r="N57" s="31"/>
      <c r="O57" s="31"/>
      <c r="P57" s="31"/>
      <c r="Q57" s="31"/>
      <c r="R57" s="31"/>
      <c r="S57" s="31"/>
      <c r="T57" s="31"/>
      <c r="U57" s="31"/>
      <c r="V57" s="31"/>
      <c r="W57" s="31"/>
      <c r="X57" s="31"/>
      <c r="Y57" s="31"/>
      <c r="Z57" s="31"/>
      <c r="AA57" s="31"/>
      <c r="AB57" s="31"/>
    </row>
    <row r="58" ht="21.0" customHeight="1">
      <c r="A58" s="24"/>
      <c r="B58" s="95" t="s">
        <v>149</v>
      </c>
      <c r="C58" s="78">
        <v>50.0</v>
      </c>
      <c r="D58" s="27"/>
      <c r="E58" s="28" t="s">
        <v>150</v>
      </c>
      <c r="F58" s="94"/>
      <c r="G58" s="20"/>
      <c r="H58" s="24"/>
      <c r="I58" s="30"/>
      <c r="J58" s="24"/>
      <c r="K58" s="31"/>
      <c r="L58" s="31"/>
      <c r="M58" s="31"/>
      <c r="N58" s="31"/>
      <c r="O58" s="31"/>
      <c r="P58" s="31"/>
      <c r="Q58" s="31"/>
      <c r="R58" s="31"/>
      <c r="S58" s="31"/>
      <c r="T58" s="31"/>
      <c r="U58" s="31"/>
      <c r="V58" s="31"/>
      <c r="W58" s="31"/>
      <c r="X58" s="31"/>
      <c r="Y58" s="31"/>
      <c r="Z58" s="31"/>
      <c r="AA58" s="31"/>
      <c r="AB58" s="31"/>
    </row>
    <row r="59" ht="21.0" customHeight="1">
      <c r="A59" s="32"/>
      <c r="B59" s="63" t="s">
        <v>151</v>
      </c>
      <c r="C59" s="26">
        <v>0.0</v>
      </c>
      <c r="D59" s="27"/>
      <c r="E59" s="88"/>
      <c r="F59" s="94"/>
      <c r="G59" s="20"/>
      <c r="H59" s="32"/>
      <c r="I59" s="34"/>
      <c r="J59" s="32"/>
      <c r="K59" s="31"/>
      <c r="L59" s="31"/>
      <c r="M59" s="31"/>
      <c r="N59" s="31"/>
      <c r="O59" s="31"/>
      <c r="P59" s="31"/>
      <c r="Q59" s="31"/>
      <c r="R59" s="31"/>
      <c r="S59" s="31"/>
      <c r="T59" s="31"/>
      <c r="U59" s="31"/>
      <c r="V59" s="31"/>
      <c r="W59" s="31"/>
      <c r="X59" s="31"/>
      <c r="Y59" s="31"/>
      <c r="Z59" s="31"/>
      <c r="AA59" s="31"/>
      <c r="AB59" s="31"/>
    </row>
    <row r="60" ht="33.0" customHeight="1">
      <c r="A60" s="49">
        <v>16.0</v>
      </c>
      <c r="B60" s="50" t="s">
        <v>152</v>
      </c>
      <c r="C60" s="16"/>
      <c r="D60" s="48"/>
      <c r="E60" s="28" t="s">
        <v>153</v>
      </c>
      <c r="F60" s="94"/>
      <c r="G60" s="20"/>
      <c r="H60" s="37" t="s">
        <v>154</v>
      </c>
      <c r="I60" s="21" t="s">
        <v>155</v>
      </c>
      <c r="J60" s="22" t="s">
        <v>136</v>
      </c>
      <c r="K60" s="31"/>
      <c r="L60" s="31"/>
      <c r="M60" s="31"/>
      <c r="N60" s="31"/>
      <c r="O60" s="31"/>
      <c r="P60" s="31"/>
      <c r="Q60" s="31"/>
      <c r="R60" s="31"/>
      <c r="S60" s="31"/>
      <c r="T60" s="31"/>
      <c r="U60" s="31"/>
      <c r="V60" s="31"/>
      <c r="W60" s="31"/>
      <c r="X60" s="31"/>
      <c r="Y60" s="31"/>
      <c r="Z60" s="31"/>
      <c r="AA60" s="31"/>
      <c r="AB60" s="31"/>
    </row>
    <row r="61" ht="31.5" customHeight="1">
      <c r="A61" s="30"/>
      <c r="B61" s="82" t="s">
        <v>156</v>
      </c>
      <c r="C61" s="68">
        <v>100.0</v>
      </c>
      <c r="D61" s="27">
        <v>100.0</v>
      </c>
      <c r="E61" s="54" t="s">
        <v>157</v>
      </c>
      <c r="F61" s="51"/>
      <c r="G61" s="20"/>
      <c r="H61" s="24"/>
      <c r="I61" s="30"/>
      <c r="J61" s="24"/>
      <c r="K61" s="31"/>
      <c r="L61" s="31"/>
      <c r="M61" s="31"/>
      <c r="N61" s="31"/>
      <c r="O61" s="31"/>
      <c r="P61" s="31"/>
      <c r="Q61" s="31"/>
      <c r="R61" s="31"/>
      <c r="S61" s="31"/>
      <c r="T61" s="31"/>
      <c r="U61" s="31"/>
      <c r="V61" s="31"/>
      <c r="W61" s="31"/>
      <c r="X61" s="31"/>
      <c r="Y61" s="31"/>
      <c r="Z61" s="31"/>
      <c r="AA61" s="31"/>
      <c r="AB61" s="31"/>
    </row>
    <row r="62" ht="21.0" customHeight="1">
      <c r="A62" s="30"/>
      <c r="B62" s="63" t="s">
        <v>158</v>
      </c>
      <c r="C62" s="96">
        <v>50.0</v>
      </c>
      <c r="D62" s="27"/>
      <c r="E62" s="28" t="s">
        <v>159</v>
      </c>
      <c r="F62" s="94"/>
      <c r="G62" s="20"/>
      <c r="H62" s="24"/>
      <c r="I62" s="30"/>
      <c r="J62" s="24"/>
      <c r="K62" s="31"/>
      <c r="L62" s="31"/>
      <c r="M62" s="31"/>
      <c r="N62" s="31"/>
      <c r="O62" s="31"/>
      <c r="P62" s="31"/>
      <c r="Q62" s="31"/>
      <c r="R62" s="31"/>
      <c r="S62" s="31"/>
      <c r="T62" s="31"/>
      <c r="U62" s="31"/>
      <c r="V62" s="31"/>
      <c r="W62" s="31"/>
      <c r="X62" s="31"/>
      <c r="Y62" s="31"/>
      <c r="Z62" s="31"/>
      <c r="AA62" s="31"/>
      <c r="AB62" s="31"/>
    </row>
    <row r="63" ht="21.0" customHeight="1">
      <c r="A63" s="34"/>
      <c r="B63" s="63" t="s">
        <v>160</v>
      </c>
      <c r="C63" s="26">
        <v>0.0</v>
      </c>
      <c r="D63" s="27"/>
      <c r="E63" s="88"/>
      <c r="F63" s="94"/>
      <c r="G63" s="20"/>
      <c r="H63" s="32"/>
      <c r="I63" s="34"/>
      <c r="J63" s="32"/>
      <c r="K63" s="31"/>
      <c r="L63" s="31"/>
      <c r="M63" s="31"/>
      <c r="N63" s="31"/>
      <c r="O63" s="31"/>
      <c r="P63" s="31"/>
      <c r="Q63" s="31"/>
      <c r="R63" s="31"/>
      <c r="S63" s="31"/>
      <c r="T63" s="31"/>
      <c r="U63" s="31"/>
      <c r="V63" s="31"/>
      <c r="W63" s="31"/>
      <c r="X63" s="31"/>
      <c r="Y63" s="31"/>
      <c r="Z63" s="31"/>
      <c r="AA63" s="31"/>
      <c r="AB63" s="31"/>
    </row>
    <row r="64" ht="21.0" customHeight="1">
      <c r="A64" s="14">
        <v>17.0</v>
      </c>
      <c r="B64" s="50" t="s">
        <v>161</v>
      </c>
      <c r="C64" s="16"/>
      <c r="D64" s="27"/>
      <c r="E64" s="28" t="s">
        <v>162</v>
      </c>
      <c r="F64" s="94"/>
      <c r="G64" s="37" t="s">
        <v>163</v>
      </c>
      <c r="H64" s="37" t="s">
        <v>164</v>
      </c>
      <c r="I64" s="21" t="s">
        <v>165</v>
      </c>
      <c r="J64" s="22" t="s">
        <v>165</v>
      </c>
      <c r="K64" s="31"/>
      <c r="L64" s="31"/>
      <c r="M64" s="31"/>
      <c r="N64" s="31"/>
      <c r="O64" s="31"/>
      <c r="P64" s="31"/>
      <c r="Q64" s="31"/>
      <c r="R64" s="31"/>
      <c r="S64" s="31"/>
      <c r="T64" s="31"/>
      <c r="U64" s="31"/>
      <c r="V64" s="31"/>
      <c r="W64" s="31"/>
      <c r="X64" s="31"/>
      <c r="Y64" s="31"/>
      <c r="Z64" s="31"/>
      <c r="AA64" s="31"/>
      <c r="AB64" s="31"/>
    </row>
    <row r="65" ht="42.0" customHeight="1">
      <c r="A65" s="24"/>
      <c r="B65" s="33" t="s">
        <v>166</v>
      </c>
      <c r="C65" s="97">
        <v>100.0</v>
      </c>
      <c r="D65" s="27">
        <v>100.0</v>
      </c>
      <c r="E65" s="54" t="s">
        <v>167</v>
      </c>
      <c r="F65" s="19"/>
      <c r="G65" s="37"/>
      <c r="H65" s="24"/>
      <c r="I65" s="30"/>
      <c r="J65" s="24"/>
      <c r="K65" s="31"/>
      <c r="L65" s="31"/>
      <c r="M65" s="31"/>
      <c r="N65" s="31"/>
      <c r="O65" s="31"/>
      <c r="P65" s="31"/>
      <c r="Q65" s="31"/>
      <c r="R65" s="31"/>
      <c r="S65" s="31"/>
      <c r="T65" s="31"/>
      <c r="U65" s="31"/>
      <c r="V65" s="31"/>
      <c r="W65" s="31"/>
      <c r="X65" s="31"/>
      <c r="Y65" s="31"/>
      <c r="Z65" s="31"/>
      <c r="AA65" s="31"/>
      <c r="AB65" s="31"/>
    </row>
    <row r="66" ht="21.0" customHeight="1">
      <c r="A66" s="24"/>
      <c r="B66" s="33" t="s">
        <v>168</v>
      </c>
      <c r="C66" s="97">
        <v>50.0</v>
      </c>
      <c r="D66" s="27"/>
      <c r="E66" s="28" t="s">
        <v>169</v>
      </c>
      <c r="F66" s="29"/>
      <c r="G66" s="37"/>
      <c r="H66" s="24"/>
      <c r="I66" s="30"/>
      <c r="J66" s="24"/>
      <c r="K66" s="31"/>
      <c r="L66" s="31"/>
      <c r="M66" s="31"/>
      <c r="N66" s="31"/>
      <c r="O66" s="31"/>
      <c r="P66" s="31"/>
      <c r="Q66" s="31"/>
      <c r="R66" s="31"/>
      <c r="S66" s="31"/>
      <c r="T66" s="31"/>
      <c r="U66" s="31"/>
      <c r="V66" s="31"/>
      <c r="W66" s="31"/>
      <c r="X66" s="31"/>
      <c r="Y66" s="31"/>
      <c r="Z66" s="31"/>
      <c r="AA66" s="31"/>
      <c r="AB66" s="31"/>
    </row>
    <row r="67" ht="21.0" customHeight="1">
      <c r="A67" s="32"/>
      <c r="B67" s="33" t="s">
        <v>170</v>
      </c>
      <c r="C67" s="97">
        <v>0.0</v>
      </c>
      <c r="D67" s="48"/>
      <c r="E67" s="88"/>
      <c r="F67" s="29"/>
      <c r="G67" s="37"/>
      <c r="H67" s="24"/>
      <c r="I67" s="30"/>
      <c r="J67" s="24"/>
      <c r="K67" s="31"/>
      <c r="L67" s="31"/>
      <c r="M67" s="31"/>
      <c r="N67" s="31"/>
      <c r="O67" s="31"/>
      <c r="P67" s="31"/>
      <c r="Q67" s="31"/>
      <c r="R67" s="31"/>
      <c r="S67" s="31"/>
      <c r="T67" s="31"/>
      <c r="U67" s="31"/>
      <c r="V67" s="31"/>
      <c r="W67" s="31"/>
      <c r="X67" s="31"/>
      <c r="Y67" s="31"/>
      <c r="Z67" s="31"/>
      <c r="AA67" s="31"/>
      <c r="AB67" s="31"/>
    </row>
    <row r="68" ht="21.0" customHeight="1">
      <c r="A68" s="14">
        <v>18.0</v>
      </c>
      <c r="B68" s="98" t="s">
        <v>171</v>
      </c>
      <c r="C68" s="16"/>
      <c r="D68" s="48"/>
      <c r="E68" s="28" t="s">
        <v>172</v>
      </c>
      <c r="F68" s="29"/>
      <c r="G68" s="37" t="s">
        <v>163</v>
      </c>
      <c r="H68" s="22" t="s">
        <v>173</v>
      </c>
      <c r="I68" s="21" t="s">
        <v>174</v>
      </c>
      <c r="J68" s="22" t="s">
        <v>175</v>
      </c>
      <c r="K68" s="31"/>
      <c r="L68" s="31"/>
      <c r="M68" s="31"/>
      <c r="N68" s="31"/>
      <c r="O68" s="31"/>
      <c r="P68" s="31"/>
      <c r="Q68" s="31"/>
      <c r="R68" s="31"/>
      <c r="S68" s="31"/>
      <c r="T68" s="31"/>
      <c r="U68" s="31"/>
      <c r="V68" s="31"/>
      <c r="W68" s="31"/>
      <c r="X68" s="31"/>
      <c r="Y68" s="31"/>
      <c r="Z68" s="31"/>
      <c r="AA68" s="31"/>
      <c r="AB68" s="31"/>
    </row>
    <row r="69" ht="21.0" customHeight="1">
      <c r="A69" s="24"/>
      <c r="B69" s="33" t="s">
        <v>176</v>
      </c>
      <c r="C69" s="97">
        <v>100.0</v>
      </c>
      <c r="D69" s="48">
        <v>50.0</v>
      </c>
      <c r="E69" s="54" t="s">
        <v>177</v>
      </c>
      <c r="F69" s="29"/>
      <c r="G69" s="65"/>
      <c r="H69" s="65"/>
      <c r="I69" s="30"/>
      <c r="J69" s="24"/>
      <c r="K69" s="31"/>
      <c r="L69" s="31"/>
      <c r="M69" s="31"/>
      <c r="N69" s="31"/>
      <c r="O69" s="31"/>
      <c r="P69" s="31"/>
      <c r="Q69" s="31"/>
      <c r="R69" s="31"/>
      <c r="S69" s="31"/>
      <c r="T69" s="31"/>
      <c r="U69" s="31"/>
      <c r="V69" s="31"/>
      <c r="W69" s="31"/>
      <c r="X69" s="31"/>
      <c r="Y69" s="31"/>
      <c r="Z69" s="31"/>
      <c r="AA69" s="31"/>
      <c r="AB69" s="31"/>
    </row>
    <row r="70" ht="42.75" customHeight="1">
      <c r="A70" s="24"/>
      <c r="B70" s="33" t="s">
        <v>178</v>
      </c>
      <c r="C70" s="97">
        <v>50.0</v>
      </c>
      <c r="D70" s="99"/>
      <c r="E70" s="28" t="s">
        <v>179</v>
      </c>
      <c r="F70" s="100"/>
      <c r="G70" s="65"/>
      <c r="H70" s="65"/>
      <c r="I70" s="30"/>
      <c r="J70" s="24"/>
      <c r="K70" s="31"/>
      <c r="L70" s="31"/>
      <c r="M70" s="31"/>
      <c r="N70" s="31"/>
      <c r="O70" s="31"/>
      <c r="P70" s="31"/>
      <c r="Q70" s="31"/>
      <c r="R70" s="31"/>
      <c r="S70" s="31"/>
      <c r="T70" s="31"/>
      <c r="U70" s="31"/>
      <c r="V70" s="31"/>
      <c r="W70" s="31"/>
      <c r="X70" s="31"/>
      <c r="Y70" s="31"/>
      <c r="Z70" s="31"/>
      <c r="AA70" s="31"/>
      <c r="AB70" s="31"/>
    </row>
    <row r="71" ht="21.0" customHeight="1">
      <c r="A71" s="32"/>
      <c r="B71" s="33" t="s">
        <v>180</v>
      </c>
      <c r="C71" s="97">
        <v>0.0</v>
      </c>
      <c r="D71" s="48"/>
      <c r="E71" s="88"/>
      <c r="F71" s="29"/>
      <c r="G71" s="56"/>
      <c r="H71" s="56"/>
      <c r="I71" s="34"/>
      <c r="J71" s="32"/>
      <c r="K71" s="31"/>
      <c r="L71" s="31"/>
      <c r="M71" s="31"/>
      <c r="N71" s="31"/>
      <c r="O71" s="31"/>
      <c r="P71" s="31"/>
      <c r="Q71" s="31"/>
      <c r="R71" s="31"/>
      <c r="S71" s="31"/>
      <c r="T71" s="31"/>
      <c r="U71" s="31"/>
      <c r="V71" s="31"/>
      <c r="W71" s="31"/>
      <c r="X71" s="31"/>
      <c r="Y71" s="31"/>
      <c r="Z71" s="31"/>
      <c r="AA71" s="31"/>
      <c r="AB71" s="31"/>
    </row>
    <row r="72" ht="21.0" customHeight="1">
      <c r="A72" s="75">
        <v>19.0</v>
      </c>
      <c r="B72" s="67" t="s">
        <v>181</v>
      </c>
      <c r="C72" s="16"/>
      <c r="D72" s="48"/>
      <c r="E72" s="28" t="s">
        <v>182</v>
      </c>
      <c r="F72" s="29"/>
      <c r="G72" s="37" t="s">
        <v>183</v>
      </c>
      <c r="H72" s="65" t="s">
        <v>184</v>
      </c>
      <c r="I72" s="52" t="s">
        <v>185</v>
      </c>
      <c r="J72" s="65" t="s">
        <v>58</v>
      </c>
      <c r="K72" s="31"/>
      <c r="L72" s="31"/>
      <c r="M72" s="31"/>
      <c r="N72" s="31"/>
      <c r="O72" s="31"/>
      <c r="P72" s="31"/>
      <c r="Q72" s="31"/>
      <c r="R72" s="31"/>
      <c r="S72" s="31"/>
      <c r="T72" s="31"/>
      <c r="U72" s="31"/>
      <c r="V72" s="31"/>
      <c r="W72" s="31"/>
      <c r="X72" s="31"/>
      <c r="Y72" s="31"/>
      <c r="Z72" s="31"/>
      <c r="AA72" s="31"/>
      <c r="AB72" s="31"/>
    </row>
    <row r="73" ht="21.0" customHeight="1">
      <c r="A73" s="24"/>
      <c r="B73" s="101" t="s">
        <v>186</v>
      </c>
      <c r="C73" s="72">
        <v>100.0</v>
      </c>
      <c r="D73" s="48">
        <v>100.0</v>
      </c>
      <c r="E73" s="54" t="s">
        <v>187</v>
      </c>
      <c r="F73" s="29"/>
      <c r="G73" s="65"/>
      <c r="H73" s="65"/>
      <c r="I73" s="30"/>
      <c r="J73" s="24"/>
      <c r="K73" s="31"/>
      <c r="L73" s="31"/>
      <c r="M73" s="31"/>
      <c r="N73" s="31"/>
      <c r="O73" s="31"/>
      <c r="P73" s="31"/>
      <c r="Q73" s="31"/>
      <c r="R73" s="31"/>
      <c r="S73" s="31"/>
      <c r="T73" s="31"/>
      <c r="U73" s="31"/>
      <c r="V73" s="31"/>
      <c r="W73" s="31"/>
      <c r="X73" s="31"/>
      <c r="Y73" s="31"/>
      <c r="Z73" s="31"/>
      <c r="AA73" s="31"/>
      <c r="AB73" s="31"/>
    </row>
    <row r="74" ht="21.0" customHeight="1">
      <c r="A74" s="24"/>
      <c r="B74" s="63" t="s">
        <v>188</v>
      </c>
      <c r="C74" s="26">
        <v>50.0</v>
      </c>
      <c r="D74" s="48"/>
      <c r="E74" s="28" t="s">
        <v>189</v>
      </c>
      <c r="F74" s="29"/>
      <c r="G74" s="65"/>
      <c r="H74" s="65"/>
      <c r="I74" s="30"/>
      <c r="J74" s="24"/>
      <c r="K74" s="31"/>
      <c r="L74" s="31"/>
      <c r="M74" s="31"/>
      <c r="N74" s="31"/>
      <c r="O74" s="31"/>
      <c r="P74" s="31"/>
      <c r="Q74" s="31"/>
      <c r="R74" s="31"/>
      <c r="S74" s="31"/>
      <c r="T74" s="31"/>
      <c r="U74" s="31"/>
      <c r="V74" s="31"/>
      <c r="W74" s="31"/>
      <c r="X74" s="31"/>
      <c r="Y74" s="31"/>
      <c r="Z74" s="31"/>
      <c r="AA74" s="31"/>
      <c r="AB74" s="31"/>
    </row>
    <row r="75" ht="31.5" customHeight="1">
      <c r="A75" s="24"/>
      <c r="B75" s="95" t="s">
        <v>190</v>
      </c>
      <c r="C75" s="78">
        <v>25.0</v>
      </c>
      <c r="D75" s="27"/>
      <c r="E75" s="88"/>
      <c r="F75" s="102"/>
      <c r="G75" s="65"/>
      <c r="H75" s="65"/>
      <c r="I75" s="30"/>
      <c r="J75" s="24"/>
      <c r="K75" s="31"/>
      <c r="L75" s="31"/>
      <c r="M75" s="31"/>
      <c r="N75" s="31"/>
      <c r="O75" s="31"/>
      <c r="P75" s="31"/>
      <c r="Q75" s="31"/>
      <c r="R75" s="31"/>
      <c r="S75" s="31"/>
      <c r="T75" s="31"/>
      <c r="U75" s="31"/>
      <c r="V75" s="31"/>
      <c r="W75" s="31"/>
      <c r="X75" s="31"/>
      <c r="Y75" s="31"/>
      <c r="Z75" s="31"/>
      <c r="AA75" s="31"/>
      <c r="AB75" s="31"/>
    </row>
    <row r="76" ht="21.0" customHeight="1">
      <c r="A76" s="32"/>
      <c r="B76" s="63" t="s">
        <v>191</v>
      </c>
      <c r="C76" s="26">
        <v>0.0</v>
      </c>
      <c r="D76" s="27"/>
      <c r="E76" s="88"/>
      <c r="F76" s="29"/>
      <c r="G76" s="56"/>
      <c r="H76" s="56"/>
      <c r="I76" s="34"/>
      <c r="J76" s="32"/>
      <c r="K76" s="31"/>
      <c r="L76" s="31"/>
      <c r="M76" s="31"/>
      <c r="N76" s="31"/>
      <c r="O76" s="31"/>
      <c r="P76" s="31"/>
      <c r="Q76" s="31"/>
      <c r="R76" s="31"/>
      <c r="S76" s="31"/>
      <c r="T76" s="31"/>
      <c r="U76" s="31"/>
      <c r="V76" s="31"/>
      <c r="W76" s="31"/>
      <c r="X76" s="31"/>
      <c r="Y76" s="31"/>
      <c r="Z76" s="31"/>
      <c r="AA76" s="31"/>
      <c r="AB76" s="31"/>
    </row>
    <row r="77" ht="33.75" customHeight="1">
      <c r="A77" s="14">
        <v>20.0</v>
      </c>
      <c r="B77" s="103" t="s">
        <v>192</v>
      </c>
      <c r="C77" s="104"/>
      <c r="D77" s="48"/>
      <c r="E77" s="28" t="s">
        <v>193</v>
      </c>
      <c r="F77" s="29"/>
      <c r="G77" s="37" t="s">
        <v>183</v>
      </c>
      <c r="H77" s="22" t="s">
        <v>194</v>
      </c>
      <c r="I77" s="21" t="s">
        <v>185</v>
      </c>
      <c r="J77" s="22" t="s">
        <v>58</v>
      </c>
      <c r="K77" s="31"/>
      <c r="L77" s="31"/>
      <c r="M77" s="31"/>
      <c r="N77" s="31"/>
      <c r="O77" s="31"/>
      <c r="P77" s="31"/>
      <c r="Q77" s="31"/>
      <c r="R77" s="31"/>
      <c r="S77" s="31"/>
      <c r="T77" s="31"/>
      <c r="U77" s="31"/>
      <c r="V77" s="31"/>
      <c r="W77" s="31"/>
      <c r="X77" s="31"/>
      <c r="Y77" s="31"/>
      <c r="Z77" s="31"/>
      <c r="AA77" s="31"/>
      <c r="AB77" s="31"/>
    </row>
    <row r="78" ht="21.0" customHeight="1">
      <c r="A78" s="24"/>
      <c r="B78" s="101" t="s">
        <v>195</v>
      </c>
      <c r="C78" s="68">
        <v>100.0</v>
      </c>
      <c r="D78" s="48">
        <v>100.0</v>
      </c>
      <c r="E78" s="54" t="s">
        <v>196</v>
      </c>
      <c r="F78" s="29"/>
      <c r="G78" s="65"/>
      <c r="H78" s="65"/>
      <c r="I78" s="30"/>
      <c r="J78" s="24"/>
      <c r="K78" s="31"/>
      <c r="L78" s="31"/>
      <c r="M78" s="31"/>
      <c r="N78" s="31"/>
      <c r="O78" s="31"/>
      <c r="P78" s="31"/>
      <c r="Q78" s="31"/>
      <c r="R78" s="31"/>
      <c r="S78" s="31"/>
      <c r="T78" s="31"/>
      <c r="U78" s="31"/>
      <c r="V78" s="31"/>
      <c r="W78" s="31"/>
      <c r="X78" s="31"/>
      <c r="Y78" s="31"/>
      <c r="Z78" s="31"/>
      <c r="AA78" s="31"/>
      <c r="AB78" s="31"/>
    </row>
    <row r="79" ht="21.0" customHeight="1">
      <c r="A79" s="24"/>
      <c r="B79" s="63" t="s">
        <v>197</v>
      </c>
      <c r="C79" s="47">
        <v>50.0</v>
      </c>
      <c r="D79" s="48"/>
      <c r="E79" s="28" t="s">
        <v>198</v>
      </c>
      <c r="F79" s="29"/>
      <c r="G79" s="65"/>
      <c r="H79" s="65"/>
      <c r="I79" s="30"/>
      <c r="J79" s="24"/>
      <c r="K79" s="31"/>
      <c r="L79" s="31"/>
      <c r="M79" s="31"/>
      <c r="N79" s="31"/>
      <c r="O79" s="31"/>
      <c r="P79" s="31"/>
      <c r="Q79" s="31"/>
      <c r="R79" s="31"/>
      <c r="S79" s="31"/>
      <c r="T79" s="31"/>
      <c r="U79" s="31"/>
      <c r="V79" s="31"/>
      <c r="W79" s="31"/>
      <c r="X79" s="31"/>
      <c r="Y79" s="31"/>
      <c r="Z79" s="31"/>
      <c r="AA79" s="31"/>
      <c r="AB79" s="31"/>
    </row>
    <row r="80" ht="21.0" customHeight="1">
      <c r="A80" s="24"/>
      <c r="B80" s="95" t="s">
        <v>199</v>
      </c>
      <c r="C80" s="47">
        <v>25.0</v>
      </c>
      <c r="D80" s="99"/>
      <c r="E80" s="88"/>
      <c r="F80" s="102"/>
      <c r="G80" s="65"/>
      <c r="H80" s="65"/>
      <c r="I80" s="30"/>
      <c r="J80" s="24"/>
      <c r="K80" s="31"/>
      <c r="L80" s="31"/>
      <c r="M80" s="31"/>
      <c r="N80" s="31"/>
      <c r="O80" s="31"/>
      <c r="P80" s="31"/>
      <c r="Q80" s="31"/>
      <c r="R80" s="31"/>
      <c r="S80" s="31"/>
      <c r="T80" s="31"/>
      <c r="U80" s="31"/>
      <c r="V80" s="31"/>
      <c r="W80" s="31"/>
      <c r="X80" s="31"/>
      <c r="Y80" s="31"/>
      <c r="Z80" s="31"/>
      <c r="AA80" s="31"/>
      <c r="AB80" s="31"/>
    </row>
    <row r="81" ht="21.0" customHeight="1">
      <c r="A81" s="32"/>
      <c r="B81" s="63" t="s">
        <v>200</v>
      </c>
      <c r="C81" s="26">
        <v>0.0</v>
      </c>
      <c r="D81" s="27"/>
      <c r="E81" s="88"/>
      <c r="F81" s="29"/>
      <c r="G81" s="56"/>
      <c r="H81" s="56"/>
      <c r="I81" s="34"/>
      <c r="J81" s="32"/>
      <c r="K81" s="31"/>
      <c r="L81" s="31"/>
      <c r="M81" s="31"/>
      <c r="N81" s="31"/>
      <c r="O81" s="31"/>
      <c r="P81" s="31"/>
      <c r="Q81" s="31"/>
      <c r="R81" s="31"/>
      <c r="S81" s="31"/>
      <c r="T81" s="31"/>
      <c r="U81" s="31"/>
      <c r="V81" s="31"/>
      <c r="W81" s="31"/>
      <c r="X81" s="31"/>
      <c r="Y81" s="31"/>
      <c r="Z81" s="31"/>
      <c r="AA81" s="31"/>
      <c r="AB81" s="31"/>
    </row>
    <row r="82" ht="21.0" customHeight="1">
      <c r="A82" s="14">
        <v>21.0</v>
      </c>
      <c r="B82" s="89" t="s">
        <v>201</v>
      </c>
      <c r="C82" s="104"/>
      <c r="D82" s="27"/>
      <c r="E82" s="28" t="s">
        <v>202</v>
      </c>
      <c r="F82" s="29"/>
      <c r="G82" s="37" t="s">
        <v>183</v>
      </c>
      <c r="H82" s="22" t="s">
        <v>203</v>
      </c>
      <c r="I82" s="22" t="s">
        <v>204</v>
      </c>
      <c r="J82" s="22" t="s">
        <v>136</v>
      </c>
      <c r="K82" s="31"/>
      <c r="L82" s="31"/>
      <c r="M82" s="31"/>
      <c r="N82" s="31"/>
      <c r="O82" s="31"/>
      <c r="P82" s="31"/>
      <c r="Q82" s="31"/>
      <c r="R82" s="31"/>
      <c r="S82" s="31"/>
      <c r="T82" s="31"/>
      <c r="U82" s="31"/>
      <c r="V82" s="31"/>
      <c r="W82" s="31"/>
      <c r="X82" s="31"/>
      <c r="Y82" s="31"/>
      <c r="Z82" s="31"/>
      <c r="AA82" s="31"/>
      <c r="AB82" s="31"/>
    </row>
    <row r="83" ht="21.0" customHeight="1">
      <c r="A83" s="24"/>
      <c r="B83" s="101" t="s">
        <v>205</v>
      </c>
      <c r="C83" s="72">
        <v>100.0</v>
      </c>
      <c r="D83" s="27">
        <v>75.0</v>
      </c>
      <c r="E83" s="54" t="s">
        <v>206</v>
      </c>
      <c r="F83" s="29"/>
      <c r="G83" s="65"/>
      <c r="H83" s="65"/>
      <c r="I83" s="24"/>
      <c r="J83" s="24"/>
      <c r="K83" s="31"/>
      <c r="L83" s="31"/>
      <c r="M83" s="31"/>
      <c r="N83" s="31"/>
      <c r="O83" s="31"/>
      <c r="P83" s="31"/>
      <c r="Q83" s="31"/>
      <c r="R83" s="31"/>
      <c r="S83" s="31"/>
      <c r="T83" s="31"/>
      <c r="U83" s="31"/>
      <c r="V83" s="31"/>
      <c r="W83" s="31"/>
      <c r="X83" s="31"/>
      <c r="Y83" s="31"/>
      <c r="Z83" s="31"/>
      <c r="AA83" s="31"/>
      <c r="AB83" s="31"/>
    </row>
    <row r="84" ht="21.0" customHeight="1">
      <c r="A84" s="24"/>
      <c r="B84" s="63" t="s">
        <v>207</v>
      </c>
      <c r="C84" s="26">
        <v>75.0</v>
      </c>
      <c r="D84" s="99"/>
      <c r="E84" s="28" t="s">
        <v>208</v>
      </c>
      <c r="F84" s="29"/>
      <c r="G84" s="65"/>
      <c r="H84" s="65"/>
      <c r="I84" s="24"/>
      <c r="J84" s="24"/>
      <c r="K84" s="31"/>
      <c r="L84" s="31"/>
      <c r="M84" s="31"/>
      <c r="N84" s="31"/>
      <c r="O84" s="31"/>
      <c r="P84" s="31"/>
      <c r="Q84" s="31"/>
      <c r="R84" s="31"/>
      <c r="S84" s="31"/>
      <c r="T84" s="31"/>
      <c r="U84" s="31"/>
      <c r="V84" s="31"/>
      <c r="W84" s="31"/>
      <c r="X84" s="31"/>
      <c r="Y84" s="31"/>
      <c r="Z84" s="31"/>
      <c r="AA84" s="31"/>
      <c r="AB84" s="31"/>
    </row>
    <row r="85" ht="21.0" customHeight="1">
      <c r="A85" s="24"/>
      <c r="B85" s="63" t="s">
        <v>209</v>
      </c>
      <c r="C85" s="47">
        <v>50.0</v>
      </c>
      <c r="D85" s="48"/>
      <c r="E85" s="88"/>
      <c r="F85" s="29"/>
      <c r="G85" s="65"/>
      <c r="H85" s="65"/>
      <c r="I85" s="24"/>
      <c r="J85" s="24"/>
      <c r="K85" s="31"/>
      <c r="L85" s="31"/>
      <c r="M85" s="31"/>
      <c r="N85" s="31"/>
      <c r="O85" s="31"/>
      <c r="P85" s="31"/>
      <c r="Q85" s="31"/>
      <c r="R85" s="31"/>
      <c r="S85" s="31"/>
      <c r="T85" s="31"/>
      <c r="U85" s="31"/>
      <c r="V85" s="31"/>
      <c r="W85" s="31"/>
      <c r="X85" s="31"/>
      <c r="Y85" s="31"/>
      <c r="Z85" s="31"/>
      <c r="AA85" s="31"/>
      <c r="AB85" s="31"/>
    </row>
    <row r="86" ht="30.0" customHeight="1">
      <c r="A86" s="32"/>
      <c r="B86" s="63" t="s">
        <v>210</v>
      </c>
      <c r="C86" s="47">
        <v>0.0</v>
      </c>
      <c r="D86" s="48"/>
      <c r="E86" s="88"/>
      <c r="F86" s="29"/>
      <c r="G86" s="56"/>
      <c r="H86" s="56"/>
      <c r="I86" s="32"/>
      <c r="J86" s="32"/>
      <c r="K86" s="31"/>
      <c r="L86" s="31"/>
      <c r="M86" s="31"/>
      <c r="N86" s="31"/>
      <c r="O86" s="31"/>
      <c r="P86" s="31"/>
      <c r="Q86" s="31"/>
      <c r="R86" s="31"/>
      <c r="S86" s="31"/>
      <c r="T86" s="31"/>
      <c r="U86" s="31"/>
      <c r="V86" s="31"/>
      <c r="W86" s="31"/>
      <c r="X86" s="31"/>
      <c r="Y86" s="31"/>
      <c r="Z86" s="31"/>
      <c r="AA86" s="31"/>
      <c r="AB86" s="31"/>
    </row>
    <row r="87" ht="15.75" customHeight="1">
      <c r="A87" s="14">
        <v>22.0</v>
      </c>
      <c r="B87" s="105" t="s">
        <v>211</v>
      </c>
      <c r="C87" s="96"/>
      <c r="D87" s="48"/>
      <c r="E87" s="28" t="s">
        <v>212</v>
      </c>
      <c r="F87" s="29"/>
      <c r="G87" s="22"/>
      <c r="H87" s="22" t="s">
        <v>213</v>
      </c>
      <c r="I87" s="21" t="s">
        <v>185</v>
      </c>
      <c r="J87" s="22" t="s">
        <v>58</v>
      </c>
      <c r="K87" s="31"/>
      <c r="L87" s="31"/>
      <c r="M87" s="31"/>
      <c r="N87" s="31"/>
      <c r="O87" s="31"/>
      <c r="P87" s="31"/>
      <c r="Q87" s="31"/>
      <c r="R87" s="31"/>
      <c r="S87" s="31"/>
      <c r="T87" s="31"/>
      <c r="U87" s="31"/>
      <c r="V87" s="31"/>
      <c r="W87" s="31"/>
      <c r="X87" s="31"/>
      <c r="Y87" s="31"/>
      <c r="Z87" s="31"/>
      <c r="AA87" s="31"/>
      <c r="AB87" s="31"/>
    </row>
    <row r="88" ht="15.75" customHeight="1">
      <c r="A88" s="24"/>
      <c r="B88" s="63" t="s">
        <v>214</v>
      </c>
      <c r="C88" s="26">
        <v>100.0</v>
      </c>
      <c r="D88" s="27">
        <v>100.0</v>
      </c>
      <c r="E88" s="54" t="s">
        <v>215</v>
      </c>
      <c r="F88" s="59"/>
      <c r="G88" s="37" t="s">
        <v>183</v>
      </c>
      <c r="H88" s="65"/>
      <c r="I88" s="30"/>
      <c r="J88" s="24"/>
      <c r="K88" s="31"/>
      <c r="L88" s="31"/>
      <c r="M88" s="31"/>
      <c r="N88" s="31"/>
      <c r="O88" s="31"/>
      <c r="P88" s="31"/>
      <c r="Q88" s="31"/>
      <c r="R88" s="31"/>
      <c r="S88" s="31"/>
      <c r="T88" s="31"/>
      <c r="U88" s="31"/>
      <c r="V88" s="31"/>
      <c r="W88" s="31"/>
      <c r="X88" s="31"/>
      <c r="Y88" s="31"/>
      <c r="Z88" s="31"/>
      <c r="AA88" s="31"/>
      <c r="AB88" s="31"/>
    </row>
    <row r="89" ht="21.0" customHeight="1">
      <c r="A89" s="24"/>
      <c r="B89" s="63" t="s">
        <v>216</v>
      </c>
      <c r="C89" s="26">
        <v>50.0</v>
      </c>
      <c r="D89" s="48"/>
      <c r="E89" s="28" t="s">
        <v>217</v>
      </c>
      <c r="F89" s="29"/>
      <c r="G89" s="65"/>
      <c r="H89" s="65"/>
      <c r="I89" s="30"/>
      <c r="J89" s="24"/>
      <c r="K89" s="31"/>
      <c r="L89" s="31"/>
      <c r="M89" s="31"/>
      <c r="N89" s="31"/>
      <c r="O89" s="31"/>
      <c r="P89" s="31"/>
      <c r="Q89" s="31"/>
      <c r="R89" s="31"/>
      <c r="S89" s="31"/>
      <c r="T89" s="31"/>
      <c r="U89" s="31"/>
      <c r="V89" s="31"/>
      <c r="W89" s="31"/>
      <c r="X89" s="31"/>
      <c r="Y89" s="31"/>
      <c r="Z89" s="31"/>
      <c r="AA89" s="31"/>
      <c r="AB89" s="31"/>
    </row>
    <row r="90" ht="21.0" customHeight="1">
      <c r="A90" s="32"/>
      <c r="B90" s="63" t="s">
        <v>218</v>
      </c>
      <c r="C90" s="26">
        <v>0.0</v>
      </c>
      <c r="D90" s="27"/>
      <c r="E90" s="88"/>
      <c r="F90" s="29"/>
      <c r="G90" s="56"/>
      <c r="H90" s="56"/>
      <c r="I90" s="34"/>
      <c r="J90" s="32"/>
      <c r="K90" s="31"/>
      <c r="L90" s="31"/>
      <c r="M90" s="31"/>
      <c r="N90" s="31"/>
      <c r="O90" s="31"/>
      <c r="P90" s="31"/>
      <c r="Q90" s="31"/>
      <c r="R90" s="31"/>
      <c r="S90" s="31"/>
      <c r="T90" s="31"/>
      <c r="U90" s="31"/>
      <c r="V90" s="31"/>
      <c r="W90" s="31"/>
      <c r="X90" s="31"/>
      <c r="Y90" s="31"/>
      <c r="Z90" s="31"/>
      <c r="AA90" s="31"/>
      <c r="AB90" s="31"/>
    </row>
    <row r="91" ht="39.0" customHeight="1">
      <c r="A91" s="14">
        <v>23.0</v>
      </c>
      <c r="B91" s="98" t="s">
        <v>219</v>
      </c>
      <c r="C91" s="16"/>
      <c r="D91" s="27"/>
      <c r="E91" s="106" t="s">
        <v>220</v>
      </c>
      <c r="F91" s="29"/>
      <c r="G91" s="37" t="s">
        <v>183</v>
      </c>
      <c r="H91" s="22" t="s">
        <v>221</v>
      </c>
      <c r="I91" s="21" t="s">
        <v>222</v>
      </c>
      <c r="J91" s="22" t="s">
        <v>58</v>
      </c>
      <c r="K91" s="31"/>
      <c r="L91" s="31"/>
      <c r="M91" s="31"/>
      <c r="N91" s="31"/>
      <c r="O91" s="31"/>
      <c r="P91" s="31"/>
      <c r="Q91" s="31"/>
      <c r="R91" s="31"/>
      <c r="S91" s="31"/>
      <c r="T91" s="31"/>
      <c r="U91" s="31"/>
      <c r="V91" s="31"/>
      <c r="W91" s="31"/>
      <c r="X91" s="31"/>
      <c r="Y91" s="31"/>
      <c r="Z91" s="31"/>
      <c r="AA91" s="31"/>
      <c r="AB91" s="31"/>
    </row>
    <row r="92" ht="15.75" customHeight="1">
      <c r="A92" s="24"/>
      <c r="B92" s="63" t="s">
        <v>223</v>
      </c>
      <c r="C92" s="26">
        <v>100.0</v>
      </c>
      <c r="D92" s="27">
        <v>100.0</v>
      </c>
      <c r="E92" s="106" t="s">
        <v>224</v>
      </c>
      <c r="F92" s="29"/>
      <c r="G92" s="65"/>
      <c r="H92" s="65"/>
      <c r="I92" s="30"/>
      <c r="J92" s="24"/>
      <c r="K92" s="31"/>
      <c r="L92" s="31"/>
      <c r="M92" s="31"/>
      <c r="N92" s="31"/>
      <c r="O92" s="31"/>
      <c r="P92" s="31"/>
      <c r="Q92" s="31"/>
      <c r="R92" s="31"/>
      <c r="S92" s="31"/>
      <c r="T92" s="31"/>
      <c r="U92" s="31"/>
      <c r="V92" s="31"/>
      <c r="W92" s="31"/>
      <c r="X92" s="31"/>
      <c r="Y92" s="31"/>
      <c r="Z92" s="31"/>
      <c r="AA92" s="31"/>
      <c r="AB92" s="31"/>
    </row>
    <row r="93" ht="21.0" customHeight="1">
      <c r="A93" s="24"/>
      <c r="B93" s="63" t="s">
        <v>225</v>
      </c>
      <c r="C93" s="26">
        <v>50.0</v>
      </c>
      <c r="D93" s="27"/>
      <c r="E93" s="88"/>
      <c r="F93" s="102"/>
      <c r="G93" s="65"/>
      <c r="H93" s="65"/>
      <c r="I93" s="30"/>
      <c r="J93" s="24"/>
      <c r="K93" s="31"/>
      <c r="L93" s="31"/>
      <c r="M93" s="31"/>
      <c r="N93" s="31"/>
      <c r="O93" s="31"/>
      <c r="P93" s="31"/>
      <c r="Q93" s="31"/>
      <c r="R93" s="31"/>
      <c r="S93" s="31"/>
      <c r="T93" s="31"/>
      <c r="U93" s="31"/>
      <c r="V93" s="31"/>
      <c r="W93" s="31"/>
      <c r="X93" s="31"/>
      <c r="Y93" s="31"/>
      <c r="Z93" s="31"/>
      <c r="AA93" s="31"/>
      <c r="AB93" s="31"/>
    </row>
    <row r="94" ht="21.0" customHeight="1">
      <c r="A94" s="24"/>
      <c r="B94" s="63" t="s">
        <v>226</v>
      </c>
      <c r="C94" s="47">
        <v>25.0</v>
      </c>
      <c r="D94" s="48"/>
      <c r="E94" s="88"/>
      <c r="F94" s="29"/>
      <c r="G94" s="65"/>
      <c r="H94" s="65"/>
      <c r="I94" s="30"/>
      <c r="J94" s="24"/>
      <c r="K94" s="31"/>
      <c r="L94" s="31"/>
      <c r="M94" s="31"/>
      <c r="N94" s="31"/>
      <c r="O94" s="31"/>
      <c r="P94" s="31"/>
      <c r="Q94" s="31"/>
      <c r="R94" s="31"/>
      <c r="S94" s="31"/>
      <c r="T94" s="31"/>
      <c r="U94" s="31"/>
      <c r="V94" s="31"/>
      <c r="W94" s="31"/>
      <c r="X94" s="31"/>
      <c r="Y94" s="31"/>
      <c r="Z94" s="31"/>
      <c r="AA94" s="31"/>
      <c r="AB94" s="31"/>
    </row>
    <row r="95" ht="21.0" customHeight="1">
      <c r="A95" s="32"/>
      <c r="B95" s="105" t="s">
        <v>191</v>
      </c>
      <c r="C95" s="26">
        <v>0.0</v>
      </c>
      <c r="D95" s="48"/>
      <c r="E95" s="88"/>
      <c r="F95" s="29"/>
      <c r="G95" s="56"/>
      <c r="H95" s="56"/>
      <c r="I95" s="34"/>
      <c r="J95" s="32"/>
      <c r="K95" s="31"/>
      <c r="L95" s="31"/>
      <c r="M95" s="31"/>
      <c r="N95" s="31"/>
      <c r="O95" s="31"/>
      <c r="P95" s="31"/>
      <c r="Q95" s="31"/>
      <c r="R95" s="31"/>
      <c r="S95" s="31"/>
      <c r="T95" s="31"/>
      <c r="U95" s="31"/>
      <c r="V95" s="31"/>
      <c r="W95" s="31"/>
      <c r="X95" s="31"/>
      <c r="Y95" s="31"/>
      <c r="Z95" s="31"/>
      <c r="AA95" s="31"/>
      <c r="AB95" s="31"/>
    </row>
    <row r="96" ht="21.0" customHeight="1">
      <c r="A96" s="14">
        <v>24.0</v>
      </c>
      <c r="B96" s="57" t="s">
        <v>227</v>
      </c>
      <c r="C96" s="58"/>
      <c r="D96" s="48"/>
      <c r="E96" s="107" t="s">
        <v>228</v>
      </c>
      <c r="F96" s="29"/>
      <c r="G96" s="22"/>
      <c r="H96" s="22" t="s">
        <v>229</v>
      </c>
      <c r="I96" s="21" t="s">
        <v>230</v>
      </c>
      <c r="J96" s="22" t="s">
        <v>136</v>
      </c>
      <c r="K96" s="31"/>
      <c r="L96" s="31"/>
      <c r="M96" s="31"/>
      <c r="N96" s="31"/>
      <c r="O96" s="31"/>
      <c r="P96" s="31"/>
      <c r="Q96" s="31"/>
      <c r="R96" s="31"/>
      <c r="S96" s="31"/>
      <c r="T96" s="31"/>
      <c r="U96" s="31"/>
      <c r="V96" s="31"/>
      <c r="W96" s="31"/>
      <c r="X96" s="31"/>
      <c r="Y96" s="31"/>
      <c r="Z96" s="31"/>
      <c r="AA96" s="31"/>
      <c r="AB96" s="31"/>
    </row>
    <row r="97" ht="21.0" customHeight="1">
      <c r="A97" s="24"/>
      <c r="B97" s="84" t="s">
        <v>231</v>
      </c>
      <c r="C97" s="108">
        <v>100.0</v>
      </c>
      <c r="D97" s="27">
        <v>100.0</v>
      </c>
      <c r="E97" s="93" t="s">
        <v>232</v>
      </c>
      <c r="F97" s="29"/>
      <c r="G97" s="65"/>
      <c r="H97" s="65"/>
      <c r="I97" s="30"/>
      <c r="J97" s="24"/>
      <c r="K97" s="31"/>
      <c r="L97" s="31"/>
      <c r="M97" s="31"/>
      <c r="N97" s="31"/>
      <c r="O97" s="31"/>
      <c r="P97" s="31"/>
      <c r="Q97" s="31"/>
      <c r="R97" s="31"/>
      <c r="S97" s="31"/>
      <c r="T97" s="31"/>
      <c r="U97" s="31"/>
      <c r="V97" s="31"/>
      <c r="W97" s="31"/>
      <c r="X97" s="31"/>
      <c r="Y97" s="31"/>
      <c r="Z97" s="31"/>
      <c r="AA97" s="31"/>
      <c r="AB97" s="31"/>
    </row>
    <row r="98" ht="21.0" customHeight="1">
      <c r="A98" s="24"/>
      <c r="B98" s="84" t="s">
        <v>233</v>
      </c>
      <c r="C98" s="108">
        <v>75.0</v>
      </c>
      <c r="D98" s="27"/>
      <c r="E98" s="88"/>
      <c r="F98" s="109"/>
      <c r="G98" s="65"/>
      <c r="H98" s="65"/>
      <c r="I98" s="30"/>
      <c r="J98" s="24"/>
      <c r="K98" s="81"/>
      <c r="L98" s="81"/>
      <c r="M98" s="81"/>
      <c r="N98" s="81"/>
      <c r="O98" s="81"/>
      <c r="P98" s="81"/>
      <c r="Q98" s="81"/>
      <c r="R98" s="81"/>
      <c r="S98" s="81"/>
      <c r="T98" s="81"/>
      <c r="U98" s="31"/>
      <c r="V98" s="31"/>
      <c r="W98" s="31"/>
      <c r="X98" s="31"/>
      <c r="Y98" s="31"/>
      <c r="Z98" s="31"/>
      <c r="AA98" s="31"/>
      <c r="AB98" s="31"/>
    </row>
    <row r="99" ht="21.0" customHeight="1">
      <c r="A99" s="24"/>
      <c r="B99" s="110" t="s">
        <v>234</v>
      </c>
      <c r="C99" s="108">
        <v>50.0</v>
      </c>
      <c r="D99" s="48"/>
      <c r="E99" s="88"/>
      <c r="F99" s="111"/>
      <c r="G99" s="65"/>
      <c r="H99" s="65"/>
      <c r="I99" s="30"/>
      <c r="J99" s="24"/>
      <c r="K99" s="81"/>
      <c r="L99" s="81"/>
      <c r="M99" s="81"/>
      <c r="N99" s="81"/>
      <c r="O99" s="81"/>
      <c r="P99" s="81"/>
      <c r="Q99" s="81"/>
      <c r="R99" s="81"/>
      <c r="S99" s="81"/>
      <c r="T99" s="81"/>
      <c r="U99" s="31"/>
      <c r="V99" s="31"/>
      <c r="W99" s="31"/>
      <c r="X99" s="31"/>
      <c r="Y99" s="31"/>
      <c r="Z99" s="31"/>
      <c r="AA99" s="31"/>
      <c r="AB99" s="31"/>
    </row>
    <row r="100" ht="21.0" customHeight="1">
      <c r="A100" s="32"/>
      <c r="B100" s="84" t="s">
        <v>235</v>
      </c>
      <c r="C100" s="112">
        <v>25.0</v>
      </c>
      <c r="D100" s="27"/>
      <c r="E100" s="88"/>
      <c r="F100" s="111"/>
      <c r="G100" s="56"/>
      <c r="H100" s="56"/>
      <c r="I100" s="34"/>
      <c r="J100" s="32"/>
      <c r="K100" s="81"/>
      <c r="L100" s="81"/>
      <c r="M100" s="81"/>
      <c r="N100" s="81"/>
      <c r="O100" s="81"/>
      <c r="P100" s="81"/>
      <c r="Q100" s="81"/>
      <c r="R100" s="81"/>
      <c r="S100" s="81"/>
      <c r="T100" s="81"/>
      <c r="U100" s="31"/>
      <c r="V100" s="31"/>
      <c r="W100" s="31"/>
      <c r="X100" s="31"/>
      <c r="Y100" s="31"/>
      <c r="Z100" s="31"/>
      <c r="AA100" s="31"/>
      <c r="AB100" s="31"/>
    </row>
    <row r="101" ht="21.0" customHeight="1">
      <c r="A101" s="14">
        <v>25.0</v>
      </c>
      <c r="B101" s="98" t="s">
        <v>236</v>
      </c>
      <c r="C101" s="16"/>
      <c r="D101" s="27"/>
      <c r="E101" s="28" t="s">
        <v>237</v>
      </c>
      <c r="F101" s="111"/>
      <c r="G101" s="37" t="s">
        <v>183</v>
      </c>
      <c r="H101" s="22" t="s">
        <v>238</v>
      </c>
      <c r="I101" s="21"/>
      <c r="J101" s="22"/>
      <c r="K101" s="81"/>
      <c r="L101" s="81"/>
      <c r="M101" s="81"/>
      <c r="N101" s="81"/>
      <c r="O101" s="81"/>
      <c r="P101" s="81"/>
      <c r="Q101" s="81"/>
      <c r="R101" s="81"/>
      <c r="S101" s="81"/>
      <c r="T101" s="81"/>
      <c r="U101" s="31"/>
      <c r="V101" s="31"/>
      <c r="W101" s="31"/>
      <c r="X101" s="31"/>
      <c r="Y101" s="31"/>
      <c r="Z101" s="31"/>
      <c r="AA101" s="31"/>
      <c r="AB101" s="31"/>
    </row>
    <row r="102" ht="21.0" customHeight="1">
      <c r="A102" s="24"/>
      <c r="B102" s="63" t="s">
        <v>239</v>
      </c>
      <c r="C102" s="47">
        <v>100.0</v>
      </c>
      <c r="D102" s="27">
        <v>0.0</v>
      </c>
      <c r="E102" s="54" t="s">
        <v>240</v>
      </c>
      <c r="F102" s="111"/>
      <c r="G102" s="65"/>
      <c r="H102" s="65"/>
      <c r="I102" s="30"/>
      <c r="J102" s="24"/>
      <c r="K102" s="81"/>
      <c r="L102" s="81"/>
      <c r="M102" s="81"/>
      <c r="N102" s="81"/>
      <c r="O102" s="81"/>
      <c r="P102" s="81"/>
      <c r="Q102" s="81"/>
      <c r="R102" s="81"/>
      <c r="S102" s="81"/>
      <c r="T102" s="81"/>
      <c r="U102" s="31"/>
      <c r="V102" s="31"/>
      <c r="W102" s="31"/>
      <c r="X102" s="31"/>
      <c r="Y102" s="31"/>
      <c r="Z102" s="31"/>
      <c r="AA102" s="31"/>
      <c r="AB102" s="31"/>
    </row>
    <row r="103" ht="34.5" customHeight="1">
      <c r="A103" s="24"/>
      <c r="B103" s="95" t="s">
        <v>241</v>
      </c>
      <c r="C103" s="47">
        <v>50.0</v>
      </c>
      <c r="D103" s="27"/>
      <c r="E103" s="28" t="s">
        <v>242</v>
      </c>
      <c r="F103" s="102"/>
      <c r="G103" s="65"/>
      <c r="H103" s="65"/>
      <c r="I103" s="30"/>
      <c r="J103" s="24"/>
      <c r="K103" s="23"/>
      <c r="L103" s="23"/>
      <c r="M103" s="23"/>
      <c r="N103" s="23"/>
      <c r="O103" s="23"/>
      <c r="P103" s="23"/>
      <c r="Q103" s="23"/>
      <c r="R103" s="23"/>
      <c r="S103" s="23"/>
      <c r="T103" s="23"/>
      <c r="U103" s="23"/>
      <c r="V103" s="23"/>
      <c r="W103" s="23"/>
      <c r="X103" s="23"/>
      <c r="Y103" s="23"/>
      <c r="Z103" s="23"/>
      <c r="AA103" s="23"/>
      <c r="AB103" s="23"/>
    </row>
    <row r="104" ht="21.0" customHeight="1">
      <c r="A104" s="32"/>
      <c r="B104" s="63" t="s">
        <v>243</v>
      </c>
      <c r="C104" s="26">
        <v>0.0</v>
      </c>
      <c r="D104" s="27"/>
      <c r="E104" s="88"/>
      <c r="F104" s="29"/>
      <c r="G104" s="56"/>
      <c r="H104" s="56"/>
      <c r="I104" s="34"/>
      <c r="J104" s="32"/>
      <c r="K104" s="31"/>
      <c r="L104" s="31"/>
      <c r="M104" s="31"/>
      <c r="N104" s="31"/>
      <c r="O104" s="31"/>
      <c r="P104" s="31"/>
      <c r="Q104" s="31"/>
      <c r="R104" s="31"/>
      <c r="S104" s="31"/>
      <c r="T104" s="31"/>
      <c r="U104" s="31"/>
      <c r="V104" s="31"/>
      <c r="W104" s="31"/>
      <c r="X104" s="31"/>
      <c r="Y104" s="31"/>
      <c r="Z104" s="31"/>
      <c r="AA104" s="31"/>
      <c r="AB104" s="31"/>
    </row>
    <row r="105" ht="21.0" customHeight="1">
      <c r="A105" s="14">
        <v>26.0</v>
      </c>
      <c r="B105" s="98" t="s">
        <v>244</v>
      </c>
      <c r="C105" s="16"/>
      <c r="D105" s="48"/>
      <c r="E105" s="93" t="s">
        <v>245</v>
      </c>
      <c r="F105" s="29"/>
      <c r="G105" s="37" t="s">
        <v>183</v>
      </c>
      <c r="H105" s="22" t="s">
        <v>246</v>
      </c>
      <c r="I105" s="21" t="s">
        <v>247</v>
      </c>
      <c r="J105" s="22" t="s">
        <v>248</v>
      </c>
      <c r="K105" s="31"/>
      <c r="L105" s="31"/>
      <c r="M105" s="31"/>
      <c r="N105" s="31"/>
      <c r="O105" s="31"/>
      <c r="P105" s="31"/>
      <c r="Q105" s="31"/>
      <c r="R105" s="31"/>
      <c r="S105" s="31"/>
      <c r="T105" s="31"/>
      <c r="U105" s="31"/>
      <c r="V105" s="31"/>
      <c r="W105" s="31"/>
      <c r="X105" s="31"/>
      <c r="Y105" s="31"/>
      <c r="Z105" s="31"/>
      <c r="AA105" s="31"/>
      <c r="AB105" s="31"/>
    </row>
    <row r="106" ht="21.0" customHeight="1">
      <c r="A106" s="24"/>
      <c r="B106" s="63" t="s">
        <v>249</v>
      </c>
      <c r="C106" s="26">
        <v>100.0</v>
      </c>
      <c r="D106" s="48">
        <v>100.0</v>
      </c>
      <c r="E106" s="93" t="s">
        <v>250</v>
      </c>
      <c r="F106" s="29"/>
      <c r="G106" s="65"/>
      <c r="H106" s="65"/>
      <c r="I106" s="30"/>
      <c r="J106" s="24"/>
      <c r="K106" s="31"/>
      <c r="L106" s="31"/>
      <c r="M106" s="31"/>
      <c r="N106" s="31"/>
      <c r="O106" s="31"/>
      <c r="P106" s="31"/>
      <c r="Q106" s="31"/>
      <c r="R106" s="31"/>
      <c r="S106" s="31"/>
      <c r="T106" s="31"/>
      <c r="U106" s="31"/>
      <c r="V106" s="31"/>
      <c r="W106" s="31"/>
      <c r="X106" s="31"/>
      <c r="Y106" s="31"/>
      <c r="Z106" s="31"/>
      <c r="AA106" s="31"/>
      <c r="AB106" s="31"/>
    </row>
    <row r="107" ht="36.0" customHeight="1">
      <c r="A107" s="24"/>
      <c r="B107" s="63" t="s">
        <v>251</v>
      </c>
      <c r="C107" s="26">
        <v>50.0</v>
      </c>
      <c r="D107" s="27"/>
      <c r="E107" s="93" t="s">
        <v>252</v>
      </c>
      <c r="F107" s="76"/>
      <c r="G107" s="65"/>
      <c r="H107" s="65"/>
      <c r="I107" s="30"/>
      <c r="J107" s="24"/>
      <c r="K107" s="31"/>
      <c r="L107" s="31"/>
      <c r="M107" s="31"/>
      <c r="N107" s="31"/>
      <c r="O107" s="31"/>
      <c r="P107" s="31"/>
      <c r="Q107" s="31"/>
      <c r="R107" s="31"/>
      <c r="S107" s="31"/>
      <c r="T107" s="31"/>
      <c r="U107" s="31"/>
      <c r="V107" s="31"/>
      <c r="W107" s="31"/>
      <c r="X107" s="31"/>
      <c r="Y107" s="31"/>
      <c r="Z107" s="31"/>
      <c r="AA107" s="31"/>
      <c r="AB107" s="31"/>
    </row>
    <row r="108" ht="21.0" customHeight="1">
      <c r="A108" s="24"/>
      <c r="B108" s="95" t="s">
        <v>253</v>
      </c>
      <c r="C108" s="47">
        <v>0.0</v>
      </c>
      <c r="D108" s="48"/>
      <c r="E108" s="88"/>
      <c r="F108" s="29"/>
      <c r="G108" s="65"/>
      <c r="H108" s="65"/>
      <c r="I108" s="30"/>
      <c r="J108" s="32"/>
      <c r="K108" s="31"/>
      <c r="L108" s="31"/>
      <c r="M108" s="31"/>
      <c r="N108" s="31"/>
      <c r="O108" s="31"/>
      <c r="P108" s="31"/>
      <c r="Q108" s="31"/>
      <c r="R108" s="31"/>
      <c r="S108" s="31"/>
      <c r="T108" s="31"/>
      <c r="U108" s="31"/>
      <c r="V108" s="31"/>
      <c r="W108" s="31"/>
      <c r="X108" s="31"/>
      <c r="Y108" s="31"/>
      <c r="Z108" s="31"/>
      <c r="AA108" s="31"/>
      <c r="AB108" s="31"/>
    </row>
    <row r="109" ht="36.75" customHeight="1">
      <c r="A109" s="14">
        <v>27.0</v>
      </c>
      <c r="B109" s="98" t="s">
        <v>254</v>
      </c>
      <c r="C109" s="16"/>
      <c r="D109" s="48"/>
      <c r="E109" s="28" t="s">
        <v>255</v>
      </c>
      <c r="F109" s="29"/>
      <c r="G109" s="37" t="s">
        <v>183</v>
      </c>
      <c r="H109" s="37" t="s">
        <v>256</v>
      </c>
      <c r="I109" s="21" t="s">
        <v>247</v>
      </c>
      <c r="J109" s="62" t="s">
        <v>257</v>
      </c>
      <c r="K109" s="31"/>
      <c r="L109" s="31"/>
      <c r="M109" s="31"/>
      <c r="N109" s="31"/>
      <c r="O109" s="31"/>
      <c r="P109" s="31"/>
      <c r="Q109" s="31"/>
      <c r="R109" s="31"/>
      <c r="S109" s="31"/>
      <c r="T109" s="31"/>
      <c r="U109" s="31"/>
      <c r="V109" s="31"/>
      <c r="W109" s="31"/>
      <c r="X109" s="31"/>
      <c r="Y109" s="31"/>
      <c r="Z109" s="31"/>
      <c r="AA109" s="31"/>
      <c r="AB109" s="31"/>
    </row>
    <row r="110" ht="21.0" customHeight="1">
      <c r="A110" s="24"/>
      <c r="B110" s="63" t="s">
        <v>258</v>
      </c>
      <c r="C110" s="43">
        <v>100.0</v>
      </c>
      <c r="D110" s="27">
        <v>100.0</v>
      </c>
      <c r="E110" s="28" t="s">
        <v>259</v>
      </c>
      <c r="F110" s="29"/>
      <c r="G110" s="40"/>
      <c r="H110" s="40"/>
      <c r="I110" s="30"/>
      <c r="J110" s="24"/>
      <c r="K110" s="31"/>
      <c r="L110" s="31"/>
      <c r="M110" s="31"/>
      <c r="N110" s="31"/>
      <c r="O110" s="31"/>
      <c r="P110" s="31"/>
      <c r="Q110" s="31"/>
      <c r="R110" s="31"/>
      <c r="S110" s="31"/>
      <c r="T110" s="31"/>
      <c r="U110" s="31"/>
      <c r="V110" s="31"/>
      <c r="W110" s="31"/>
      <c r="X110" s="31"/>
      <c r="Y110" s="31"/>
      <c r="Z110" s="31"/>
      <c r="AA110" s="31"/>
      <c r="AB110" s="31"/>
    </row>
    <row r="111" ht="21.0" customHeight="1">
      <c r="A111" s="24"/>
      <c r="B111" s="63" t="s">
        <v>260</v>
      </c>
      <c r="C111" s="43">
        <v>50.0</v>
      </c>
      <c r="D111" s="27"/>
      <c r="E111" s="28" t="s">
        <v>261</v>
      </c>
      <c r="F111" s="29"/>
      <c r="G111" s="40"/>
      <c r="H111" s="40"/>
      <c r="I111" s="30"/>
      <c r="J111" s="24"/>
      <c r="K111" s="31"/>
      <c r="L111" s="31"/>
      <c r="M111" s="31"/>
      <c r="N111" s="31"/>
      <c r="O111" s="31"/>
      <c r="P111" s="31"/>
      <c r="Q111" s="31"/>
      <c r="R111" s="31"/>
      <c r="S111" s="31"/>
      <c r="T111" s="31"/>
      <c r="U111" s="31"/>
      <c r="V111" s="31"/>
      <c r="W111" s="31"/>
      <c r="X111" s="31"/>
      <c r="Y111" s="31"/>
      <c r="Z111" s="31"/>
      <c r="AA111" s="31"/>
      <c r="AB111" s="31"/>
    </row>
    <row r="112" ht="67.5" customHeight="1">
      <c r="A112" s="32"/>
      <c r="B112" s="63" t="s">
        <v>262</v>
      </c>
      <c r="C112" s="43">
        <v>0.0</v>
      </c>
      <c r="D112" s="27"/>
      <c r="E112" s="88"/>
      <c r="F112" s="109"/>
      <c r="G112" s="40"/>
      <c r="H112" s="40"/>
      <c r="I112" s="30"/>
      <c r="J112" s="32"/>
      <c r="K112" s="31"/>
      <c r="L112" s="31"/>
      <c r="M112" s="31"/>
      <c r="N112" s="31"/>
      <c r="O112" s="31"/>
      <c r="P112" s="31"/>
      <c r="Q112" s="31"/>
      <c r="R112" s="31"/>
      <c r="S112" s="31"/>
      <c r="T112" s="31"/>
      <c r="U112" s="31"/>
      <c r="V112" s="31"/>
      <c r="W112" s="31"/>
      <c r="X112" s="31"/>
      <c r="Y112" s="31"/>
      <c r="Z112" s="31"/>
      <c r="AA112" s="31"/>
      <c r="AB112" s="31"/>
    </row>
    <row r="113" ht="21.0" customHeight="1">
      <c r="A113" s="75">
        <v>28.0</v>
      </c>
      <c r="B113" s="15" t="s">
        <v>263</v>
      </c>
      <c r="C113" s="16"/>
      <c r="D113" s="27"/>
      <c r="E113" s="28" t="s">
        <v>264</v>
      </c>
      <c r="F113" s="29"/>
      <c r="G113" s="37" t="s">
        <v>183</v>
      </c>
      <c r="H113" s="22" t="s">
        <v>265</v>
      </c>
      <c r="I113" s="21" t="s">
        <v>86</v>
      </c>
      <c r="J113" s="22" t="s">
        <v>266</v>
      </c>
      <c r="K113" s="31"/>
      <c r="L113" s="31"/>
      <c r="M113" s="31"/>
      <c r="N113" s="31"/>
      <c r="O113" s="31"/>
      <c r="P113" s="31"/>
      <c r="Q113" s="31"/>
      <c r="R113" s="31"/>
      <c r="S113" s="31"/>
      <c r="T113" s="31"/>
      <c r="U113" s="31"/>
      <c r="V113" s="31"/>
      <c r="W113" s="31"/>
      <c r="X113" s="31"/>
      <c r="Y113" s="31"/>
      <c r="Z113" s="31"/>
      <c r="AA113" s="31"/>
      <c r="AB113" s="31"/>
    </row>
    <row r="114" ht="21.0" customHeight="1">
      <c r="A114" s="24"/>
      <c r="B114" s="63" t="s">
        <v>267</v>
      </c>
      <c r="C114" s="26">
        <v>100.0</v>
      </c>
      <c r="D114" s="48">
        <v>100.0</v>
      </c>
      <c r="E114" s="54" t="s">
        <v>268</v>
      </c>
      <c r="F114" s="29"/>
      <c r="G114" s="65"/>
      <c r="H114" s="65"/>
      <c r="I114" s="30"/>
      <c r="J114" s="24"/>
      <c r="K114" s="31"/>
      <c r="L114" s="31"/>
      <c r="M114" s="31"/>
      <c r="N114" s="31"/>
      <c r="O114" s="31"/>
      <c r="P114" s="31"/>
      <c r="Q114" s="31"/>
      <c r="R114" s="31"/>
      <c r="S114" s="31"/>
      <c r="T114" s="31"/>
      <c r="U114" s="31"/>
      <c r="V114" s="31"/>
      <c r="W114" s="31"/>
      <c r="X114" s="31"/>
      <c r="Y114" s="31"/>
      <c r="Z114" s="31"/>
      <c r="AA114" s="31"/>
      <c r="AB114" s="31"/>
    </row>
    <row r="115" ht="21.0" customHeight="1">
      <c r="A115" s="24"/>
      <c r="B115" s="95" t="s">
        <v>269</v>
      </c>
      <c r="C115" s="47">
        <v>50.0</v>
      </c>
      <c r="D115" s="48"/>
      <c r="E115" s="28"/>
      <c r="F115" s="29"/>
      <c r="G115" s="65"/>
      <c r="H115" s="65"/>
      <c r="I115" s="30"/>
      <c r="J115" s="24"/>
      <c r="K115" s="31"/>
      <c r="L115" s="31"/>
      <c r="M115" s="31"/>
      <c r="N115" s="31"/>
      <c r="O115" s="31"/>
      <c r="P115" s="31"/>
      <c r="Q115" s="31"/>
      <c r="R115" s="31"/>
      <c r="S115" s="31"/>
      <c r="T115" s="31"/>
      <c r="U115" s="31"/>
      <c r="V115" s="31"/>
      <c r="W115" s="31"/>
      <c r="X115" s="31"/>
      <c r="Y115" s="31"/>
      <c r="Z115" s="31"/>
      <c r="AA115" s="31"/>
      <c r="AB115" s="31"/>
    </row>
    <row r="116" ht="43.5" customHeight="1">
      <c r="A116" s="24"/>
      <c r="B116" s="95" t="s">
        <v>270</v>
      </c>
      <c r="C116" s="78">
        <v>0.0</v>
      </c>
      <c r="D116" s="27"/>
      <c r="E116" s="88"/>
      <c r="F116" s="109"/>
      <c r="G116" s="56"/>
      <c r="H116" s="56"/>
      <c r="I116" s="34"/>
      <c r="J116" s="32"/>
      <c r="K116" s="31"/>
      <c r="L116" s="31"/>
      <c r="M116" s="31"/>
      <c r="N116" s="31"/>
      <c r="O116" s="31"/>
      <c r="P116" s="31"/>
      <c r="Q116" s="31"/>
      <c r="R116" s="31"/>
      <c r="S116" s="31"/>
      <c r="T116" s="31"/>
      <c r="U116" s="31"/>
      <c r="V116" s="31"/>
      <c r="W116" s="31"/>
      <c r="X116" s="31"/>
      <c r="Y116" s="31"/>
      <c r="Z116" s="31"/>
      <c r="AA116" s="31"/>
      <c r="AB116" s="31"/>
    </row>
    <row r="117" ht="57.0" customHeight="1">
      <c r="A117" s="14">
        <v>29.0</v>
      </c>
      <c r="B117" s="82" t="s">
        <v>271</v>
      </c>
      <c r="C117" s="43"/>
      <c r="D117" s="48"/>
      <c r="E117" s="28" t="s">
        <v>272</v>
      </c>
      <c r="F117" s="29"/>
      <c r="G117" s="37" t="s">
        <v>183</v>
      </c>
      <c r="H117" s="22" t="s">
        <v>273</v>
      </c>
      <c r="I117" s="113"/>
      <c r="J117" s="25"/>
      <c r="K117" s="31"/>
      <c r="L117" s="31"/>
      <c r="M117" s="31"/>
      <c r="N117" s="31"/>
      <c r="O117" s="31"/>
      <c r="P117" s="31"/>
      <c r="Q117" s="31"/>
      <c r="R117" s="31"/>
      <c r="S117" s="31"/>
      <c r="T117" s="31"/>
      <c r="U117" s="31"/>
      <c r="V117" s="31"/>
      <c r="W117" s="31"/>
      <c r="X117" s="31"/>
      <c r="Y117" s="31"/>
      <c r="Z117" s="31"/>
      <c r="AA117" s="31"/>
      <c r="AB117" s="31"/>
    </row>
    <row r="118" ht="37.5" customHeight="1">
      <c r="A118" s="75"/>
      <c r="B118" s="82" t="s">
        <v>274</v>
      </c>
      <c r="C118" s="43">
        <v>100.0</v>
      </c>
      <c r="D118" s="27">
        <v>100.0</v>
      </c>
      <c r="E118" s="74" t="s">
        <v>275</v>
      </c>
      <c r="F118" s="29"/>
      <c r="G118" s="65"/>
      <c r="H118" s="65"/>
      <c r="I118" s="113"/>
      <c r="J118" s="25"/>
      <c r="K118" s="31"/>
      <c r="L118" s="31"/>
      <c r="M118" s="31"/>
      <c r="N118" s="31"/>
      <c r="O118" s="31"/>
      <c r="P118" s="31"/>
      <c r="Q118" s="31"/>
      <c r="R118" s="31"/>
      <c r="S118" s="31"/>
      <c r="T118" s="31"/>
      <c r="U118" s="31"/>
      <c r="V118" s="31"/>
      <c r="W118" s="31"/>
      <c r="X118" s="31"/>
      <c r="Y118" s="31"/>
      <c r="Z118" s="31"/>
      <c r="AA118" s="31"/>
      <c r="AB118" s="31"/>
    </row>
    <row r="119" ht="36.0" customHeight="1">
      <c r="A119" s="75"/>
      <c r="B119" s="82" t="s">
        <v>276</v>
      </c>
      <c r="C119" s="43">
        <v>50.0</v>
      </c>
      <c r="D119" s="48"/>
      <c r="E119" s="114"/>
      <c r="F119" s="29"/>
      <c r="G119" s="65"/>
      <c r="H119" s="65"/>
      <c r="I119" s="113"/>
      <c r="J119" s="25"/>
      <c r="K119" s="31"/>
      <c r="L119" s="31"/>
      <c r="M119" s="31"/>
      <c r="N119" s="31"/>
      <c r="O119" s="31"/>
      <c r="P119" s="31"/>
      <c r="Q119" s="31"/>
      <c r="R119" s="31"/>
      <c r="S119" s="31"/>
      <c r="T119" s="31"/>
      <c r="U119" s="31"/>
      <c r="V119" s="31"/>
      <c r="W119" s="31"/>
      <c r="X119" s="31"/>
      <c r="Y119" s="31"/>
      <c r="Z119" s="31"/>
      <c r="AA119" s="31"/>
      <c r="AB119" s="31"/>
    </row>
    <row r="120" ht="59.25" customHeight="1">
      <c r="A120" s="75"/>
      <c r="B120" s="82" t="s">
        <v>277</v>
      </c>
      <c r="C120" s="43">
        <v>25.0</v>
      </c>
      <c r="D120" s="48"/>
      <c r="E120" s="115"/>
      <c r="F120" s="116"/>
      <c r="G120" s="52"/>
      <c r="H120" s="65"/>
      <c r="I120" s="113"/>
      <c r="J120" s="25"/>
      <c r="K120" s="31"/>
      <c r="L120" s="31"/>
      <c r="M120" s="31"/>
      <c r="N120" s="31"/>
      <c r="O120" s="31"/>
      <c r="P120" s="31"/>
      <c r="Q120" s="31"/>
      <c r="R120" s="31"/>
      <c r="S120" s="31"/>
      <c r="T120" s="31"/>
      <c r="U120" s="31"/>
      <c r="V120" s="31"/>
      <c r="W120" s="31"/>
      <c r="X120" s="31"/>
      <c r="Y120" s="31"/>
      <c r="Z120" s="31"/>
      <c r="AA120" s="31"/>
      <c r="AB120" s="31"/>
    </row>
    <row r="121" ht="51.0" customHeight="1">
      <c r="A121" s="91"/>
      <c r="B121" s="82" t="s">
        <v>278</v>
      </c>
      <c r="C121" s="43">
        <v>0.0</v>
      </c>
      <c r="D121" s="48"/>
      <c r="E121" s="117"/>
      <c r="F121" s="116"/>
      <c r="G121" s="113"/>
      <c r="H121" s="56"/>
      <c r="I121" s="113"/>
      <c r="J121" s="25"/>
      <c r="K121" s="31"/>
      <c r="L121" s="31"/>
      <c r="M121" s="31"/>
      <c r="N121" s="31"/>
      <c r="O121" s="31"/>
      <c r="P121" s="31"/>
      <c r="Q121" s="31"/>
      <c r="R121" s="31"/>
      <c r="S121" s="31"/>
      <c r="T121" s="31"/>
      <c r="U121" s="31"/>
      <c r="V121" s="31"/>
      <c r="W121" s="31"/>
      <c r="X121" s="31"/>
      <c r="Y121" s="31"/>
      <c r="Z121" s="31"/>
      <c r="AA121" s="31"/>
      <c r="AB121" s="31"/>
    </row>
    <row r="122" ht="21.0" customHeight="1">
      <c r="A122" s="14">
        <v>30.0</v>
      </c>
      <c r="B122" s="95" t="s">
        <v>279</v>
      </c>
      <c r="C122" s="72"/>
      <c r="D122" s="48"/>
      <c r="E122" s="18" t="s">
        <v>280</v>
      </c>
      <c r="F122" s="116"/>
      <c r="G122" s="37" t="s">
        <v>183</v>
      </c>
      <c r="H122" s="62" t="s">
        <v>281</v>
      </c>
      <c r="I122" s="62" t="s">
        <v>282</v>
      </c>
      <c r="J122" s="62" t="s">
        <v>283</v>
      </c>
      <c r="K122" s="31"/>
      <c r="L122" s="31"/>
      <c r="M122" s="31"/>
      <c r="N122" s="31"/>
      <c r="O122" s="31"/>
      <c r="P122" s="31"/>
      <c r="Q122" s="31"/>
      <c r="R122" s="31"/>
      <c r="S122" s="31"/>
      <c r="T122" s="31"/>
      <c r="U122" s="31"/>
      <c r="V122" s="31"/>
      <c r="W122" s="31"/>
      <c r="X122" s="31"/>
      <c r="Y122" s="31"/>
      <c r="Z122" s="31"/>
      <c r="AA122" s="31"/>
      <c r="AB122" s="31"/>
    </row>
    <row r="123" ht="21.0" customHeight="1">
      <c r="A123" s="24"/>
      <c r="B123" s="63" t="s">
        <v>284</v>
      </c>
      <c r="C123" s="72">
        <v>100.0</v>
      </c>
      <c r="D123" s="48">
        <v>100.0</v>
      </c>
      <c r="E123" s="28" t="s">
        <v>285</v>
      </c>
      <c r="F123" s="116"/>
      <c r="G123" s="118"/>
      <c r="H123" s="61"/>
      <c r="I123" s="24"/>
      <c r="J123" s="24"/>
      <c r="K123" s="31"/>
      <c r="L123" s="31"/>
      <c r="M123" s="31"/>
      <c r="N123" s="31"/>
      <c r="O123" s="31"/>
      <c r="P123" s="31"/>
      <c r="Q123" s="31"/>
      <c r="R123" s="31"/>
      <c r="S123" s="31"/>
      <c r="T123" s="31"/>
      <c r="U123" s="31"/>
      <c r="V123" s="31"/>
      <c r="W123" s="31"/>
      <c r="X123" s="31"/>
      <c r="Y123" s="31"/>
      <c r="Z123" s="31"/>
      <c r="AA123" s="31"/>
      <c r="AB123" s="31"/>
    </row>
    <row r="124" ht="21.0" customHeight="1">
      <c r="A124" s="32"/>
      <c r="B124" s="63" t="s">
        <v>286</v>
      </c>
      <c r="C124" s="72">
        <v>0.0</v>
      </c>
      <c r="D124" s="48"/>
      <c r="E124" s="119" t="s">
        <v>287</v>
      </c>
      <c r="F124" s="116"/>
      <c r="G124" s="72"/>
      <c r="H124" s="35"/>
      <c r="I124" s="32"/>
      <c r="J124" s="32"/>
      <c r="K124" s="31"/>
      <c r="L124" s="31"/>
      <c r="M124" s="31"/>
      <c r="N124" s="31"/>
      <c r="O124" s="31"/>
      <c r="P124" s="31"/>
      <c r="Q124" s="31"/>
      <c r="R124" s="31"/>
      <c r="S124" s="31"/>
      <c r="T124" s="31"/>
      <c r="U124" s="31"/>
      <c r="V124" s="31"/>
      <c r="W124" s="31"/>
      <c r="X124" s="31"/>
      <c r="Y124" s="31"/>
      <c r="Z124" s="31"/>
      <c r="AA124" s="31"/>
      <c r="AB124" s="31"/>
    </row>
    <row r="125" ht="21.0" customHeight="1">
      <c r="A125" s="14">
        <v>31.0</v>
      </c>
      <c r="B125" s="63" t="s">
        <v>288</v>
      </c>
      <c r="C125" s="72"/>
      <c r="D125" s="48"/>
      <c r="E125" s="119" t="s">
        <v>289</v>
      </c>
      <c r="F125" s="116"/>
      <c r="G125" s="37" t="s">
        <v>183</v>
      </c>
      <c r="H125" s="62" t="s">
        <v>290</v>
      </c>
      <c r="I125" s="62" t="s">
        <v>282</v>
      </c>
      <c r="J125" s="62" t="s">
        <v>283</v>
      </c>
      <c r="K125" s="31"/>
      <c r="L125" s="31"/>
      <c r="M125" s="31"/>
      <c r="N125" s="31"/>
      <c r="O125" s="31"/>
      <c r="P125" s="31"/>
      <c r="Q125" s="31"/>
      <c r="R125" s="31"/>
      <c r="S125" s="31"/>
      <c r="T125" s="31"/>
      <c r="U125" s="31"/>
      <c r="V125" s="31"/>
      <c r="W125" s="31"/>
      <c r="X125" s="31"/>
      <c r="Y125" s="31"/>
      <c r="Z125" s="31"/>
      <c r="AA125" s="31"/>
      <c r="AB125" s="31"/>
    </row>
    <row r="126" ht="21.0" customHeight="1">
      <c r="A126" s="24"/>
      <c r="B126" s="63" t="s">
        <v>291</v>
      </c>
      <c r="C126" s="72">
        <v>100.0</v>
      </c>
      <c r="D126" s="48">
        <v>100.0</v>
      </c>
      <c r="E126" s="54" t="s">
        <v>292</v>
      </c>
      <c r="F126" s="116"/>
      <c r="G126" s="118"/>
      <c r="H126" s="61"/>
      <c r="I126" s="24"/>
      <c r="J126" s="24"/>
      <c r="K126" s="31"/>
      <c r="L126" s="31"/>
      <c r="M126" s="31"/>
      <c r="N126" s="31"/>
      <c r="O126" s="31"/>
      <c r="P126" s="31"/>
      <c r="Q126" s="31"/>
      <c r="R126" s="31"/>
      <c r="S126" s="31"/>
      <c r="T126" s="31"/>
      <c r="U126" s="31"/>
      <c r="V126" s="31"/>
      <c r="W126" s="31"/>
      <c r="X126" s="31"/>
      <c r="Y126" s="31"/>
      <c r="Z126" s="31"/>
      <c r="AA126" s="31"/>
      <c r="AB126" s="31"/>
    </row>
    <row r="127" ht="21.0" customHeight="1">
      <c r="A127" s="32"/>
      <c r="B127" s="63" t="s">
        <v>293</v>
      </c>
      <c r="C127" s="72">
        <v>0.0</v>
      </c>
      <c r="D127" s="48"/>
      <c r="E127" s="119" t="s">
        <v>294</v>
      </c>
      <c r="F127" s="116"/>
      <c r="G127" s="72"/>
      <c r="H127" s="35"/>
      <c r="I127" s="32"/>
      <c r="J127" s="32"/>
      <c r="K127" s="31"/>
      <c r="L127" s="31"/>
      <c r="M127" s="31"/>
      <c r="N127" s="31"/>
      <c r="O127" s="31"/>
      <c r="P127" s="31"/>
      <c r="Q127" s="31"/>
      <c r="R127" s="31"/>
      <c r="S127" s="31"/>
      <c r="T127" s="31"/>
      <c r="U127" s="31"/>
      <c r="V127" s="31"/>
      <c r="W127" s="31"/>
      <c r="X127" s="31"/>
      <c r="Y127" s="31"/>
      <c r="Z127" s="31"/>
      <c r="AA127" s="31"/>
      <c r="AB127" s="31"/>
    </row>
    <row r="128" ht="21.0" customHeight="1">
      <c r="A128" s="14">
        <v>32.0</v>
      </c>
      <c r="B128" s="63" t="s">
        <v>295</v>
      </c>
      <c r="C128" s="72"/>
      <c r="D128" s="48"/>
      <c r="E128" s="120" t="s">
        <v>296</v>
      </c>
      <c r="F128" s="116"/>
      <c r="G128" s="37" t="s">
        <v>183</v>
      </c>
      <c r="H128" s="62" t="s">
        <v>297</v>
      </c>
      <c r="I128" s="62" t="s">
        <v>282</v>
      </c>
      <c r="J128" s="62" t="s">
        <v>283</v>
      </c>
      <c r="K128" s="31"/>
      <c r="L128" s="31"/>
      <c r="M128" s="31"/>
      <c r="N128" s="31"/>
      <c r="O128" s="31"/>
      <c r="P128" s="31"/>
      <c r="Q128" s="31"/>
      <c r="R128" s="31"/>
      <c r="S128" s="31"/>
      <c r="T128" s="31"/>
      <c r="U128" s="31"/>
      <c r="V128" s="31"/>
      <c r="W128" s="31"/>
      <c r="X128" s="31"/>
      <c r="Y128" s="31"/>
      <c r="Z128" s="31"/>
      <c r="AA128" s="31"/>
      <c r="AB128" s="31"/>
    </row>
    <row r="129" ht="21.0" customHeight="1">
      <c r="A129" s="24"/>
      <c r="B129" s="63" t="s">
        <v>298</v>
      </c>
      <c r="C129" s="72">
        <v>100.0</v>
      </c>
      <c r="D129" s="48">
        <v>100.0</v>
      </c>
      <c r="E129" s="18" t="s">
        <v>299</v>
      </c>
      <c r="F129" s="116"/>
      <c r="G129" s="118"/>
      <c r="H129" s="61"/>
      <c r="I129" s="24"/>
      <c r="J129" s="24"/>
      <c r="K129" s="31"/>
      <c r="L129" s="31"/>
      <c r="M129" s="31"/>
      <c r="N129" s="31"/>
      <c r="O129" s="31"/>
      <c r="P129" s="31"/>
      <c r="Q129" s="31"/>
      <c r="R129" s="31"/>
      <c r="S129" s="31"/>
      <c r="T129" s="31"/>
      <c r="U129" s="31"/>
      <c r="V129" s="31"/>
      <c r="W129" s="31"/>
      <c r="X129" s="31"/>
      <c r="Y129" s="31"/>
      <c r="Z129" s="31"/>
      <c r="AA129" s="31"/>
      <c r="AB129" s="31"/>
    </row>
    <row r="130" ht="21.0" customHeight="1">
      <c r="A130" s="32"/>
      <c r="B130" s="63" t="s">
        <v>293</v>
      </c>
      <c r="C130" s="72">
        <v>0.0</v>
      </c>
      <c r="D130" s="48"/>
      <c r="E130" s="119" t="s">
        <v>300</v>
      </c>
      <c r="F130" s="116"/>
      <c r="G130" s="72"/>
      <c r="H130" s="35"/>
      <c r="I130" s="32"/>
      <c r="J130" s="32"/>
      <c r="K130" s="31"/>
      <c r="L130" s="31"/>
      <c r="M130" s="31"/>
      <c r="N130" s="31"/>
      <c r="O130" s="31"/>
      <c r="P130" s="31"/>
      <c r="Q130" s="31"/>
      <c r="R130" s="31"/>
      <c r="S130" s="31"/>
      <c r="T130" s="31"/>
      <c r="U130" s="31"/>
      <c r="V130" s="31"/>
      <c r="W130" s="31"/>
      <c r="X130" s="31"/>
      <c r="Y130" s="31"/>
      <c r="Z130" s="31"/>
      <c r="AA130" s="31"/>
      <c r="AB130" s="31"/>
    </row>
    <row r="131" ht="43.5" customHeight="1">
      <c r="A131" s="14">
        <v>33.0</v>
      </c>
      <c r="B131" s="121" t="s">
        <v>301</v>
      </c>
      <c r="C131" s="72"/>
      <c r="D131" s="48"/>
      <c r="E131" s="119" t="s">
        <v>302</v>
      </c>
      <c r="F131" s="116"/>
      <c r="G131" s="37" t="s">
        <v>183</v>
      </c>
      <c r="H131" s="22" t="s">
        <v>303</v>
      </c>
      <c r="I131" s="62" t="s">
        <v>304</v>
      </c>
      <c r="J131" s="62" t="s">
        <v>305</v>
      </c>
      <c r="K131" s="31"/>
      <c r="L131" s="31"/>
      <c r="M131" s="31"/>
      <c r="N131" s="31"/>
      <c r="O131" s="31"/>
      <c r="P131" s="31"/>
      <c r="Q131" s="31"/>
      <c r="R131" s="31"/>
      <c r="S131" s="31"/>
      <c r="T131" s="31"/>
      <c r="U131" s="31"/>
      <c r="V131" s="31"/>
      <c r="W131" s="31"/>
      <c r="X131" s="31"/>
      <c r="Y131" s="31"/>
      <c r="Z131" s="31"/>
      <c r="AA131" s="31"/>
      <c r="AB131" s="31"/>
    </row>
    <row r="132" ht="38.25" customHeight="1">
      <c r="A132" s="24"/>
      <c r="B132" s="63" t="s">
        <v>306</v>
      </c>
      <c r="C132" s="72">
        <v>100.0</v>
      </c>
      <c r="D132" s="48">
        <v>100.0</v>
      </c>
      <c r="E132" s="54" t="s">
        <v>307</v>
      </c>
      <c r="F132" s="116"/>
      <c r="G132" s="37" t="s">
        <v>183</v>
      </c>
      <c r="H132" s="65"/>
      <c r="I132" s="24"/>
      <c r="J132" s="24"/>
      <c r="K132" s="31"/>
      <c r="L132" s="31"/>
      <c r="M132" s="31"/>
      <c r="N132" s="31"/>
      <c r="O132" s="31"/>
      <c r="P132" s="31"/>
      <c r="Q132" s="31"/>
      <c r="R132" s="31"/>
      <c r="S132" s="31"/>
      <c r="T132" s="31"/>
      <c r="U132" s="31"/>
      <c r="V132" s="31"/>
      <c r="W132" s="31"/>
      <c r="X132" s="31"/>
      <c r="Y132" s="31"/>
      <c r="Z132" s="31"/>
      <c r="AA132" s="31"/>
      <c r="AB132" s="31"/>
    </row>
    <row r="133" ht="39.0" customHeight="1">
      <c r="A133" s="24"/>
      <c r="B133" s="63" t="s">
        <v>308</v>
      </c>
      <c r="C133" s="72">
        <v>50.0</v>
      </c>
      <c r="D133" s="72"/>
      <c r="E133" s="119" t="s">
        <v>309</v>
      </c>
      <c r="F133" s="116"/>
      <c r="G133" s="52"/>
      <c r="H133" s="65"/>
      <c r="I133" s="24"/>
      <c r="J133" s="24"/>
      <c r="K133" s="31"/>
      <c r="L133" s="31"/>
      <c r="M133" s="31"/>
      <c r="N133" s="31"/>
      <c r="O133" s="31"/>
      <c r="P133" s="31"/>
      <c r="Q133" s="31"/>
      <c r="R133" s="31"/>
      <c r="S133" s="31"/>
      <c r="T133" s="31"/>
      <c r="U133" s="31"/>
      <c r="V133" s="31"/>
      <c r="W133" s="31"/>
      <c r="X133" s="31"/>
      <c r="Y133" s="31"/>
      <c r="Z133" s="31"/>
      <c r="AA133" s="31"/>
      <c r="AB133" s="31"/>
    </row>
    <row r="134" ht="42.75" customHeight="1">
      <c r="A134" s="32"/>
      <c r="B134" s="63" t="s">
        <v>310</v>
      </c>
      <c r="C134" s="72">
        <v>0.0</v>
      </c>
      <c r="D134" s="72"/>
      <c r="E134" s="122"/>
      <c r="F134" s="116"/>
      <c r="G134" s="113"/>
      <c r="H134" s="56"/>
      <c r="I134" s="32"/>
      <c r="J134" s="32"/>
      <c r="K134" s="31"/>
      <c r="L134" s="31"/>
      <c r="M134" s="31"/>
      <c r="N134" s="31"/>
      <c r="O134" s="31"/>
      <c r="P134" s="31"/>
      <c r="Q134" s="31"/>
      <c r="R134" s="31"/>
      <c r="S134" s="31"/>
      <c r="T134" s="31"/>
      <c r="U134" s="31"/>
      <c r="V134" s="31"/>
      <c r="W134" s="31"/>
      <c r="X134" s="31"/>
      <c r="Y134" s="31"/>
      <c r="Z134" s="31"/>
      <c r="AA134" s="31"/>
      <c r="AB134" s="31"/>
    </row>
    <row r="135" ht="21.0" customHeight="1">
      <c r="A135" s="123"/>
      <c r="B135" s="124" t="s">
        <v>311</v>
      </c>
      <c r="C135" s="124"/>
      <c r="D135" s="125">
        <f>SUM(D10:D134)</f>
        <v>2875</v>
      </c>
      <c r="E135" s="126"/>
      <c r="F135" s="126">
        <f>SUM(F10:F134)</f>
        <v>100</v>
      </c>
      <c r="G135" s="127"/>
      <c r="H135" s="128"/>
      <c r="I135" s="127"/>
      <c r="J135" s="128"/>
      <c r="K135" s="31"/>
      <c r="L135" s="31"/>
      <c r="M135" s="31"/>
      <c r="N135" s="31"/>
      <c r="O135" s="31"/>
      <c r="P135" s="31"/>
      <c r="Q135" s="31"/>
      <c r="R135" s="31"/>
      <c r="S135" s="31"/>
      <c r="T135" s="31"/>
      <c r="U135" s="31"/>
      <c r="V135" s="31"/>
      <c r="W135" s="31"/>
      <c r="X135" s="31"/>
      <c r="Y135" s="31"/>
      <c r="Z135" s="31"/>
      <c r="AA135" s="31"/>
      <c r="AB135" s="31"/>
    </row>
    <row r="136" ht="15.75" customHeight="1">
      <c r="A136" s="1"/>
      <c r="B136" s="2"/>
      <c r="C136" s="2"/>
      <c r="D136" s="3"/>
      <c r="E136" s="4"/>
      <c r="F136" s="2"/>
      <c r="G136" s="129"/>
      <c r="H136" s="129"/>
      <c r="I136" s="129"/>
      <c r="J136" s="129"/>
      <c r="K136" s="13"/>
      <c r="L136" s="13"/>
      <c r="M136" s="13"/>
      <c r="N136" s="13"/>
      <c r="O136" s="13"/>
      <c r="P136" s="13"/>
      <c r="Q136" s="13"/>
      <c r="R136" s="13"/>
      <c r="S136" s="13"/>
      <c r="T136" s="13"/>
      <c r="U136" s="13"/>
      <c r="V136" s="13"/>
      <c r="W136" s="13"/>
      <c r="X136" s="13"/>
      <c r="Y136" s="13"/>
      <c r="Z136" s="13"/>
      <c r="AA136" s="13"/>
      <c r="AB136" s="13"/>
    </row>
    <row r="137" ht="15.75" customHeight="1">
      <c r="A137" s="1"/>
      <c r="B137" s="2"/>
      <c r="C137" s="2" t="s">
        <v>312</v>
      </c>
      <c r="D137" s="3">
        <f>(D135/3300)*100</f>
        <v>87.12121212</v>
      </c>
      <c r="E137" s="4"/>
      <c r="F137" s="2">
        <f>(F135/3300)*100</f>
        <v>3.03030303</v>
      </c>
      <c r="G137" s="129"/>
      <c r="H137" s="129"/>
      <c r="I137" s="129"/>
      <c r="J137" s="129"/>
      <c r="K137" s="13"/>
      <c r="L137" s="13"/>
      <c r="M137" s="13"/>
      <c r="N137" s="13"/>
      <c r="O137" s="13"/>
      <c r="P137" s="13"/>
      <c r="Q137" s="13"/>
      <c r="R137" s="13"/>
      <c r="S137" s="13"/>
      <c r="T137" s="13"/>
      <c r="U137" s="13"/>
      <c r="V137" s="13"/>
      <c r="W137" s="13"/>
      <c r="X137" s="13"/>
      <c r="Y137" s="13"/>
      <c r="Z137" s="13"/>
      <c r="AA137" s="13"/>
      <c r="AB137" s="13"/>
    </row>
    <row r="138" ht="15.75" customHeight="1">
      <c r="A138" s="1"/>
      <c r="B138" s="2"/>
      <c r="C138" s="2"/>
      <c r="D138" s="3"/>
      <c r="E138" s="4"/>
      <c r="F138" s="2"/>
      <c r="G138" s="129"/>
      <c r="H138" s="129"/>
      <c r="I138" s="129"/>
      <c r="J138" s="129"/>
      <c r="K138" s="13"/>
      <c r="L138" s="13"/>
      <c r="M138" s="13"/>
      <c r="N138" s="13"/>
      <c r="O138" s="13"/>
      <c r="P138" s="13"/>
      <c r="Q138" s="13"/>
      <c r="R138" s="13"/>
      <c r="S138" s="13"/>
      <c r="T138" s="13"/>
      <c r="U138" s="13"/>
      <c r="V138" s="13"/>
      <c r="W138" s="13"/>
      <c r="X138" s="13"/>
      <c r="Y138" s="13"/>
      <c r="Z138" s="13"/>
      <c r="AA138" s="13"/>
      <c r="AB138" s="13"/>
    </row>
    <row r="139" ht="15.75" customHeight="1">
      <c r="A139" s="1"/>
      <c r="B139" s="2"/>
      <c r="C139" s="2"/>
      <c r="D139" s="3"/>
      <c r="E139" s="4"/>
      <c r="F139" s="2"/>
      <c r="G139" s="5"/>
      <c r="H139" s="5"/>
      <c r="I139" s="5"/>
      <c r="J139" s="5"/>
      <c r="K139" s="6"/>
      <c r="L139" s="6"/>
      <c r="M139" s="6"/>
      <c r="N139" s="6"/>
      <c r="O139" s="6"/>
      <c r="P139" s="6"/>
      <c r="Q139" s="6"/>
      <c r="R139" s="6"/>
      <c r="S139" s="6"/>
      <c r="T139" s="6"/>
      <c r="U139" s="6"/>
      <c r="V139" s="6"/>
      <c r="W139" s="6"/>
      <c r="X139" s="6"/>
      <c r="Y139" s="6"/>
      <c r="Z139" s="6"/>
      <c r="AA139" s="6"/>
      <c r="AB139" s="6"/>
    </row>
    <row r="140" ht="15.75" customHeight="1">
      <c r="A140" s="1"/>
      <c r="B140" s="2"/>
      <c r="C140" s="2"/>
      <c r="D140" s="3"/>
      <c r="E140" s="4"/>
      <c r="F140" s="2"/>
      <c r="G140" s="5"/>
      <c r="H140" s="5"/>
      <c r="I140" s="5"/>
      <c r="J140" s="5"/>
      <c r="K140" s="6"/>
      <c r="L140" s="6"/>
      <c r="M140" s="6"/>
      <c r="N140" s="6"/>
      <c r="O140" s="6"/>
      <c r="P140" s="6"/>
      <c r="Q140" s="6"/>
      <c r="R140" s="6"/>
      <c r="S140" s="6"/>
      <c r="T140" s="6"/>
      <c r="U140" s="6"/>
      <c r="V140" s="6"/>
      <c r="W140" s="6"/>
      <c r="X140" s="6"/>
      <c r="Y140" s="6"/>
      <c r="Z140" s="6"/>
      <c r="AA140" s="6"/>
      <c r="AB140" s="6"/>
    </row>
    <row r="141" ht="15.75" customHeight="1">
      <c r="A141" s="1"/>
      <c r="B141" s="2"/>
      <c r="C141" s="2"/>
      <c r="D141" s="3"/>
      <c r="E141" s="4"/>
      <c r="F141" s="2"/>
      <c r="G141" s="5"/>
      <c r="H141" s="5"/>
      <c r="I141" s="5"/>
      <c r="J141" s="5"/>
      <c r="K141" s="6"/>
      <c r="L141" s="6"/>
      <c r="M141" s="6"/>
      <c r="N141" s="6"/>
      <c r="O141" s="6"/>
      <c r="P141" s="6"/>
      <c r="Q141" s="6"/>
      <c r="R141" s="6"/>
      <c r="S141" s="6"/>
      <c r="T141" s="6"/>
      <c r="U141" s="6"/>
      <c r="V141" s="6"/>
      <c r="W141" s="6"/>
      <c r="X141" s="6"/>
      <c r="Y141" s="6"/>
      <c r="Z141" s="6"/>
      <c r="AA141" s="6"/>
      <c r="AB141" s="6"/>
    </row>
    <row r="142" ht="15.75" customHeight="1">
      <c r="A142" s="1"/>
      <c r="B142" s="2"/>
      <c r="C142" s="2"/>
      <c r="D142" s="3"/>
      <c r="E142" s="4"/>
      <c r="F142" s="2"/>
      <c r="G142" s="5"/>
      <c r="H142" s="5"/>
      <c r="I142" s="5"/>
      <c r="J142" s="5"/>
      <c r="K142" s="6"/>
      <c r="L142" s="6"/>
      <c r="M142" s="6"/>
      <c r="N142" s="6"/>
      <c r="O142" s="6"/>
      <c r="P142" s="6"/>
      <c r="Q142" s="6"/>
      <c r="R142" s="6"/>
      <c r="S142" s="6"/>
      <c r="T142" s="6"/>
      <c r="U142" s="6"/>
      <c r="V142" s="6"/>
      <c r="W142" s="6"/>
      <c r="X142" s="6"/>
      <c r="Y142" s="6"/>
      <c r="Z142" s="6"/>
      <c r="AA142" s="6"/>
      <c r="AB142" s="6"/>
    </row>
    <row r="143" ht="15.75" customHeight="1">
      <c r="A143" s="1"/>
      <c r="B143" s="2"/>
      <c r="C143" s="2"/>
      <c r="D143" s="3"/>
      <c r="E143" s="4"/>
      <c r="F143" s="2"/>
      <c r="G143" s="5"/>
      <c r="H143" s="5"/>
      <c r="I143" s="5"/>
      <c r="J143" s="5"/>
      <c r="K143" s="6"/>
      <c r="L143" s="6"/>
      <c r="M143" s="6"/>
      <c r="N143" s="6"/>
      <c r="O143" s="6"/>
      <c r="P143" s="6"/>
      <c r="Q143" s="6"/>
      <c r="R143" s="6"/>
      <c r="S143" s="6"/>
      <c r="T143" s="6"/>
      <c r="U143" s="6"/>
      <c r="V143" s="6"/>
      <c r="W143" s="6"/>
      <c r="X143" s="6"/>
      <c r="Y143" s="6"/>
      <c r="Z143" s="6"/>
      <c r="AA143" s="6"/>
      <c r="AB143" s="6"/>
    </row>
    <row r="144" ht="15.75" customHeight="1">
      <c r="A144" s="1"/>
      <c r="B144" s="2"/>
      <c r="C144" s="2"/>
      <c r="D144" s="3"/>
      <c r="E144" s="4"/>
      <c r="F144" s="2"/>
      <c r="G144" s="5"/>
      <c r="H144" s="5"/>
      <c r="I144" s="5"/>
      <c r="J144" s="5"/>
      <c r="K144" s="6"/>
      <c r="L144" s="6"/>
      <c r="M144" s="6"/>
      <c r="N144" s="6"/>
      <c r="O144" s="6"/>
      <c r="P144" s="6"/>
      <c r="Q144" s="6"/>
      <c r="R144" s="6"/>
      <c r="S144" s="6"/>
      <c r="T144" s="6"/>
      <c r="U144" s="6"/>
      <c r="V144" s="6"/>
      <c r="W144" s="6"/>
      <c r="X144" s="6"/>
      <c r="Y144" s="6"/>
      <c r="Z144" s="6"/>
      <c r="AA144" s="6"/>
      <c r="AB144" s="6"/>
    </row>
    <row r="145" ht="15.75" customHeight="1">
      <c r="A145" s="1"/>
      <c r="B145" s="2"/>
      <c r="C145" s="2"/>
      <c r="D145" s="3"/>
      <c r="E145" s="4"/>
      <c r="F145" s="2"/>
      <c r="G145" s="5"/>
      <c r="H145" s="5"/>
      <c r="I145" s="5"/>
      <c r="J145" s="5"/>
      <c r="K145" s="6"/>
      <c r="L145" s="6"/>
      <c r="M145" s="6"/>
      <c r="N145" s="6"/>
      <c r="O145" s="6"/>
      <c r="P145" s="6"/>
      <c r="Q145" s="6"/>
      <c r="R145" s="6"/>
      <c r="S145" s="6"/>
      <c r="T145" s="6"/>
      <c r="U145" s="6"/>
      <c r="V145" s="6"/>
      <c r="W145" s="6"/>
      <c r="X145" s="6"/>
      <c r="Y145" s="6"/>
      <c r="Z145" s="6"/>
      <c r="AA145" s="6"/>
      <c r="AB145" s="6"/>
    </row>
    <row r="146" ht="15.75" customHeight="1">
      <c r="A146" s="1"/>
      <c r="B146" s="2"/>
      <c r="C146" s="2"/>
      <c r="D146" s="3"/>
      <c r="E146" s="4"/>
      <c r="F146" s="2"/>
      <c r="G146" s="5"/>
      <c r="H146" s="5"/>
      <c r="I146" s="5"/>
      <c r="J146" s="5"/>
      <c r="K146" s="6"/>
      <c r="L146" s="6"/>
      <c r="M146" s="6"/>
      <c r="N146" s="6"/>
      <c r="O146" s="6"/>
      <c r="P146" s="6"/>
      <c r="Q146" s="6"/>
      <c r="R146" s="6"/>
      <c r="S146" s="6"/>
      <c r="T146" s="6"/>
      <c r="U146" s="6"/>
      <c r="V146" s="6"/>
      <c r="W146" s="6"/>
      <c r="X146" s="6"/>
      <c r="Y146" s="6"/>
      <c r="Z146" s="6"/>
      <c r="AA146" s="6"/>
      <c r="AB146" s="6"/>
    </row>
    <row r="147" ht="15.75" customHeight="1">
      <c r="A147" s="1"/>
      <c r="B147" s="2"/>
      <c r="C147" s="2"/>
      <c r="D147" s="3"/>
      <c r="E147" s="4"/>
      <c r="F147" s="2"/>
      <c r="G147" s="5"/>
      <c r="H147" s="5"/>
      <c r="I147" s="5"/>
      <c r="J147" s="5"/>
      <c r="K147" s="6"/>
      <c r="L147" s="6"/>
      <c r="M147" s="6"/>
      <c r="N147" s="6"/>
      <c r="O147" s="6"/>
      <c r="P147" s="6"/>
      <c r="Q147" s="6"/>
      <c r="R147" s="6"/>
      <c r="S147" s="6"/>
      <c r="T147" s="6"/>
      <c r="U147" s="6"/>
      <c r="V147" s="6"/>
      <c r="W147" s="6"/>
      <c r="X147" s="6"/>
      <c r="Y147" s="6"/>
      <c r="Z147" s="6"/>
      <c r="AA147" s="6"/>
      <c r="AB147" s="6"/>
    </row>
    <row r="148" ht="15.75" customHeight="1">
      <c r="A148" s="1"/>
      <c r="B148" s="2"/>
      <c r="C148" s="2"/>
      <c r="D148" s="3"/>
      <c r="E148" s="4"/>
      <c r="F148" s="2"/>
      <c r="G148" s="5"/>
      <c r="H148" s="5"/>
      <c r="I148" s="5"/>
      <c r="J148" s="5"/>
      <c r="K148" s="6"/>
      <c r="L148" s="6"/>
      <c r="M148" s="6"/>
      <c r="N148" s="6"/>
      <c r="O148" s="6"/>
      <c r="P148" s="6"/>
      <c r="Q148" s="6"/>
      <c r="R148" s="6"/>
      <c r="S148" s="6"/>
      <c r="T148" s="6"/>
      <c r="U148" s="6"/>
      <c r="V148" s="6"/>
      <c r="W148" s="6"/>
      <c r="X148" s="6"/>
      <c r="Y148" s="6"/>
      <c r="Z148" s="6"/>
      <c r="AA148" s="6"/>
      <c r="AB148" s="6"/>
    </row>
    <row r="149" ht="15.75" customHeight="1">
      <c r="A149" s="1"/>
      <c r="B149" s="2"/>
      <c r="C149" s="2"/>
      <c r="D149" s="3"/>
      <c r="E149" s="4"/>
      <c r="F149" s="2"/>
      <c r="G149" s="5"/>
      <c r="H149" s="5"/>
      <c r="I149" s="5"/>
      <c r="J149" s="5"/>
      <c r="K149" s="6"/>
      <c r="L149" s="6"/>
      <c r="M149" s="6"/>
      <c r="N149" s="6"/>
      <c r="O149" s="6"/>
      <c r="P149" s="6"/>
      <c r="Q149" s="6"/>
      <c r="R149" s="6"/>
      <c r="S149" s="6"/>
      <c r="T149" s="6"/>
      <c r="U149" s="6"/>
      <c r="V149" s="6"/>
      <c r="W149" s="6"/>
      <c r="X149" s="6"/>
      <c r="Y149" s="6"/>
      <c r="Z149" s="6"/>
      <c r="AA149" s="6"/>
      <c r="AB149" s="6"/>
    </row>
    <row r="150" ht="15.75" customHeight="1">
      <c r="A150" s="1"/>
      <c r="B150" s="2"/>
      <c r="C150" s="2"/>
      <c r="D150" s="3"/>
      <c r="E150" s="4"/>
      <c r="F150" s="2"/>
      <c r="G150" s="5"/>
      <c r="H150" s="5"/>
      <c r="I150" s="5"/>
      <c r="J150" s="5"/>
      <c r="K150" s="6"/>
      <c r="L150" s="6"/>
      <c r="M150" s="6"/>
      <c r="N150" s="6"/>
      <c r="O150" s="6"/>
      <c r="P150" s="6"/>
      <c r="Q150" s="6"/>
      <c r="R150" s="6"/>
      <c r="S150" s="6"/>
      <c r="T150" s="6"/>
      <c r="U150" s="6"/>
      <c r="V150" s="6"/>
      <c r="W150" s="6"/>
      <c r="X150" s="6"/>
      <c r="Y150" s="6"/>
      <c r="Z150" s="6"/>
      <c r="AA150" s="6"/>
      <c r="AB150" s="6"/>
    </row>
    <row r="151" ht="15.75" customHeight="1">
      <c r="A151" s="1"/>
      <c r="B151" s="2"/>
      <c r="C151" s="2"/>
      <c r="D151" s="3"/>
      <c r="E151" s="4"/>
      <c r="F151" s="2"/>
      <c r="G151" s="5"/>
      <c r="H151" s="5"/>
      <c r="I151" s="5"/>
      <c r="J151" s="5"/>
      <c r="K151" s="6"/>
      <c r="L151" s="6"/>
      <c r="M151" s="6"/>
      <c r="N151" s="6"/>
      <c r="O151" s="6"/>
      <c r="P151" s="6"/>
      <c r="Q151" s="6"/>
      <c r="R151" s="6"/>
      <c r="S151" s="6"/>
      <c r="T151" s="6"/>
      <c r="U151" s="6"/>
      <c r="V151" s="6"/>
      <c r="W151" s="6"/>
      <c r="X151" s="6"/>
      <c r="Y151" s="6"/>
      <c r="Z151" s="6"/>
      <c r="AA151" s="6"/>
      <c r="AB151" s="6"/>
    </row>
    <row r="152" ht="15.75" customHeight="1">
      <c r="A152" s="1"/>
      <c r="B152" s="2"/>
      <c r="C152" s="2"/>
      <c r="D152" s="3"/>
      <c r="E152" s="4"/>
      <c r="F152" s="2"/>
      <c r="G152" s="5"/>
      <c r="H152" s="5"/>
      <c r="I152" s="5"/>
      <c r="J152" s="5"/>
      <c r="K152" s="6"/>
      <c r="L152" s="6"/>
      <c r="M152" s="6"/>
      <c r="N152" s="6"/>
      <c r="O152" s="6"/>
      <c r="P152" s="6"/>
      <c r="Q152" s="6"/>
      <c r="R152" s="6"/>
      <c r="S152" s="6"/>
      <c r="T152" s="6"/>
      <c r="U152" s="6"/>
      <c r="V152" s="6"/>
      <c r="W152" s="6"/>
      <c r="X152" s="6"/>
      <c r="Y152" s="6"/>
      <c r="Z152" s="6"/>
      <c r="AA152" s="6"/>
      <c r="AB152" s="6"/>
    </row>
    <row r="153" ht="15.75" customHeight="1">
      <c r="A153" s="1"/>
      <c r="B153" s="2"/>
      <c r="C153" s="2"/>
      <c r="D153" s="3"/>
      <c r="E153" s="4"/>
      <c r="F153" s="2"/>
      <c r="G153" s="5"/>
      <c r="H153" s="5"/>
      <c r="I153" s="5"/>
      <c r="J153" s="5"/>
      <c r="K153" s="6"/>
      <c r="L153" s="6"/>
      <c r="M153" s="6"/>
      <c r="N153" s="6"/>
      <c r="O153" s="6"/>
      <c r="P153" s="6"/>
      <c r="Q153" s="6"/>
      <c r="R153" s="6"/>
      <c r="S153" s="6"/>
      <c r="T153" s="6"/>
      <c r="U153" s="6"/>
      <c r="V153" s="6"/>
      <c r="W153" s="6"/>
      <c r="X153" s="6"/>
      <c r="Y153" s="6"/>
      <c r="Z153" s="6"/>
      <c r="AA153" s="6"/>
      <c r="AB153" s="6"/>
    </row>
    <row r="154" ht="15.75" customHeight="1">
      <c r="A154" s="1"/>
      <c r="B154" s="2"/>
      <c r="C154" s="2"/>
      <c r="D154" s="3"/>
      <c r="E154" s="4"/>
      <c r="F154" s="2"/>
      <c r="G154" s="5"/>
      <c r="H154" s="5"/>
      <c r="I154" s="5"/>
      <c r="J154" s="5"/>
      <c r="K154" s="6"/>
      <c r="L154" s="6"/>
      <c r="M154" s="6"/>
      <c r="N154" s="6"/>
      <c r="O154" s="6"/>
      <c r="P154" s="6"/>
      <c r="Q154" s="6"/>
      <c r="R154" s="6"/>
      <c r="S154" s="6"/>
      <c r="T154" s="6"/>
      <c r="U154" s="6"/>
      <c r="V154" s="6"/>
      <c r="W154" s="6"/>
      <c r="X154" s="6"/>
      <c r="Y154" s="6"/>
      <c r="Z154" s="6"/>
      <c r="AA154" s="6"/>
      <c r="AB154" s="6"/>
    </row>
    <row r="155" ht="15.75" customHeight="1">
      <c r="A155" s="1"/>
      <c r="B155" s="2"/>
      <c r="C155" s="2"/>
      <c r="D155" s="3"/>
      <c r="E155" s="4"/>
      <c r="F155" s="2"/>
      <c r="G155" s="5"/>
      <c r="H155" s="5"/>
      <c r="I155" s="5"/>
      <c r="J155" s="5"/>
      <c r="K155" s="6"/>
      <c r="L155" s="6"/>
      <c r="M155" s="6"/>
      <c r="N155" s="6"/>
      <c r="O155" s="6"/>
      <c r="P155" s="6"/>
      <c r="Q155" s="6"/>
      <c r="R155" s="6"/>
      <c r="S155" s="6"/>
      <c r="T155" s="6"/>
      <c r="U155" s="6"/>
      <c r="V155" s="6"/>
      <c r="W155" s="6"/>
      <c r="X155" s="6"/>
      <c r="Y155" s="6"/>
      <c r="Z155" s="6"/>
      <c r="AA155" s="6"/>
      <c r="AB155" s="6"/>
    </row>
    <row r="156" ht="15.75" customHeight="1">
      <c r="A156" s="1"/>
      <c r="B156" s="2"/>
      <c r="C156" s="2"/>
      <c r="D156" s="3"/>
      <c r="E156" s="4"/>
      <c r="F156" s="2"/>
      <c r="G156" s="5"/>
      <c r="H156" s="5"/>
      <c r="I156" s="5"/>
      <c r="J156" s="5"/>
      <c r="K156" s="6"/>
      <c r="L156" s="6"/>
      <c r="M156" s="6"/>
      <c r="N156" s="6"/>
      <c r="O156" s="6"/>
      <c r="P156" s="6"/>
      <c r="Q156" s="6"/>
      <c r="R156" s="6"/>
      <c r="S156" s="6"/>
      <c r="T156" s="6"/>
      <c r="U156" s="6"/>
      <c r="V156" s="6"/>
      <c r="W156" s="6"/>
      <c r="X156" s="6"/>
      <c r="Y156" s="6"/>
      <c r="Z156" s="6"/>
      <c r="AA156" s="6"/>
      <c r="AB156" s="6"/>
    </row>
    <row r="157" ht="15.75" customHeight="1">
      <c r="A157" s="1"/>
      <c r="B157" s="2"/>
      <c r="C157" s="2"/>
      <c r="D157" s="3"/>
      <c r="E157" s="4"/>
      <c r="F157" s="2"/>
      <c r="G157" s="5"/>
      <c r="H157" s="5"/>
      <c r="I157" s="5"/>
      <c r="J157" s="5"/>
      <c r="K157" s="6"/>
      <c r="L157" s="6"/>
      <c r="M157" s="6"/>
      <c r="N157" s="6"/>
      <c r="O157" s="6"/>
      <c r="P157" s="6"/>
      <c r="Q157" s="6"/>
      <c r="R157" s="6"/>
      <c r="S157" s="6"/>
      <c r="T157" s="6"/>
      <c r="U157" s="6"/>
      <c r="V157" s="6"/>
      <c r="W157" s="6"/>
      <c r="X157" s="6"/>
      <c r="Y157" s="6"/>
      <c r="Z157" s="6"/>
      <c r="AA157" s="6"/>
      <c r="AB157" s="6"/>
    </row>
    <row r="158" ht="15.75" customHeight="1">
      <c r="A158" s="1"/>
      <c r="B158" s="2"/>
      <c r="C158" s="2"/>
      <c r="D158" s="3"/>
      <c r="E158" s="4"/>
      <c r="F158" s="2"/>
      <c r="G158" s="5"/>
      <c r="H158" s="5"/>
      <c r="I158" s="5"/>
      <c r="J158" s="5"/>
      <c r="K158" s="6"/>
      <c r="L158" s="6"/>
      <c r="M158" s="6"/>
      <c r="N158" s="6"/>
      <c r="O158" s="6"/>
      <c r="P158" s="6"/>
      <c r="Q158" s="6"/>
      <c r="R158" s="6"/>
      <c r="S158" s="6"/>
      <c r="T158" s="6"/>
      <c r="U158" s="6"/>
      <c r="V158" s="6"/>
      <c r="W158" s="6"/>
      <c r="X158" s="6"/>
      <c r="Y158" s="6"/>
      <c r="Z158" s="6"/>
      <c r="AA158" s="6"/>
      <c r="AB158" s="6"/>
    </row>
    <row r="159" ht="15.75" customHeight="1">
      <c r="A159" s="1"/>
      <c r="B159" s="2"/>
      <c r="C159" s="2"/>
      <c r="D159" s="3"/>
      <c r="E159" s="4"/>
      <c r="F159" s="2"/>
      <c r="G159" s="5"/>
      <c r="H159" s="5"/>
      <c r="I159" s="5"/>
      <c r="J159" s="5"/>
      <c r="K159" s="6"/>
      <c r="L159" s="6"/>
      <c r="M159" s="6"/>
      <c r="N159" s="6"/>
      <c r="O159" s="6"/>
      <c r="P159" s="6"/>
      <c r="Q159" s="6"/>
      <c r="R159" s="6"/>
      <c r="S159" s="6"/>
      <c r="T159" s="6"/>
      <c r="U159" s="6"/>
      <c r="V159" s="6"/>
      <c r="W159" s="6"/>
      <c r="X159" s="6"/>
      <c r="Y159" s="6"/>
      <c r="Z159" s="6"/>
      <c r="AA159" s="6"/>
      <c r="AB159" s="6"/>
    </row>
    <row r="160" ht="15.75" customHeight="1">
      <c r="A160" s="1"/>
      <c r="B160" s="2"/>
      <c r="C160" s="2"/>
      <c r="D160" s="3"/>
      <c r="E160" s="4"/>
      <c r="F160" s="2"/>
      <c r="G160" s="5"/>
      <c r="H160" s="5"/>
      <c r="I160" s="5"/>
      <c r="J160" s="5"/>
      <c r="K160" s="6"/>
      <c r="L160" s="6"/>
      <c r="M160" s="6"/>
      <c r="N160" s="6"/>
      <c r="O160" s="6"/>
      <c r="P160" s="6"/>
      <c r="Q160" s="6"/>
      <c r="R160" s="6"/>
      <c r="S160" s="6"/>
      <c r="T160" s="6"/>
      <c r="U160" s="6"/>
      <c r="V160" s="6"/>
      <c r="W160" s="6"/>
      <c r="X160" s="6"/>
      <c r="Y160" s="6"/>
      <c r="Z160" s="6"/>
      <c r="AA160" s="6"/>
      <c r="AB160" s="6"/>
    </row>
    <row r="161" ht="15.75" customHeight="1">
      <c r="A161" s="1"/>
      <c r="B161" s="2"/>
      <c r="C161" s="2"/>
      <c r="D161" s="3"/>
      <c r="E161" s="4"/>
      <c r="F161" s="2"/>
      <c r="G161" s="5"/>
      <c r="H161" s="5"/>
      <c r="I161" s="5"/>
      <c r="J161" s="5"/>
      <c r="K161" s="6"/>
      <c r="L161" s="6"/>
      <c r="M161" s="6"/>
      <c r="N161" s="6"/>
      <c r="O161" s="6"/>
      <c r="P161" s="6"/>
      <c r="Q161" s="6"/>
      <c r="R161" s="6"/>
      <c r="S161" s="6"/>
      <c r="T161" s="6"/>
      <c r="U161" s="6"/>
      <c r="V161" s="6"/>
      <c r="W161" s="6"/>
      <c r="X161" s="6"/>
      <c r="Y161" s="6"/>
      <c r="Z161" s="6"/>
      <c r="AA161" s="6"/>
      <c r="AB161" s="6"/>
    </row>
    <row r="162" ht="15.75" customHeight="1">
      <c r="A162" s="1"/>
      <c r="B162" s="2"/>
      <c r="C162" s="2"/>
      <c r="D162" s="3"/>
      <c r="E162" s="4"/>
      <c r="F162" s="2"/>
      <c r="G162" s="5"/>
      <c r="H162" s="5"/>
      <c r="I162" s="5"/>
      <c r="J162" s="5"/>
      <c r="K162" s="6"/>
      <c r="L162" s="6"/>
      <c r="M162" s="6"/>
      <c r="N162" s="6"/>
      <c r="O162" s="6"/>
      <c r="P162" s="6"/>
      <c r="Q162" s="6"/>
      <c r="R162" s="6"/>
      <c r="S162" s="6"/>
      <c r="T162" s="6"/>
      <c r="U162" s="6"/>
      <c r="V162" s="6"/>
      <c r="W162" s="6"/>
      <c r="X162" s="6"/>
      <c r="Y162" s="6"/>
      <c r="Z162" s="6"/>
      <c r="AA162" s="6"/>
      <c r="AB162" s="6"/>
    </row>
    <row r="163" ht="15.75" customHeight="1">
      <c r="A163" s="1"/>
      <c r="B163" s="2"/>
      <c r="C163" s="2"/>
      <c r="D163" s="3"/>
      <c r="E163" s="4"/>
      <c r="F163" s="2"/>
      <c r="G163" s="5"/>
      <c r="H163" s="5"/>
      <c r="I163" s="5"/>
      <c r="J163" s="5"/>
      <c r="K163" s="6"/>
      <c r="L163" s="6"/>
      <c r="M163" s="6"/>
      <c r="N163" s="6"/>
      <c r="O163" s="6"/>
      <c r="P163" s="6"/>
      <c r="Q163" s="6"/>
      <c r="R163" s="6"/>
      <c r="S163" s="6"/>
      <c r="T163" s="6"/>
      <c r="U163" s="6"/>
      <c r="V163" s="6"/>
      <c r="W163" s="6"/>
      <c r="X163" s="6"/>
      <c r="Y163" s="6"/>
      <c r="Z163" s="6"/>
      <c r="AA163" s="6"/>
      <c r="AB163" s="6"/>
    </row>
    <row r="164" ht="15.75" customHeight="1">
      <c r="A164" s="1"/>
      <c r="B164" s="2"/>
      <c r="C164" s="2"/>
      <c r="D164" s="3"/>
      <c r="E164" s="4"/>
      <c r="F164" s="2"/>
      <c r="G164" s="5"/>
      <c r="H164" s="5"/>
      <c r="I164" s="5"/>
      <c r="J164" s="5"/>
      <c r="K164" s="6"/>
      <c r="L164" s="6"/>
      <c r="M164" s="6"/>
      <c r="N164" s="6"/>
      <c r="O164" s="6"/>
      <c r="P164" s="6"/>
      <c r="Q164" s="6"/>
      <c r="R164" s="6"/>
      <c r="S164" s="6"/>
      <c r="T164" s="6"/>
      <c r="U164" s="6"/>
      <c r="V164" s="6"/>
      <c r="W164" s="6"/>
      <c r="X164" s="6"/>
      <c r="Y164" s="6"/>
      <c r="Z164" s="6"/>
      <c r="AA164" s="6"/>
      <c r="AB164" s="6"/>
    </row>
    <row r="165" ht="15.75" customHeight="1">
      <c r="A165" s="1"/>
      <c r="B165" s="2"/>
      <c r="C165" s="2"/>
      <c r="D165" s="3"/>
      <c r="E165" s="4"/>
      <c r="F165" s="2"/>
      <c r="G165" s="5"/>
      <c r="H165" s="5"/>
      <c r="I165" s="5"/>
      <c r="J165" s="5"/>
      <c r="K165" s="6"/>
      <c r="L165" s="6"/>
      <c r="M165" s="6"/>
      <c r="N165" s="6"/>
      <c r="O165" s="6"/>
      <c r="P165" s="6"/>
      <c r="Q165" s="6"/>
      <c r="R165" s="6"/>
      <c r="S165" s="6"/>
      <c r="T165" s="6"/>
      <c r="U165" s="6"/>
      <c r="V165" s="6"/>
      <c r="W165" s="6"/>
      <c r="X165" s="6"/>
      <c r="Y165" s="6"/>
      <c r="Z165" s="6"/>
      <c r="AA165" s="6"/>
      <c r="AB165" s="6"/>
    </row>
    <row r="166" ht="15.75" customHeight="1">
      <c r="A166" s="1"/>
      <c r="B166" s="2"/>
      <c r="C166" s="2"/>
      <c r="D166" s="3"/>
      <c r="E166" s="4"/>
      <c r="F166" s="2"/>
      <c r="G166" s="5"/>
      <c r="H166" s="5"/>
      <c r="I166" s="5"/>
      <c r="J166" s="5"/>
      <c r="K166" s="6"/>
      <c r="L166" s="6"/>
      <c r="M166" s="6"/>
      <c r="N166" s="6"/>
      <c r="O166" s="6"/>
      <c r="P166" s="6"/>
      <c r="Q166" s="6"/>
      <c r="R166" s="6"/>
      <c r="S166" s="6"/>
      <c r="T166" s="6"/>
      <c r="U166" s="6"/>
      <c r="V166" s="6"/>
      <c r="W166" s="6"/>
      <c r="X166" s="6"/>
      <c r="Y166" s="6"/>
      <c r="Z166" s="6"/>
      <c r="AA166" s="6"/>
      <c r="AB166" s="6"/>
    </row>
    <row r="167" ht="15.75" customHeight="1">
      <c r="A167" s="1"/>
      <c r="B167" s="2"/>
      <c r="C167" s="2"/>
      <c r="D167" s="3"/>
      <c r="E167" s="4"/>
      <c r="F167" s="2"/>
      <c r="G167" s="5"/>
      <c r="H167" s="5"/>
      <c r="I167" s="5"/>
      <c r="J167" s="5"/>
      <c r="K167" s="6"/>
      <c r="L167" s="6"/>
      <c r="M167" s="6"/>
      <c r="N167" s="6"/>
      <c r="O167" s="6"/>
      <c r="P167" s="6"/>
      <c r="Q167" s="6"/>
      <c r="R167" s="6"/>
      <c r="S167" s="6"/>
      <c r="T167" s="6"/>
      <c r="U167" s="6"/>
      <c r="V167" s="6"/>
      <c r="W167" s="6"/>
      <c r="X167" s="6"/>
      <c r="Y167" s="6"/>
      <c r="Z167" s="6"/>
      <c r="AA167" s="6"/>
      <c r="AB167" s="6"/>
    </row>
    <row r="168" ht="15.75" customHeight="1">
      <c r="A168" s="1"/>
      <c r="B168" s="2"/>
      <c r="C168" s="2"/>
      <c r="D168" s="3"/>
      <c r="E168" s="4"/>
      <c r="F168" s="2"/>
      <c r="G168" s="5"/>
      <c r="H168" s="5"/>
      <c r="I168" s="5"/>
      <c r="J168" s="5"/>
      <c r="K168" s="6"/>
      <c r="L168" s="6"/>
      <c r="M168" s="6"/>
      <c r="N168" s="6"/>
      <c r="O168" s="6"/>
      <c r="P168" s="6"/>
      <c r="Q168" s="6"/>
      <c r="R168" s="6"/>
      <c r="S168" s="6"/>
      <c r="T168" s="6"/>
      <c r="U168" s="6"/>
      <c r="V168" s="6"/>
      <c r="W168" s="6"/>
      <c r="X168" s="6"/>
      <c r="Y168" s="6"/>
      <c r="Z168" s="6"/>
      <c r="AA168" s="6"/>
      <c r="AB168" s="6"/>
    </row>
    <row r="169" ht="15.75" customHeight="1">
      <c r="A169" s="1"/>
      <c r="B169" s="2"/>
      <c r="C169" s="2"/>
      <c r="D169" s="3"/>
      <c r="E169" s="4"/>
      <c r="F169" s="2"/>
      <c r="G169" s="5"/>
      <c r="H169" s="5"/>
      <c r="I169" s="5"/>
      <c r="J169" s="5"/>
      <c r="K169" s="6"/>
      <c r="L169" s="6"/>
      <c r="M169" s="6"/>
      <c r="N169" s="6"/>
      <c r="O169" s="6"/>
      <c r="P169" s="6"/>
      <c r="Q169" s="6"/>
      <c r="R169" s="6"/>
      <c r="S169" s="6"/>
      <c r="T169" s="6"/>
      <c r="U169" s="6"/>
      <c r="V169" s="6"/>
      <c r="W169" s="6"/>
      <c r="X169" s="6"/>
      <c r="Y169" s="6"/>
      <c r="Z169" s="6"/>
      <c r="AA169" s="6"/>
      <c r="AB169" s="6"/>
    </row>
    <row r="170" ht="15.75" customHeight="1">
      <c r="A170" s="1"/>
      <c r="B170" s="2"/>
      <c r="C170" s="2"/>
      <c r="D170" s="3"/>
      <c r="E170" s="4"/>
      <c r="F170" s="2"/>
      <c r="G170" s="5"/>
      <c r="H170" s="5"/>
      <c r="I170" s="5"/>
      <c r="J170" s="5"/>
      <c r="K170" s="6"/>
      <c r="L170" s="6"/>
      <c r="M170" s="6"/>
      <c r="N170" s="6"/>
      <c r="O170" s="6"/>
      <c r="P170" s="6"/>
      <c r="Q170" s="6"/>
      <c r="R170" s="6"/>
      <c r="S170" s="6"/>
      <c r="T170" s="6"/>
      <c r="U170" s="6"/>
      <c r="V170" s="6"/>
      <c r="W170" s="6"/>
      <c r="X170" s="6"/>
      <c r="Y170" s="6"/>
      <c r="Z170" s="6"/>
      <c r="AA170" s="6"/>
      <c r="AB170" s="6"/>
    </row>
    <row r="171" ht="15.75" customHeight="1">
      <c r="A171" s="1"/>
      <c r="B171" s="2"/>
      <c r="C171" s="2"/>
      <c r="D171" s="3"/>
      <c r="E171" s="4"/>
      <c r="F171" s="2"/>
      <c r="G171" s="5"/>
      <c r="H171" s="5"/>
      <c r="I171" s="5"/>
      <c r="J171" s="5"/>
      <c r="K171" s="6"/>
      <c r="L171" s="6"/>
      <c r="M171" s="6"/>
      <c r="N171" s="6"/>
      <c r="O171" s="6"/>
      <c r="P171" s="6"/>
      <c r="Q171" s="6"/>
      <c r="R171" s="6"/>
      <c r="S171" s="6"/>
      <c r="T171" s="6"/>
      <c r="U171" s="6"/>
      <c r="V171" s="6"/>
      <c r="W171" s="6"/>
      <c r="X171" s="6"/>
      <c r="Y171" s="6"/>
      <c r="Z171" s="6"/>
      <c r="AA171" s="6"/>
      <c r="AB171" s="6"/>
    </row>
    <row r="172" ht="15.75" customHeight="1">
      <c r="A172" s="1"/>
      <c r="B172" s="2"/>
      <c r="C172" s="2"/>
      <c r="D172" s="3"/>
      <c r="E172" s="4"/>
      <c r="F172" s="2"/>
      <c r="G172" s="5"/>
      <c r="H172" s="5"/>
      <c r="I172" s="5"/>
      <c r="J172" s="5"/>
      <c r="K172" s="6"/>
      <c r="L172" s="6"/>
      <c r="M172" s="6"/>
      <c r="N172" s="6"/>
      <c r="O172" s="6"/>
      <c r="P172" s="6"/>
      <c r="Q172" s="6"/>
      <c r="R172" s="6"/>
      <c r="S172" s="6"/>
      <c r="T172" s="6"/>
      <c r="U172" s="6"/>
      <c r="V172" s="6"/>
      <c r="W172" s="6"/>
      <c r="X172" s="6"/>
      <c r="Y172" s="6"/>
      <c r="Z172" s="6"/>
      <c r="AA172" s="6"/>
      <c r="AB172" s="6"/>
    </row>
    <row r="173" ht="15.75" customHeight="1">
      <c r="A173" s="1"/>
      <c r="B173" s="2"/>
      <c r="C173" s="2"/>
      <c r="D173" s="3"/>
      <c r="E173" s="4"/>
      <c r="F173" s="2"/>
      <c r="G173" s="5"/>
      <c r="H173" s="5"/>
      <c r="I173" s="5"/>
      <c r="J173" s="5"/>
      <c r="K173" s="6"/>
      <c r="L173" s="6"/>
      <c r="M173" s="6"/>
      <c r="N173" s="6"/>
      <c r="O173" s="6"/>
      <c r="P173" s="6"/>
      <c r="Q173" s="6"/>
      <c r="R173" s="6"/>
      <c r="S173" s="6"/>
      <c r="T173" s="6"/>
      <c r="U173" s="6"/>
      <c r="V173" s="6"/>
      <c r="W173" s="6"/>
      <c r="X173" s="6"/>
      <c r="Y173" s="6"/>
      <c r="Z173" s="6"/>
      <c r="AA173" s="6"/>
      <c r="AB173" s="6"/>
    </row>
    <row r="174" ht="15.75" customHeight="1">
      <c r="A174" s="1"/>
      <c r="B174" s="2"/>
      <c r="C174" s="2"/>
      <c r="D174" s="3"/>
      <c r="E174" s="4"/>
      <c r="F174" s="2"/>
      <c r="G174" s="5"/>
      <c r="H174" s="5"/>
      <c r="I174" s="5"/>
      <c r="J174" s="5"/>
      <c r="K174" s="6"/>
      <c r="L174" s="6"/>
      <c r="M174" s="6"/>
      <c r="N174" s="6"/>
      <c r="O174" s="6"/>
      <c r="P174" s="6"/>
      <c r="Q174" s="6"/>
      <c r="R174" s="6"/>
      <c r="S174" s="6"/>
      <c r="T174" s="6"/>
      <c r="U174" s="6"/>
      <c r="V174" s="6"/>
      <c r="W174" s="6"/>
      <c r="X174" s="6"/>
      <c r="Y174" s="6"/>
      <c r="Z174" s="6"/>
      <c r="AA174" s="6"/>
      <c r="AB174" s="6"/>
    </row>
    <row r="175" ht="15.75" customHeight="1">
      <c r="A175" s="1"/>
      <c r="B175" s="2"/>
      <c r="C175" s="2"/>
      <c r="D175" s="3"/>
      <c r="E175" s="4"/>
      <c r="F175" s="2"/>
      <c r="G175" s="5"/>
      <c r="H175" s="5"/>
      <c r="I175" s="5"/>
      <c r="J175" s="5"/>
      <c r="K175" s="6"/>
      <c r="L175" s="6"/>
      <c r="M175" s="6"/>
      <c r="N175" s="6"/>
      <c r="O175" s="6"/>
      <c r="P175" s="6"/>
      <c r="Q175" s="6"/>
      <c r="R175" s="6"/>
      <c r="S175" s="6"/>
      <c r="T175" s="6"/>
      <c r="U175" s="6"/>
      <c r="V175" s="6"/>
      <c r="W175" s="6"/>
      <c r="X175" s="6"/>
      <c r="Y175" s="6"/>
      <c r="Z175" s="6"/>
      <c r="AA175" s="6"/>
      <c r="AB175" s="6"/>
    </row>
    <row r="176" ht="15.75" customHeight="1">
      <c r="A176" s="1"/>
      <c r="B176" s="2"/>
      <c r="C176" s="2"/>
      <c r="D176" s="3"/>
      <c r="E176" s="4"/>
      <c r="F176" s="2"/>
      <c r="G176" s="5"/>
      <c r="H176" s="5"/>
      <c r="I176" s="5"/>
      <c r="J176" s="5"/>
      <c r="K176" s="6"/>
      <c r="L176" s="6"/>
      <c r="M176" s="6"/>
      <c r="N176" s="6"/>
      <c r="O176" s="6"/>
      <c r="P176" s="6"/>
      <c r="Q176" s="6"/>
      <c r="R176" s="6"/>
      <c r="S176" s="6"/>
      <c r="T176" s="6"/>
      <c r="U176" s="6"/>
      <c r="V176" s="6"/>
      <c r="W176" s="6"/>
      <c r="X176" s="6"/>
      <c r="Y176" s="6"/>
      <c r="Z176" s="6"/>
      <c r="AA176" s="6"/>
      <c r="AB176" s="6"/>
    </row>
    <row r="177" ht="15.75" customHeight="1">
      <c r="A177" s="1"/>
      <c r="B177" s="2"/>
      <c r="C177" s="2"/>
      <c r="D177" s="3"/>
      <c r="E177" s="4"/>
      <c r="F177" s="2"/>
      <c r="G177" s="5"/>
      <c r="H177" s="5"/>
      <c r="I177" s="5"/>
      <c r="J177" s="5"/>
      <c r="K177" s="6"/>
      <c r="L177" s="6"/>
      <c r="M177" s="6"/>
      <c r="N177" s="6"/>
      <c r="O177" s="6"/>
      <c r="P177" s="6"/>
      <c r="Q177" s="6"/>
      <c r="R177" s="6"/>
      <c r="S177" s="6"/>
      <c r="T177" s="6"/>
      <c r="U177" s="6"/>
      <c r="V177" s="6"/>
      <c r="W177" s="6"/>
      <c r="X177" s="6"/>
      <c r="Y177" s="6"/>
      <c r="Z177" s="6"/>
      <c r="AA177" s="6"/>
      <c r="AB177" s="6"/>
    </row>
    <row r="178" ht="15.75" customHeight="1">
      <c r="A178" s="1"/>
      <c r="B178" s="2"/>
      <c r="C178" s="2"/>
      <c r="D178" s="3"/>
      <c r="E178" s="4"/>
      <c r="F178" s="2"/>
      <c r="G178" s="5"/>
      <c r="H178" s="5"/>
      <c r="I178" s="5"/>
      <c r="J178" s="5"/>
      <c r="K178" s="6"/>
      <c r="L178" s="6"/>
      <c r="M178" s="6"/>
      <c r="N178" s="6"/>
      <c r="O178" s="6"/>
      <c r="P178" s="6"/>
      <c r="Q178" s="6"/>
      <c r="R178" s="6"/>
      <c r="S178" s="6"/>
      <c r="T178" s="6"/>
      <c r="U178" s="6"/>
      <c r="V178" s="6"/>
      <c r="W178" s="6"/>
      <c r="X178" s="6"/>
      <c r="Y178" s="6"/>
      <c r="Z178" s="6"/>
      <c r="AA178" s="6"/>
      <c r="AB178" s="6"/>
    </row>
    <row r="179" ht="15.75" customHeight="1">
      <c r="A179" s="1"/>
      <c r="B179" s="2"/>
      <c r="C179" s="2"/>
      <c r="D179" s="3"/>
      <c r="E179" s="4"/>
      <c r="F179" s="2"/>
      <c r="G179" s="5"/>
      <c r="H179" s="5"/>
      <c r="I179" s="5"/>
      <c r="J179" s="5"/>
      <c r="K179" s="6"/>
      <c r="L179" s="6"/>
      <c r="M179" s="6"/>
      <c r="N179" s="6"/>
      <c r="O179" s="6"/>
      <c r="P179" s="6"/>
      <c r="Q179" s="6"/>
      <c r="R179" s="6"/>
      <c r="S179" s="6"/>
      <c r="T179" s="6"/>
      <c r="U179" s="6"/>
      <c r="V179" s="6"/>
      <c r="W179" s="6"/>
      <c r="X179" s="6"/>
      <c r="Y179" s="6"/>
      <c r="Z179" s="6"/>
      <c r="AA179" s="6"/>
      <c r="AB179" s="6"/>
    </row>
    <row r="180" ht="15.75" customHeight="1">
      <c r="A180" s="1"/>
      <c r="B180" s="2"/>
      <c r="C180" s="2"/>
      <c r="D180" s="3"/>
      <c r="E180" s="4"/>
      <c r="F180" s="2"/>
      <c r="G180" s="5"/>
      <c r="H180" s="5"/>
      <c r="I180" s="5"/>
      <c r="J180" s="5"/>
      <c r="K180" s="6"/>
      <c r="L180" s="6"/>
      <c r="M180" s="6"/>
      <c r="N180" s="6"/>
      <c r="O180" s="6"/>
      <c r="P180" s="6"/>
      <c r="Q180" s="6"/>
      <c r="R180" s="6"/>
      <c r="S180" s="6"/>
      <c r="T180" s="6"/>
      <c r="U180" s="6"/>
      <c r="V180" s="6"/>
      <c r="W180" s="6"/>
      <c r="X180" s="6"/>
      <c r="Y180" s="6"/>
      <c r="Z180" s="6"/>
      <c r="AA180" s="6"/>
      <c r="AB180" s="6"/>
    </row>
    <row r="181" ht="15.75" customHeight="1">
      <c r="A181" s="1"/>
      <c r="B181" s="2"/>
      <c r="C181" s="2"/>
      <c r="D181" s="3"/>
      <c r="E181" s="4"/>
      <c r="F181" s="2"/>
      <c r="G181" s="5"/>
      <c r="H181" s="5"/>
      <c r="I181" s="5"/>
      <c r="J181" s="5"/>
      <c r="K181" s="6"/>
      <c r="L181" s="6"/>
      <c r="M181" s="6"/>
      <c r="N181" s="6"/>
      <c r="O181" s="6"/>
      <c r="P181" s="6"/>
      <c r="Q181" s="6"/>
      <c r="R181" s="6"/>
      <c r="S181" s="6"/>
      <c r="T181" s="6"/>
      <c r="U181" s="6"/>
      <c r="V181" s="6"/>
      <c r="W181" s="6"/>
      <c r="X181" s="6"/>
      <c r="Y181" s="6"/>
      <c r="Z181" s="6"/>
      <c r="AA181" s="6"/>
      <c r="AB181" s="6"/>
    </row>
    <row r="182" ht="15.75" customHeight="1">
      <c r="A182" s="1"/>
      <c r="B182" s="2"/>
      <c r="C182" s="2"/>
      <c r="D182" s="3"/>
      <c r="E182" s="4"/>
      <c r="F182" s="2"/>
      <c r="G182" s="5"/>
      <c r="H182" s="5"/>
      <c r="I182" s="5"/>
      <c r="J182" s="5"/>
      <c r="K182" s="6"/>
      <c r="L182" s="6"/>
      <c r="M182" s="6"/>
      <c r="N182" s="6"/>
      <c r="O182" s="6"/>
      <c r="P182" s="6"/>
      <c r="Q182" s="6"/>
      <c r="R182" s="6"/>
      <c r="S182" s="6"/>
      <c r="T182" s="6"/>
      <c r="U182" s="6"/>
      <c r="V182" s="6"/>
      <c r="W182" s="6"/>
      <c r="X182" s="6"/>
      <c r="Y182" s="6"/>
      <c r="Z182" s="6"/>
      <c r="AA182" s="6"/>
      <c r="AB182" s="6"/>
    </row>
    <row r="183" ht="15.75" customHeight="1">
      <c r="A183" s="1"/>
      <c r="B183" s="2"/>
      <c r="C183" s="2"/>
      <c r="D183" s="3"/>
      <c r="E183" s="4"/>
      <c r="F183" s="2"/>
      <c r="G183" s="5"/>
      <c r="H183" s="5"/>
      <c r="I183" s="5"/>
      <c r="J183" s="5"/>
      <c r="K183" s="6"/>
      <c r="L183" s="6"/>
      <c r="M183" s="6"/>
      <c r="N183" s="6"/>
      <c r="O183" s="6"/>
      <c r="P183" s="6"/>
      <c r="Q183" s="6"/>
      <c r="R183" s="6"/>
      <c r="S183" s="6"/>
      <c r="T183" s="6"/>
      <c r="U183" s="6"/>
      <c r="V183" s="6"/>
      <c r="W183" s="6"/>
      <c r="X183" s="6"/>
      <c r="Y183" s="6"/>
      <c r="Z183" s="6"/>
      <c r="AA183" s="6"/>
      <c r="AB183" s="6"/>
    </row>
    <row r="184" ht="15.75" customHeight="1">
      <c r="A184" s="1"/>
      <c r="B184" s="2"/>
      <c r="C184" s="2"/>
      <c r="D184" s="3"/>
      <c r="E184" s="4"/>
      <c r="F184" s="2"/>
      <c r="G184" s="5"/>
      <c r="H184" s="5"/>
      <c r="I184" s="5"/>
      <c r="J184" s="5"/>
      <c r="K184" s="6"/>
      <c r="L184" s="6"/>
      <c r="M184" s="6"/>
      <c r="N184" s="6"/>
      <c r="O184" s="6"/>
      <c r="P184" s="6"/>
      <c r="Q184" s="6"/>
      <c r="R184" s="6"/>
      <c r="S184" s="6"/>
      <c r="T184" s="6"/>
      <c r="U184" s="6"/>
      <c r="V184" s="6"/>
      <c r="W184" s="6"/>
      <c r="X184" s="6"/>
      <c r="Y184" s="6"/>
      <c r="Z184" s="6"/>
      <c r="AA184" s="6"/>
      <c r="AB184" s="6"/>
    </row>
    <row r="185" ht="15.75" customHeight="1">
      <c r="A185" s="1"/>
      <c r="B185" s="2"/>
      <c r="C185" s="2"/>
      <c r="D185" s="3"/>
      <c r="E185" s="4"/>
      <c r="F185" s="2"/>
      <c r="G185" s="5"/>
      <c r="H185" s="5"/>
      <c r="I185" s="5"/>
      <c r="J185" s="5"/>
      <c r="K185" s="6"/>
      <c r="L185" s="6"/>
      <c r="M185" s="6"/>
      <c r="N185" s="6"/>
      <c r="O185" s="6"/>
      <c r="P185" s="6"/>
      <c r="Q185" s="6"/>
      <c r="R185" s="6"/>
      <c r="S185" s="6"/>
      <c r="T185" s="6"/>
      <c r="U185" s="6"/>
      <c r="V185" s="6"/>
      <c r="W185" s="6"/>
      <c r="X185" s="6"/>
      <c r="Y185" s="6"/>
      <c r="Z185" s="6"/>
      <c r="AA185" s="6"/>
      <c r="AB185" s="6"/>
    </row>
    <row r="186" ht="15.75" customHeight="1">
      <c r="A186" s="1"/>
      <c r="B186" s="2"/>
      <c r="C186" s="2"/>
      <c r="D186" s="3"/>
      <c r="E186" s="4"/>
      <c r="F186" s="2"/>
      <c r="G186" s="5"/>
      <c r="H186" s="5"/>
      <c r="I186" s="5"/>
      <c r="J186" s="5"/>
      <c r="K186" s="6"/>
      <c r="L186" s="6"/>
      <c r="M186" s="6"/>
      <c r="N186" s="6"/>
      <c r="O186" s="6"/>
      <c r="P186" s="6"/>
      <c r="Q186" s="6"/>
      <c r="R186" s="6"/>
      <c r="S186" s="6"/>
      <c r="T186" s="6"/>
      <c r="U186" s="6"/>
      <c r="V186" s="6"/>
      <c r="W186" s="6"/>
      <c r="X186" s="6"/>
      <c r="Y186" s="6"/>
      <c r="Z186" s="6"/>
      <c r="AA186" s="6"/>
      <c r="AB186" s="6"/>
    </row>
    <row r="187" ht="15.75" customHeight="1">
      <c r="A187" s="1"/>
      <c r="B187" s="2"/>
      <c r="C187" s="2"/>
      <c r="D187" s="3"/>
      <c r="E187" s="4"/>
      <c r="F187" s="2"/>
      <c r="G187" s="5"/>
      <c r="H187" s="5"/>
      <c r="I187" s="5"/>
      <c r="J187" s="5"/>
      <c r="K187" s="6"/>
      <c r="L187" s="6"/>
      <c r="M187" s="6"/>
      <c r="N187" s="6"/>
      <c r="O187" s="6"/>
      <c r="P187" s="6"/>
      <c r="Q187" s="6"/>
      <c r="R187" s="6"/>
      <c r="S187" s="6"/>
      <c r="T187" s="6"/>
      <c r="U187" s="6"/>
      <c r="V187" s="6"/>
      <c r="W187" s="6"/>
      <c r="X187" s="6"/>
      <c r="Y187" s="6"/>
      <c r="Z187" s="6"/>
      <c r="AA187" s="6"/>
      <c r="AB187" s="6"/>
    </row>
    <row r="188" ht="15.75" customHeight="1">
      <c r="A188" s="1"/>
      <c r="B188" s="2"/>
      <c r="C188" s="2"/>
      <c r="D188" s="3"/>
      <c r="E188" s="4"/>
      <c r="F188" s="2"/>
      <c r="G188" s="5"/>
      <c r="H188" s="5"/>
      <c r="I188" s="5"/>
      <c r="J188" s="5"/>
      <c r="K188" s="6"/>
      <c r="L188" s="6"/>
      <c r="M188" s="6"/>
      <c r="N188" s="6"/>
      <c r="O188" s="6"/>
      <c r="P188" s="6"/>
      <c r="Q188" s="6"/>
      <c r="R188" s="6"/>
      <c r="S188" s="6"/>
      <c r="T188" s="6"/>
      <c r="U188" s="6"/>
      <c r="V188" s="6"/>
      <c r="W188" s="6"/>
      <c r="X188" s="6"/>
      <c r="Y188" s="6"/>
      <c r="Z188" s="6"/>
      <c r="AA188" s="6"/>
      <c r="AB188" s="6"/>
    </row>
    <row r="189" ht="15.75" customHeight="1">
      <c r="A189" s="1"/>
      <c r="B189" s="2"/>
      <c r="C189" s="2"/>
      <c r="D189" s="3"/>
      <c r="E189" s="4"/>
      <c r="F189" s="2"/>
      <c r="G189" s="5"/>
      <c r="H189" s="5"/>
      <c r="I189" s="5"/>
      <c r="J189" s="5"/>
      <c r="K189" s="6"/>
      <c r="L189" s="6"/>
      <c r="M189" s="6"/>
      <c r="N189" s="6"/>
      <c r="O189" s="6"/>
      <c r="P189" s="6"/>
      <c r="Q189" s="6"/>
      <c r="R189" s="6"/>
      <c r="S189" s="6"/>
      <c r="T189" s="6"/>
      <c r="U189" s="6"/>
      <c r="V189" s="6"/>
      <c r="W189" s="6"/>
      <c r="X189" s="6"/>
      <c r="Y189" s="6"/>
      <c r="Z189" s="6"/>
      <c r="AA189" s="6"/>
      <c r="AB189" s="6"/>
    </row>
    <row r="190" ht="15.75" customHeight="1">
      <c r="A190" s="1"/>
      <c r="B190" s="2"/>
      <c r="C190" s="2"/>
      <c r="D190" s="3"/>
      <c r="E190" s="4"/>
      <c r="F190" s="2"/>
      <c r="G190" s="5"/>
      <c r="H190" s="5"/>
      <c r="I190" s="5"/>
      <c r="J190" s="5"/>
      <c r="K190" s="6"/>
      <c r="L190" s="6"/>
      <c r="M190" s="6"/>
      <c r="N190" s="6"/>
      <c r="O190" s="6"/>
      <c r="P190" s="6"/>
      <c r="Q190" s="6"/>
      <c r="R190" s="6"/>
      <c r="S190" s="6"/>
      <c r="T190" s="6"/>
      <c r="U190" s="6"/>
      <c r="V190" s="6"/>
      <c r="W190" s="6"/>
      <c r="X190" s="6"/>
      <c r="Y190" s="6"/>
      <c r="Z190" s="6"/>
      <c r="AA190" s="6"/>
      <c r="AB190" s="6"/>
    </row>
    <row r="191" ht="15.75" customHeight="1">
      <c r="A191" s="1"/>
      <c r="B191" s="2"/>
      <c r="C191" s="2"/>
      <c r="D191" s="3"/>
      <c r="E191" s="4"/>
      <c r="F191" s="2"/>
      <c r="G191" s="5"/>
      <c r="H191" s="5"/>
      <c r="I191" s="5"/>
      <c r="J191" s="5"/>
      <c r="K191" s="6"/>
      <c r="L191" s="6"/>
      <c r="M191" s="6"/>
      <c r="N191" s="6"/>
      <c r="O191" s="6"/>
      <c r="P191" s="6"/>
      <c r="Q191" s="6"/>
      <c r="R191" s="6"/>
      <c r="S191" s="6"/>
      <c r="T191" s="6"/>
      <c r="U191" s="6"/>
      <c r="V191" s="6"/>
      <c r="W191" s="6"/>
      <c r="X191" s="6"/>
      <c r="Y191" s="6"/>
      <c r="Z191" s="6"/>
      <c r="AA191" s="6"/>
      <c r="AB191" s="6"/>
    </row>
    <row r="192" ht="15.75" customHeight="1">
      <c r="A192" s="1"/>
      <c r="B192" s="2"/>
      <c r="C192" s="2"/>
      <c r="D192" s="3"/>
      <c r="E192" s="4"/>
      <c r="F192" s="2"/>
      <c r="G192" s="5"/>
      <c r="H192" s="5"/>
      <c r="I192" s="5"/>
      <c r="J192" s="5"/>
      <c r="K192" s="6"/>
      <c r="L192" s="6"/>
      <c r="M192" s="6"/>
      <c r="N192" s="6"/>
      <c r="O192" s="6"/>
      <c r="P192" s="6"/>
      <c r="Q192" s="6"/>
      <c r="R192" s="6"/>
      <c r="S192" s="6"/>
      <c r="T192" s="6"/>
      <c r="U192" s="6"/>
      <c r="V192" s="6"/>
      <c r="W192" s="6"/>
      <c r="X192" s="6"/>
      <c r="Y192" s="6"/>
      <c r="Z192" s="6"/>
      <c r="AA192" s="6"/>
      <c r="AB192" s="6"/>
    </row>
    <row r="193" ht="15.75" customHeight="1">
      <c r="A193" s="1"/>
      <c r="B193" s="2"/>
      <c r="C193" s="2"/>
      <c r="D193" s="3"/>
      <c r="E193" s="4"/>
      <c r="F193" s="2"/>
      <c r="G193" s="5"/>
      <c r="H193" s="5"/>
      <c r="I193" s="5"/>
      <c r="J193" s="5"/>
      <c r="K193" s="6"/>
      <c r="L193" s="6"/>
      <c r="M193" s="6"/>
      <c r="N193" s="6"/>
      <c r="O193" s="6"/>
      <c r="P193" s="6"/>
      <c r="Q193" s="6"/>
      <c r="R193" s="6"/>
      <c r="S193" s="6"/>
      <c r="T193" s="6"/>
      <c r="U193" s="6"/>
      <c r="V193" s="6"/>
      <c r="W193" s="6"/>
      <c r="X193" s="6"/>
      <c r="Y193" s="6"/>
      <c r="Z193" s="6"/>
      <c r="AA193" s="6"/>
      <c r="AB193" s="6"/>
    </row>
    <row r="194" ht="15.75" customHeight="1">
      <c r="A194" s="1"/>
      <c r="B194" s="2"/>
      <c r="C194" s="2"/>
      <c r="D194" s="3"/>
      <c r="E194" s="4"/>
      <c r="F194" s="2"/>
      <c r="G194" s="5"/>
      <c r="H194" s="5"/>
      <c r="I194" s="5"/>
      <c r="J194" s="5"/>
      <c r="K194" s="6"/>
      <c r="L194" s="6"/>
      <c r="M194" s="6"/>
      <c r="N194" s="6"/>
      <c r="O194" s="6"/>
      <c r="P194" s="6"/>
      <c r="Q194" s="6"/>
      <c r="R194" s="6"/>
      <c r="S194" s="6"/>
      <c r="T194" s="6"/>
      <c r="U194" s="6"/>
      <c r="V194" s="6"/>
      <c r="W194" s="6"/>
      <c r="X194" s="6"/>
      <c r="Y194" s="6"/>
      <c r="Z194" s="6"/>
      <c r="AA194" s="6"/>
      <c r="AB194" s="6"/>
    </row>
    <row r="195" ht="15.75" customHeight="1">
      <c r="A195" s="1"/>
      <c r="B195" s="2"/>
      <c r="C195" s="2"/>
      <c r="D195" s="3"/>
      <c r="E195" s="4"/>
      <c r="F195" s="2"/>
      <c r="G195" s="5"/>
      <c r="H195" s="5"/>
      <c r="I195" s="5"/>
      <c r="J195" s="5"/>
      <c r="K195" s="6"/>
      <c r="L195" s="6"/>
      <c r="M195" s="6"/>
      <c r="N195" s="6"/>
      <c r="O195" s="6"/>
      <c r="P195" s="6"/>
      <c r="Q195" s="6"/>
      <c r="R195" s="6"/>
      <c r="S195" s="6"/>
      <c r="T195" s="6"/>
      <c r="U195" s="6"/>
      <c r="V195" s="6"/>
      <c r="W195" s="6"/>
      <c r="X195" s="6"/>
      <c r="Y195" s="6"/>
      <c r="Z195" s="6"/>
      <c r="AA195" s="6"/>
      <c r="AB195" s="6"/>
    </row>
    <row r="196" ht="15.75" customHeight="1">
      <c r="A196" s="1"/>
      <c r="B196" s="2"/>
      <c r="C196" s="2"/>
      <c r="D196" s="3"/>
      <c r="E196" s="4"/>
      <c r="F196" s="2"/>
      <c r="G196" s="5"/>
      <c r="H196" s="5"/>
      <c r="I196" s="5"/>
      <c r="J196" s="5"/>
      <c r="K196" s="6"/>
      <c r="L196" s="6"/>
      <c r="M196" s="6"/>
      <c r="N196" s="6"/>
      <c r="O196" s="6"/>
      <c r="P196" s="6"/>
      <c r="Q196" s="6"/>
      <c r="R196" s="6"/>
      <c r="S196" s="6"/>
      <c r="T196" s="6"/>
      <c r="U196" s="6"/>
      <c r="V196" s="6"/>
      <c r="W196" s="6"/>
      <c r="X196" s="6"/>
      <c r="Y196" s="6"/>
      <c r="Z196" s="6"/>
      <c r="AA196" s="6"/>
      <c r="AB196" s="6"/>
    </row>
    <row r="197" ht="15.75" customHeight="1">
      <c r="A197" s="1"/>
      <c r="B197" s="2"/>
      <c r="C197" s="2"/>
      <c r="D197" s="3"/>
      <c r="E197" s="4"/>
      <c r="F197" s="2"/>
      <c r="G197" s="5"/>
      <c r="H197" s="5"/>
      <c r="I197" s="5"/>
      <c r="J197" s="5"/>
      <c r="K197" s="6"/>
      <c r="L197" s="6"/>
      <c r="M197" s="6"/>
      <c r="N197" s="6"/>
      <c r="O197" s="6"/>
      <c r="P197" s="6"/>
      <c r="Q197" s="6"/>
      <c r="R197" s="6"/>
      <c r="S197" s="6"/>
      <c r="T197" s="6"/>
      <c r="U197" s="6"/>
      <c r="V197" s="6"/>
      <c r="W197" s="6"/>
      <c r="X197" s="6"/>
      <c r="Y197" s="6"/>
      <c r="Z197" s="6"/>
      <c r="AA197" s="6"/>
      <c r="AB197" s="6"/>
    </row>
    <row r="198" ht="15.75" customHeight="1">
      <c r="A198" s="1"/>
      <c r="B198" s="2"/>
      <c r="C198" s="2"/>
      <c r="D198" s="3"/>
      <c r="E198" s="4"/>
      <c r="F198" s="2"/>
      <c r="G198" s="5"/>
      <c r="H198" s="5"/>
      <c r="I198" s="5"/>
      <c r="J198" s="5"/>
      <c r="K198" s="6"/>
      <c r="L198" s="6"/>
      <c r="M198" s="6"/>
      <c r="N198" s="6"/>
      <c r="O198" s="6"/>
      <c r="P198" s="6"/>
      <c r="Q198" s="6"/>
      <c r="R198" s="6"/>
      <c r="S198" s="6"/>
      <c r="T198" s="6"/>
      <c r="U198" s="6"/>
      <c r="V198" s="6"/>
      <c r="W198" s="6"/>
      <c r="X198" s="6"/>
      <c r="Y198" s="6"/>
      <c r="Z198" s="6"/>
      <c r="AA198" s="6"/>
      <c r="AB198" s="6"/>
    </row>
    <row r="199" ht="15.75" customHeight="1">
      <c r="A199" s="1"/>
      <c r="B199" s="2"/>
      <c r="C199" s="2"/>
      <c r="D199" s="3"/>
      <c r="E199" s="4"/>
      <c r="F199" s="2"/>
      <c r="G199" s="5"/>
      <c r="H199" s="5"/>
      <c r="I199" s="5"/>
      <c r="J199" s="5"/>
      <c r="K199" s="6"/>
      <c r="L199" s="6"/>
      <c r="M199" s="6"/>
      <c r="N199" s="6"/>
      <c r="O199" s="6"/>
      <c r="P199" s="6"/>
      <c r="Q199" s="6"/>
      <c r="R199" s="6"/>
      <c r="S199" s="6"/>
      <c r="T199" s="6"/>
      <c r="U199" s="6"/>
      <c r="V199" s="6"/>
      <c r="W199" s="6"/>
      <c r="X199" s="6"/>
      <c r="Y199" s="6"/>
      <c r="Z199" s="6"/>
      <c r="AA199" s="6"/>
      <c r="AB199" s="6"/>
    </row>
    <row r="200" ht="15.75" customHeight="1">
      <c r="A200" s="1"/>
      <c r="B200" s="2"/>
      <c r="C200" s="2"/>
      <c r="D200" s="3"/>
      <c r="E200" s="4"/>
      <c r="F200" s="2"/>
      <c r="G200" s="5"/>
      <c r="H200" s="5"/>
      <c r="I200" s="5"/>
      <c r="J200" s="5"/>
      <c r="K200" s="6"/>
      <c r="L200" s="6"/>
      <c r="M200" s="6"/>
      <c r="N200" s="6"/>
      <c r="O200" s="6"/>
      <c r="P200" s="6"/>
      <c r="Q200" s="6"/>
      <c r="R200" s="6"/>
      <c r="S200" s="6"/>
      <c r="T200" s="6"/>
      <c r="U200" s="6"/>
      <c r="V200" s="6"/>
      <c r="W200" s="6"/>
      <c r="X200" s="6"/>
      <c r="Y200" s="6"/>
      <c r="Z200" s="6"/>
      <c r="AA200" s="6"/>
      <c r="AB200" s="6"/>
    </row>
    <row r="201" ht="15.75" customHeight="1">
      <c r="A201" s="1"/>
      <c r="B201" s="2"/>
      <c r="C201" s="2"/>
      <c r="D201" s="3"/>
      <c r="E201" s="4"/>
      <c r="F201" s="2"/>
      <c r="G201" s="5"/>
      <c r="H201" s="5"/>
      <c r="I201" s="5"/>
      <c r="J201" s="5"/>
      <c r="K201" s="6"/>
      <c r="L201" s="6"/>
      <c r="M201" s="6"/>
      <c r="N201" s="6"/>
      <c r="O201" s="6"/>
      <c r="P201" s="6"/>
      <c r="Q201" s="6"/>
      <c r="R201" s="6"/>
      <c r="S201" s="6"/>
      <c r="T201" s="6"/>
      <c r="U201" s="6"/>
      <c r="V201" s="6"/>
      <c r="W201" s="6"/>
      <c r="X201" s="6"/>
      <c r="Y201" s="6"/>
      <c r="Z201" s="6"/>
      <c r="AA201" s="6"/>
      <c r="AB201" s="6"/>
    </row>
    <row r="202" ht="15.75" customHeight="1">
      <c r="A202" s="1"/>
      <c r="B202" s="2"/>
      <c r="C202" s="2"/>
      <c r="D202" s="3"/>
      <c r="E202" s="4"/>
      <c r="F202" s="2"/>
      <c r="G202" s="5"/>
      <c r="H202" s="5"/>
      <c r="I202" s="5"/>
      <c r="J202" s="5"/>
      <c r="K202" s="6"/>
      <c r="L202" s="6"/>
      <c r="M202" s="6"/>
      <c r="N202" s="6"/>
      <c r="O202" s="6"/>
      <c r="P202" s="6"/>
      <c r="Q202" s="6"/>
      <c r="R202" s="6"/>
      <c r="S202" s="6"/>
      <c r="T202" s="6"/>
      <c r="U202" s="6"/>
      <c r="V202" s="6"/>
      <c r="W202" s="6"/>
      <c r="X202" s="6"/>
      <c r="Y202" s="6"/>
      <c r="Z202" s="6"/>
      <c r="AA202" s="6"/>
      <c r="AB202" s="6"/>
    </row>
    <row r="203" ht="15.75" customHeight="1">
      <c r="A203" s="1"/>
      <c r="B203" s="2"/>
      <c r="C203" s="2"/>
      <c r="D203" s="3"/>
      <c r="E203" s="4"/>
      <c r="F203" s="2"/>
      <c r="G203" s="5"/>
      <c r="H203" s="5"/>
      <c r="I203" s="5"/>
      <c r="J203" s="5"/>
      <c r="K203" s="6"/>
      <c r="L203" s="6"/>
      <c r="M203" s="6"/>
      <c r="N203" s="6"/>
      <c r="O203" s="6"/>
      <c r="P203" s="6"/>
      <c r="Q203" s="6"/>
      <c r="R203" s="6"/>
      <c r="S203" s="6"/>
      <c r="T203" s="6"/>
      <c r="U203" s="6"/>
      <c r="V203" s="6"/>
      <c r="W203" s="6"/>
      <c r="X203" s="6"/>
      <c r="Y203" s="6"/>
      <c r="Z203" s="6"/>
      <c r="AA203" s="6"/>
      <c r="AB203" s="6"/>
    </row>
    <row r="204" ht="15.75" customHeight="1">
      <c r="A204" s="1"/>
      <c r="B204" s="2"/>
      <c r="C204" s="2"/>
      <c r="D204" s="3"/>
      <c r="E204" s="4"/>
      <c r="F204" s="2"/>
      <c r="G204" s="5"/>
      <c r="H204" s="5"/>
      <c r="I204" s="5"/>
      <c r="J204" s="5"/>
      <c r="K204" s="6"/>
      <c r="L204" s="6"/>
      <c r="M204" s="6"/>
      <c r="N204" s="6"/>
      <c r="O204" s="6"/>
      <c r="P204" s="6"/>
      <c r="Q204" s="6"/>
      <c r="R204" s="6"/>
      <c r="S204" s="6"/>
      <c r="T204" s="6"/>
      <c r="U204" s="6"/>
      <c r="V204" s="6"/>
      <c r="W204" s="6"/>
      <c r="X204" s="6"/>
      <c r="Y204" s="6"/>
      <c r="Z204" s="6"/>
      <c r="AA204" s="6"/>
      <c r="AB204" s="6"/>
    </row>
    <row r="205" ht="15.75" customHeight="1">
      <c r="A205" s="1"/>
      <c r="B205" s="2"/>
      <c r="C205" s="2"/>
      <c r="D205" s="3"/>
      <c r="E205" s="4"/>
      <c r="F205" s="2"/>
      <c r="G205" s="5"/>
      <c r="H205" s="5"/>
      <c r="I205" s="5"/>
      <c r="J205" s="5"/>
      <c r="K205" s="6"/>
      <c r="L205" s="6"/>
      <c r="M205" s="6"/>
      <c r="N205" s="6"/>
      <c r="O205" s="6"/>
      <c r="P205" s="6"/>
      <c r="Q205" s="6"/>
      <c r="R205" s="6"/>
      <c r="S205" s="6"/>
      <c r="T205" s="6"/>
      <c r="U205" s="6"/>
      <c r="V205" s="6"/>
      <c r="W205" s="6"/>
      <c r="X205" s="6"/>
      <c r="Y205" s="6"/>
      <c r="Z205" s="6"/>
      <c r="AA205" s="6"/>
      <c r="AB205" s="6"/>
    </row>
    <row r="206" ht="15.75" customHeight="1">
      <c r="A206" s="1"/>
      <c r="B206" s="2"/>
      <c r="C206" s="2"/>
      <c r="D206" s="3"/>
      <c r="E206" s="4"/>
      <c r="F206" s="2"/>
      <c r="G206" s="5"/>
      <c r="H206" s="5"/>
      <c r="I206" s="5"/>
      <c r="J206" s="5"/>
      <c r="K206" s="6"/>
      <c r="L206" s="6"/>
      <c r="M206" s="6"/>
      <c r="N206" s="6"/>
      <c r="O206" s="6"/>
      <c r="P206" s="6"/>
      <c r="Q206" s="6"/>
      <c r="R206" s="6"/>
      <c r="S206" s="6"/>
      <c r="T206" s="6"/>
      <c r="U206" s="6"/>
      <c r="V206" s="6"/>
      <c r="W206" s="6"/>
      <c r="X206" s="6"/>
      <c r="Y206" s="6"/>
      <c r="Z206" s="6"/>
      <c r="AA206" s="6"/>
      <c r="AB206" s="6"/>
    </row>
    <row r="207" ht="15.75" customHeight="1">
      <c r="A207" s="1"/>
      <c r="B207" s="2"/>
      <c r="C207" s="2"/>
      <c r="D207" s="3"/>
      <c r="E207" s="4"/>
      <c r="F207" s="2"/>
      <c r="G207" s="5"/>
      <c r="H207" s="5"/>
      <c r="I207" s="5"/>
      <c r="J207" s="5"/>
      <c r="K207" s="6"/>
      <c r="L207" s="6"/>
      <c r="M207" s="6"/>
      <c r="N207" s="6"/>
      <c r="O207" s="6"/>
      <c r="P207" s="6"/>
      <c r="Q207" s="6"/>
      <c r="R207" s="6"/>
      <c r="S207" s="6"/>
      <c r="T207" s="6"/>
      <c r="U207" s="6"/>
      <c r="V207" s="6"/>
      <c r="W207" s="6"/>
      <c r="X207" s="6"/>
      <c r="Y207" s="6"/>
      <c r="Z207" s="6"/>
      <c r="AA207" s="6"/>
      <c r="AB207" s="6"/>
    </row>
    <row r="208" ht="15.75" customHeight="1">
      <c r="A208" s="1"/>
      <c r="B208" s="2"/>
      <c r="C208" s="2"/>
      <c r="D208" s="3"/>
      <c r="E208" s="4"/>
      <c r="F208" s="2"/>
      <c r="G208" s="5"/>
      <c r="H208" s="5"/>
      <c r="I208" s="5"/>
      <c r="J208" s="5"/>
      <c r="K208" s="6"/>
      <c r="L208" s="6"/>
      <c r="M208" s="6"/>
      <c r="N208" s="6"/>
      <c r="O208" s="6"/>
      <c r="P208" s="6"/>
      <c r="Q208" s="6"/>
      <c r="R208" s="6"/>
      <c r="S208" s="6"/>
      <c r="T208" s="6"/>
      <c r="U208" s="6"/>
      <c r="V208" s="6"/>
      <c r="W208" s="6"/>
      <c r="X208" s="6"/>
      <c r="Y208" s="6"/>
      <c r="Z208" s="6"/>
      <c r="AA208" s="6"/>
      <c r="AB208" s="6"/>
    </row>
    <row r="209" ht="15.75" customHeight="1">
      <c r="A209" s="1"/>
      <c r="B209" s="2"/>
      <c r="C209" s="2"/>
      <c r="D209" s="3"/>
      <c r="E209" s="4"/>
      <c r="F209" s="2"/>
      <c r="G209" s="5"/>
      <c r="H209" s="5"/>
      <c r="I209" s="5"/>
      <c r="J209" s="5"/>
      <c r="K209" s="6"/>
      <c r="L209" s="6"/>
      <c r="M209" s="6"/>
      <c r="N209" s="6"/>
      <c r="O209" s="6"/>
      <c r="P209" s="6"/>
      <c r="Q209" s="6"/>
      <c r="R209" s="6"/>
      <c r="S209" s="6"/>
      <c r="T209" s="6"/>
      <c r="U209" s="6"/>
      <c r="V209" s="6"/>
      <c r="W209" s="6"/>
      <c r="X209" s="6"/>
      <c r="Y209" s="6"/>
      <c r="Z209" s="6"/>
      <c r="AA209" s="6"/>
      <c r="AB209" s="6"/>
    </row>
    <row r="210" ht="15.75" customHeight="1">
      <c r="A210" s="1"/>
      <c r="B210" s="2"/>
      <c r="C210" s="2"/>
      <c r="D210" s="3"/>
      <c r="E210" s="4"/>
      <c r="F210" s="2"/>
      <c r="G210" s="5"/>
      <c r="H210" s="5"/>
      <c r="I210" s="5"/>
      <c r="J210" s="5"/>
      <c r="K210" s="6"/>
      <c r="L210" s="6"/>
      <c r="M210" s="6"/>
      <c r="N210" s="6"/>
      <c r="O210" s="6"/>
      <c r="P210" s="6"/>
      <c r="Q210" s="6"/>
      <c r="R210" s="6"/>
      <c r="S210" s="6"/>
      <c r="T210" s="6"/>
      <c r="U210" s="6"/>
      <c r="V210" s="6"/>
      <c r="W210" s="6"/>
      <c r="X210" s="6"/>
      <c r="Y210" s="6"/>
      <c r="Z210" s="6"/>
      <c r="AA210" s="6"/>
      <c r="AB210" s="6"/>
    </row>
    <row r="211" ht="15.75" customHeight="1">
      <c r="A211" s="1"/>
      <c r="B211" s="2"/>
      <c r="C211" s="2"/>
      <c r="D211" s="3"/>
      <c r="E211" s="4"/>
      <c r="F211" s="2"/>
      <c r="G211" s="5"/>
      <c r="H211" s="5"/>
      <c r="I211" s="5"/>
      <c r="J211" s="5"/>
      <c r="K211" s="6"/>
      <c r="L211" s="6"/>
      <c r="M211" s="6"/>
      <c r="N211" s="6"/>
      <c r="O211" s="6"/>
      <c r="P211" s="6"/>
      <c r="Q211" s="6"/>
      <c r="R211" s="6"/>
      <c r="S211" s="6"/>
      <c r="T211" s="6"/>
      <c r="U211" s="6"/>
      <c r="V211" s="6"/>
      <c r="W211" s="6"/>
      <c r="X211" s="6"/>
      <c r="Y211" s="6"/>
      <c r="Z211" s="6"/>
      <c r="AA211" s="6"/>
      <c r="AB211" s="6"/>
    </row>
    <row r="212" ht="15.75" customHeight="1">
      <c r="A212" s="1"/>
      <c r="B212" s="2"/>
      <c r="C212" s="2"/>
      <c r="D212" s="3"/>
      <c r="E212" s="4"/>
      <c r="F212" s="2"/>
      <c r="G212" s="5"/>
      <c r="H212" s="5"/>
      <c r="I212" s="5"/>
      <c r="J212" s="5"/>
      <c r="K212" s="6"/>
      <c r="L212" s="6"/>
      <c r="M212" s="6"/>
      <c r="N212" s="6"/>
      <c r="O212" s="6"/>
      <c r="P212" s="6"/>
      <c r="Q212" s="6"/>
      <c r="R212" s="6"/>
      <c r="S212" s="6"/>
      <c r="T212" s="6"/>
      <c r="U212" s="6"/>
      <c r="V212" s="6"/>
      <c r="W212" s="6"/>
      <c r="X212" s="6"/>
      <c r="Y212" s="6"/>
      <c r="Z212" s="6"/>
      <c r="AA212" s="6"/>
      <c r="AB212" s="6"/>
    </row>
    <row r="213" ht="15.75" customHeight="1">
      <c r="A213" s="1"/>
      <c r="B213" s="2"/>
      <c r="C213" s="2"/>
      <c r="D213" s="3"/>
      <c r="E213" s="4"/>
      <c r="F213" s="2"/>
      <c r="G213" s="5"/>
      <c r="H213" s="5"/>
      <c r="I213" s="5"/>
      <c r="J213" s="5"/>
      <c r="K213" s="6"/>
      <c r="L213" s="6"/>
      <c r="M213" s="6"/>
      <c r="N213" s="6"/>
      <c r="O213" s="6"/>
      <c r="P213" s="6"/>
      <c r="Q213" s="6"/>
      <c r="R213" s="6"/>
      <c r="S213" s="6"/>
      <c r="T213" s="6"/>
      <c r="U213" s="6"/>
      <c r="V213" s="6"/>
      <c r="W213" s="6"/>
      <c r="X213" s="6"/>
      <c r="Y213" s="6"/>
      <c r="Z213" s="6"/>
      <c r="AA213" s="6"/>
      <c r="AB213" s="6"/>
    </row>
    <row r="214" ht="15.75" customHeight="1">
      <c r="A214" s="1"/>
      <c r="B214" s="2"/>
      <c r="C214" s="2"/>
      <c r="D214" s="3"/>
      <c r="E214" s="4"/>
      <c r="F214" s="2"/>
      <c r="G214" s="5"/>
      <c r="H214" s="5"/>
      <c r="I214" s="5"/>
      <c r="J214" s="5"/>
      <c r="K214" s="6"/>
      <c r="L214" s="6"/>
      <c r="M214" s="6"/>
      <c r="N214" s="6"/>
      <c r="O214" s="6"/>
      <c r="P214" s="6"/>
      <c r="Q214" s="6"/>
      <c r="R214" s="6"/>
      <c r="S214" s="6"/>
      <c r="T214" s="6"/>
      <c r="U214" s="6"/>
      <c r="V214" s="6"/>
      <c r="W214" s="6"/>
      <c r="X214" s="6"/>
      <c r="Y214" s="6"/>
      <c r="Z214" s="6"/>
      <c r="AA214" s="6"/>
      <c r="AB214" s="6"/>
    </row>
    <row r="215" ht="15.75" customHeight="1">
      <c r="A215" s="1"/>
      <c r="B215" s="2"/>
      <c r="C215" s="2"/>
      <c r="D215" s="3"/>
      <c r="E215" s="4"/>
      <c r="F215" s="2"/>
      <c r="G215" s="5"/>
      <c r="H215" s="5"/>
      <c r="I215" s="5"/>
      <c r="J215" s="5"/>
      <c r="K215" s="6"/>
      <c r="L215" s="6"/>
      <c r="M215" s="6"/>
      <c r="N215" s="6"/>
      <c r="O215" s="6"/>
      <c r="P215" s="6"/>
      <c r="Q215" s="6"/>
      <c r="R215" s="6"/>
      <c r="S215" s="6"/>
      <c r="T215" s="6"/>
      <c r="U215" s="6"/>
      <c r="V215" s="6"/>
      <c r="W215" s="6"/>
      <c r="X215" s="6"/>
      <c r="Y215" s="6"/>
      <c r="Z215" s="6"/>
      <c r="AA215" s="6"/>
      <c r="AB215" s="6"/>
    </row>
    <row r="216" ht="15.75" customHeight="1">
      <c r="A216" s="1"/>
      <c r="B216" s="2"/>
      <c r="C216" s="2"/>
      <c r="D216" s="3"/>
      <c r="E216" s="4"/>
      <c r="F216" s="2"/>
      <c r="G216" s="5"/>
      <c r="H216" s="5"/>
      <c r="I216" s="5"/>
      <c r="J216" s="5"/>
      <c r="K216" s="6"/>
      <c r="L216" s="6"/>
      <c r="M216" s="6"/>
      <c r="N216" s="6"/>
      <c r="O216" s="6"/>
      <c r="P216" s="6"/>
      <c r="Q216" s="6"/>
      <c r="R216" s="6"/>
      <c r="S216" s="6"/>
      <c r="T216" s="6"/>
      <c r="U216" s="6"/>
      <c r="V216" s="6"/>
      <c r="W216" s="6"/>
      <c r="X216" s="6"/>
      <c r="Y216" s="6"/>
      <c r="Z216" s="6"/>
      <c r="AA216" s="6"/>
      <c r="AB216" s="6"/>
    </row>
    <row r="217" ht="15.75" customHeight="1">
      <c r="A217" s="1"/>
      <c r="B217" s="2"/>
      <c r="C217" s="2"/>
      <c r="D217" s="3"/>
      <c r="E217" s="4"/>
      <c r="F217" s="2"/>
      <c r="G217" s="5"/>
      <c r="H217" s="5"/>
      <c r="I217" s="5"/>
      <c r="J217" s="5"/>
      <c r="K217" s="6"/>
      <c r="L217" s="6"/>
      <c r="M217" s="6"/>
      <c r="N217" s="6"/>
      <c r="O217" s="6"/>
      <c r="P217" s="6"/>
      <c r="Q217" s="6"/>
      <c r="R217" s="6"/>
      <c r="S217" s="6"/>
      <c r="T217" s="6"/>
      <c r="U217" s="6"/>
      <c r="V217" s="6"/>
      <c r="W217" s="6"/>
      <c r="X217" s="6"/>
      <c r="Y217" s="6"/>
      <c r="Z217" s="6"/>
      <c r="AA217" s="6"/>
      <c r="AB217" s="6"/>
    </row>
    <row r="218" ht="15.75" customHeight="1">
      <c r="A218" s="1"/>
      <c r="B218" s="2"/>
      <c r="C218" s="2"/>
      <c r="D218" s="3"/>
      <c r="E218" s="4"/>
      <c r="F218" s="2"/>
      <c r="G218" s="5"/>
      <c r="H218" s="5"/>
      <c r="I218" s="5"/>
      <c r="J218" s="5"/>
      <c r="K218" s="6"/>
      <c r="L218" s="6"/>
      <c r="M218" s="6"/>
      <c r="N218" s="6"/>
      <c r="O218" s="6"/>
      <c r="P218" s="6"/>
      <c r="Q218" s="6"/>
      <c r="R218" s="6"/>
      <c r="S218" s="6"/>
      <c r="T218" s="6"/>
      <c r="U218" s="6"/>
      <c r="V218" s="6"/>
      <c r="W218" s="6"/>
      <c r="X218" s="6"/>
      <c r="Y218" s="6"/>
      <c r="Z218" s="6"/>
      <c r="AA218" s="6"/>
      <c r="AB218" s="6"/>
    </row>
    <row r="219" ht="15.75" customHeight="1">
      <c r="A219" s="1"/>
      <c r="B219" s="2"/>
      <c r="C219" s="2"/>
      <c r="D219" s="3"/>
      <c r="E219" s="4"/>
      <c r="F219" s="2"/>
      <c r="G219" s="5"/>
      <c r="H219" s="5"/>
      <c r="I219" s="5"/>
      <c r="J219" s="5"/>
      <c r="K219" s="6"/>
      <c r="L219" s="6"/>
      <c r="M219" s="6"/>
      <c r="N219" s="6"/>
      <c r="O219" s="6"/>
      <c r="P219" s="6"/>
      <c r="Q219" s="6"/>
      <c r="R219" s="6"/>
      <c r="S219" s="6"/>
      <c r="T219" s="6"/>
      <c r="U219" s="6"/>
      <c r="V219" s="6"/>
      <c r="W219" s="6"/>
      <c r="X219" s="6"/>
      <c r="Y219" s="6"/>
      <c r="Z219" s="6"/>
      <c r="AA219" s="6"/>
      <c r="AB219" s="6"/>
    </row>
    <row r="220" ht="15.75" customHeight="1">
      <c r="A220" s="1"/>
      <c r="B220" s="2"/>
      <c r="C220" s="2"/>
      <c r="D220" s="3"/>
      <c r="E220" s="4"/>
      <c r="F220" s="2"/>
      <c r="G220" s="5"/>
      <c r="H220" s="5"/>
      <c r="I220" s="5"/>
      <c r="J220" s="5"/>
      <c r="K220" s="6"/>
      <c r="L220" s="6"/>
      <c r="M220" s="6"/>
      <c r="N220" s="6"/>
      <c r="O220" s="6"/>
      <c r="P220" s="6"/>
      <c r="Q220" s="6"/>
      <c r="R220" s="6"/>
      <c r="S220" s="6"/>
      <c r="T220" s="6"/>
      <c r="U220" s="6"/>
      <c r="V220" s="6"/>
      <c r="W220" s="6"/>
      <c r="X220" s="6"/>
      <c r="Y220" s="6"/>
      <c r="Z220" s="6"/>
      <c r="AA220" s="6"/>
      <c r="AB220" s="6"/>
    </row>
    <row r="221" ht="15.75" customHeight="1">
      <c r="A221" s="1"/>
      <c r="B221" s="2"/>
      <c r="C221" s="2"/>
      <c r="D221" s="3"/>
      <c r="E221" s="4"/>
      <c r="F221" s="2"/>
      <c r="G221" s="5"/>
      <c r="H221" s="5"/>
      <c r="I221" s="5"/>
      <c r="J221" s="5"/>
      <c r="K221" s="6"/>
      <c r="L221" s="6"/>
      <c r="M221" s="6"/>
      <c r="N221" s="6"/>
      <c r="O221" s="6"/>
      <c r="P221" s="6"/>
      <c r="Q221" s="6"/>
      <c r="R221" s="6"/>
      <c r="S221" s="6"/>
      <c r="T221" s="6"/>
      <c r="U221" s="6"/>
      <c r="V221" s="6"/>
      <c r="W221" s="6"/>
      <c r="X221" s="6"/>
      <c r="Y221" s="6"/>
      <c r="Z221" s="6"/>
      <c r="AA221" s="6"/>
      <c r="AB221" s="6"/>
    </row>
    <row r="222" ht="15.75" customHeight="1">
      <c r="A222" s="1"/>
      <c r="B222" s="2"/>
      <c r="C222" s="2"/>
      <c r="D222" s="3"/>
      <c r="E222" s="4"/>
      <c r="F222" s="2"/>
      <c r="G222" s="5"/>
      <c r="H222" s="5"/>
      <c r="I222" s="5"/>
      <c r="J222" s="5"/>
      <c r="K222" s="6"/>
      <c r="L222" s="6"/>
      <c r="M222" s="6"/>
      <c r="N222" s="6"/>
      <c r="O222" s="6"/>
      <c r="P222" s="6"/>
      <c r="Q222" s="6"/>
      <c r="R222" s="6"/>
      <c r="S222" s="6"/>
      <c r="T222" s="6"/>
      <c r="U222" s="6"/>
      <c r="V222" s="6"/>
      <c r="W222" s="6"/>
      <c r="X222" s="6"/>
      <c r="Y222" s="6"/>
      <c r="Z222" s="6"/>
      <c r="AA222" s="6"/>
      <c r="AB222" s="6"/>
    </row>
    <row r="223" ht="15.75" customHeight="1">
      <c r="A223" s="1"/>
      <c r="B223" s="2"/>
      <c r="C223" s="2"/>
      <c r="D223" s="3"/>
      <c r="E223" s="4"/>
      <c r="F223" s="2"/>
      <c r="G223" s="5"/>
      <c r="H223" s="5"/>
      <c r="I223" s="5"/>
      <c r="J223" s="5"/>
      <c r="K223" s="6"/>
      <c r="L223" s="6"/>
      <c r="M223" s="6"/>
      <c r="N223" s="6"/>
      <c r="O223" s="6"/>
      <c r="P223" s="6"/>
      <c r="Q223" s="6"/>
      <c r="R223" s="6"/>
      <c r="S223" s="6"/>
      <c r="T223" s="6"/>
      <c r="U223" s="6"/>
      <c r="V223" s="6"/>
      <c r="W223" s="6"/>
      <c r="X223" s="6"/>
      <c r="Y223" s="6"/>
      <c r="Z223" s="6"/>
      <c r="AA223" s="6"/>
      <c r="AB223" s="6"/>
    </row>
    <row r="224" ht="15.75" customHeight="1">
      <c r="A224" s="1"/>
      <c r="B224" s="2"/>
      <c r="C224" s="2"/>
      <c r="D224" s="3"/>
      <c r="E224" s="4"/>
      <c r="F224" s="2"/>
      <c r="G224" s="5"/>
      <c r="H224" s="5"/>
      <c r="I224" s="5"/>
      <c r="J224" s="5"/>
      <c r="K224" s="6"/>
      <c r="L224" s="6"/>
      <c r="M224" s="6"/>
      <c r="N224" s="6"/>
      <c r="O224" s="6"/>
      <c r="P224" s="6"/>
      <c r="Q224" s="6"/>
      <c r="R224" s="6"/>
      <c r="S224" s="6"/>
      <c r="T224" s="6"/>
      <c r="U224" s="6"/>
      <c r="V224" s="6"/>
      <c r="W224" s="6"/>
      <c r="X224" s="6"/>
      <c r="Y224" s="6"/>
      <c r="Z224" s="6"/>
      <c r="AA224" s="6"/>
      <c r="AB224" s="6"/>
    </row>
    <row r="225" ht="15.75" customHeight="1">
      <c r="A225" s="1"/>
      <c r="B225" s="2"/>
      <c r="C225" s="2"/>
      <c r="D225" s="3"/>
      <c r="E225" s="4"/>
      <c r="F225" s="2"/>
      <c r="G225" s="5"/>
      <c r="H225" s="5"/>
      <c r="I225" s="5"/>
      <c r="J225" s="5"/>
      <c r="K225" s="6"/>
      <c r="L225" s="6"/>
      <c r="M225" s="6"/>
      <c r="N225" s="6"/>
      <c r="O225" s="6"/>
      <c r="P225" s="6"/>
      <c r="Q225" s="6"/>
      <c r="R225" s="6"/>
      <c r="S225" s="6"/>
      <c r="T225" s="6"/>
      <c r="U225" s="6"/>
      <c r="V225" s="6"/>
      <c r="W225" s="6"/>
      <c r="X225" s="6"/>
      <c r="Y225" s="6"/>
      <c r="Z225" s="6"/>
      <c r="AA225" s="6"/>
      <c r="AB225" s="6"/>
    </row>
    <row r="226" ht="15.75" customHeight="1">
      <c r="A226" s="1"/>
      <c r="B226" s="2"/>
      <c r="C226" s="2"/>
      <c r="D226" s="3"/>
      <c r="E226" s="4"/>
      <c r="F226" s="2"/>
      <c r="G226" s="5"/>
      <c r="H226" s="5"/>
      <c r="I226" s="5"/>
      <c r="J226" s="5"/>
      <c r="K226" s="6"/>
      <c r="L226" s="6"/>
      <c r="M226" s="6"/>
      <c r="N226" s="6"/>
      <c r="O226" s="6"/>
      <c r="P226" s="6"/>
      <c r="Q226" s="6"/>
      <c r="R226" s="6"/>
      <c r="S226" s="6"/>
      <c r="T226" s="6"/>
      <c r="U226" s="6"/>
      <c r="V226" s="6"/>
      <c r="W226" s="6"/>
      <c r="X226" s="6"/>
      <c r="Y226" s="6"/>
      <c r="Z226" s="6"/>
      <c r="AA226" s="6"/>
      <c r="AB226" s="6"/>
    </row>
    <row r="227" ht="15.75" customHeight="1">
      <c r="A227" s="1"/>
      <c r="B227" s="2"/>
      <c r="C227" s="2"/>
      <c r="D227" s="3"/>
      <c r="E227" s="4"/>
      <c r="F227" s="2"/>
      <c r="G227" s="5"/>
      <c r="H227" s="5"/>
      <c r="I227" s="5"/>
      <c r="J227" s="5"/>
      <c r="K227" s="6"/>
      <c r="L227" s="6"/>
      <c r="M227" s="6"/>
      <c r="N227" s="6"/>
      <c r="O227" s="6"/>
      <c r="P227" s="6"/>
      <c r="Q227" s="6"/>
      <c r="R227" s="6"/>
      <c r="S227" s="6"/>
      <c r="T227" s="6"/>
      <c r="U227" s="6"/>
      <c r="V227" s="6"/>
      <c r="W227" s="6"/>
      <c r="X227" s="6"/>
      <c r="Y227" s="6"/>
      <c r="Z227" s="6"/>
      <c r="AA227" s="6"/>
      <c r="AB227" s="6"/>
    </row>
    <row r="228" ht="15.75" customHeight="1">
      <c r="A228" s="1"/>
      <c r="B228" s="2"/>
      <c r="C228" s="2"/>
      <c r="D228" s="3"/>
      <c r="E228" s="4"/>
      <c r="F228" s="2"/>
      <c r="G228" s="5"/>
      <c r="H228" s="5"/>
      <c r="I228" s="5"/>
      <c r="J228" s="5"/>
      <c r="K228" s="6"/>
      <c r="L228" s="6"/>
      <c r="M228" s="6"/>
      <c r="N228" s="6"/>
      <c r="O228" s="6"/>
      <c r="P228" s="6"/>
      <c r="Q228" s="6"/>
      <c r="R228" s="6"/>
      <c r="S228" s="6"/>
      <c r="T228" s="6"/>
      <c r="U228" s="6"/>
      <c r="V228" s="6"/>
      <c r="W228" s="6"/>
      <c r="X228" s="6"/>
      <c r="Y228" s="6"/>
      <c r="Z228" s="6"/>
      <c r="AA228" s="6"/>
      <c r="AB228" s="6"/>
    </row>
    <row r="229" ht="15.75" customHeight="1">
      <c r="A229" s="1"/>
      <c r="B229" s="2"/>
      <c r="C229" s="2"/>
      <c r="D229" s="3"/>
      <c r="E229" s="4"/>
      <c r="F229" s="2"/>
      <c r="G229" s="5"/>
      <c r="H229" s="5"/>
      <c r="I229" s="5"/>
      <c r="J229" s="5"/>
      <c r="K229" s="6"/>
      <c r="L229" s="6"/>
      <c r="M229" s="6"/>
      <c r="N229" s="6"/>
      <c r="O229" s="6"/>
      <c r="P229" s="6"/>
      <c r="Q229" s="6"/>
      <c r="R229" s="6"/>
      <c r="S229" s="6"/>
      <c r="T229" s="6"/>
      <c r="U229" s="6"/>
      <c r="V229" s="6"/>
      <c r="W229" s="6"/>
      <c r="X229" s="6"/>
      <c r="Y229" s="6"/>
      <c r="Z229" s="6"/>
      <c r="AA229" s="6"/>
      <c r="AB229" s="6"/>
    </row>
    <row r="230" ht="15.75" customHeight="1">
      <c r="A230" s="1"/>
      <c r="B230" s="2"/>
      <c r="C230" s="2"/>
      <c r="D230" s="3"/>
      <c r="E230" s="4"/>
      <c r="F230" s="2"/>
      <c r="G230" s="5"/>
      <c r="H230" s="5"/>
      <c r="I230" s="5"/>
      <c r="J230" s="5"/>
      <c r="K230" s="6"/>
      <c r="L230" s="6"/>
      <c r="M230" s="6"/>
      <c r="N230" s="6"/>
      <c r="O230" s="6"/>
      <c r="P230" s="6"/>
      <c r="Q230" s="6"/>
      <c r="R230" s="6"/>
      <c r="S230" s="6"/>
      <c r="T230" s="6"/>
      <c r="U230" s="6"/>
      <c r="V230" s="6"/>
      <c r="W230" s="6"/>
      <c r="X230" s="6"/>
      <c r="Y230" s="6"/>
      <c r="Z230" s="6"/>
      <c r="AA230" s="6"/>
      <c r="AB230" s="6"/>
    </row>
    <row r="231" ht="15.75" customHeight="1">
      <c r="A231" s="1"/>
      <c r="B231" s="2"/>
      <c r="C231" s="2"/>
      <c r="D231" s="3"/>
      <c r="E231" s="4"/>
      <c r="F231" s="2"/>
      <c r="G231" s="5"/>
      <c r="H231" s="5"/>
      <c r="I231" s="5"/>
      <c r="J231" s="5"/>
      <c r="K231" s="6"/>
      <c r="L231" s="6"/>
      <c r="M231" s="6"/>
      <c r="N231" s="6"/>
      <c r="O231" s="6"/>
      <c r="P231" s="6"/>
      <c r="Q231" s="6"/>
      <c r="R231" s="6"/>
      <c r="S231" s="6"/>
      <c r="T231" s="6"/>
      <c r="U231" s="6"/>
      <c r="V231" s="6"/>
      <c r="W231" s="6"/>
      <c r="X231" s="6"/>
      <c r="Y231" s="6"/>
      <c r="Z231" s="6"/>
      <c r="AA231" s="6"/>
      <c r="AB231" s="6"/>
    </row>
    <row r="232" ht="15.75" customHeight="1">
      <c r="A232" s="1"/>
      <c r="B232" s="2"/>
      <c r="C232" s="2"/>
      <c r="D232" s="3"/>
      <c r="E232" s="4"/>
      <c r="F232" s="2"/>
      <c r="G232" s="5"/>
      <c r="H232" s="5"/>
      <c r="I232" s="5"/>
      <c r="J232" s="5"/>
      <c r="K232" s="6"/>
      <c r="L232" s="6"/>
      <c r="M232" s="6"/>
      <c r="N232" s="6"/>
      <c r="O232" s="6"/>
      <c r="P232" s="6"/>
      <c r="Q232" s="6"/>
      <c r="R232" s="6"/>
      <c r="S232" s="6"/>
      <c r="T232" s="6"/>
      <c r="U232" s="6"/>
      <c r="V232" s="6"/>
      <c r="W232" s="6"/>
      <c r="X232" s="6"/>
      <c r="Y232" s="6"/>
      <c r="Z232" s="6"/>
      <c r="AA232" s="6"/>
      <c r="AB232" s="6"/>
    </row>
    <row r="233" ht="15.75" customHeight="1">
      <c r="A233" s="1"/>
      <c r="B233" s="2"/>
      <c r="C233" s="2"/>
      <c r="D233" s="3"/>
      <c r="E233" s="4"/>
      <c r="F233" s="2"/>
      <c r="G233" s="5"/>
      <c r="H233" s="5"/>
      <c r="I233" s="5"/>
      <c r="J233" s="5"/>
      <c r="K233" s="6"/>
      <c r="L233" s="6"/>
      <c r="M233" s="6"/>
      <c r="N233" s="6"/>
      <c r="O233" s="6"/>
      <c r="P233" s="6"/>
      <c r="Q233" s="6"/>
      <c r="R233" s="6"/>
      <c r="S233" s="6"/>
      <c r="T233" s="6"/>
      <c r="U233" s="6"/>
      <c r="V233" s="6"/>
      <c r="W233" s="6"/>
      <c r="X233" s="6"/>
      <c r="Y233" s="6"/>
      <c r="Z233" s="6"/>
      <c r="AA233" s="6"/>
      <c r="AB233" s="6"/>
    </row>
    <row r="234" ht="15.75" customHeight="1">
      <c r="A234" s="1"/>
      <c r="B234" s="2"/>
      <c r="C234" s="2"/>
      <c r="D234" s="3"/>
      <c r="E234" s="4"/>
      <c r="F234" s="2"/>
      <c r="G234" s="5"/>
      <c r="H234" s="5"/>
      <c r="I234" s="5"/>
      <c r="J234" s="5"/>
      <c r="K234" s="6"/>
      <c r="L234" s="6"/>
      <c r="M234" s="6"/>
      <c r="N234" s="6"/>
      <c r="O234" s="6"/>
      <c r="P234" s="6"/>
      <c r="Q234" s="6"/>
      <c r="R234" s="6"/>
      <c r="S234" s="6"/>
      <c r="T234" s="6"/>
      <c r="U234" s="6"/>
      <c r="V234" s="6"/>
      <c r="W234" s="6"/>
      <c r="X234" s="6"/>
      <c r="Y234" s="6"/>
      <c r="Z234" s="6"/>
      <c r="AA234" s="6"/>
      <c r="AB234" s="6"/>
    </row>
    <row r="235" ht="15.75" customHeight="1">
      <c r="A235" s="1"/>
      <c r="B235" s="2"/>
      <c r="C235" s="2"/>
      <c r="D235" s="3"/>
      <c r="E235" s="4"/>
      <c r="F235" s="2"/>
      <c r="G235" s="5"/>
      <c r="H235" s="5"/>
      <c r="I235" s="5"/>
      <c r="J235" s="5"/>
      <c r="K235" s="6"/>
      <c r="L235" s="6"/>
      <c r="M235" s="6"/>
      <c r="N235" s="6"/>
      <c r="O235" s="6"/>
      <c r="P235" s="6"/>
      <c r="Q235" s="6"/>
      <c r="R235" s="6"/>
      <c r="S235" s="6"/>
      <c r="T235" s="6"/>
      <c r="U235" s="6"/>
      <c r="V235" s="6"/>
      <c r="W235" s="6"/>
      <c r="X235" s="6"/>
      <c r="Y235" s="6"/>
      <c r="Z235" s="6"/>
      <c r="AA235" s="6"/>
      <c r="AB235" s="6"/>
    </row>
    <row r="236" ht="15.75" customHeight="1">
      <c r="A236" s="1"/>
      <c r="B236" s="2"/>
      <c r="C236" s="2"/>
      <c r="D236" s="3"/>
      <c r="E236" s="4"/>
      <c r="F236" s="2"/>
      <c r="G236" s="5"/>
      <c r="H236" s="5"/>
      <c r="I236" s="5"/>
      <c r="J236" s="5"/>
      <c r="K236" s="6"/>
      <c r="L236" s="6"/>
      <c r="M236" s="6"/>
      <c r="N236" s="6"/>
      <c r="O236" s="6"/>
      <c r="P236" s="6"/>
      <c r="Q236" s="6"/>
      <c r="R236" s="6"/>
      <c r="S236" s="6"/>
      <c r="T236" s="6"/>
      <c r="U236" s="6"/>
      <c r="V236" s="6"/>
      <c r="W236" s="6"/>
      <c r="X236" s="6"/>
      <c r="Y236" s="6"/>
      <c r="Z236" s="6"/>
      <c r="AA236" s="6"/>
      <c r="AB236" s="6"/>
    </row>
    <row r="237" ht="15.75" customHeight="1">
      <c r="A237" s="1"/>
      <c r="B237" s="2"/>
      <c r="C237" s="2"/>
      <c r="D237" s="3"/>
      <c r="E237" s="4"/>
      <c r="F237" s="2"/>
      <c r="G237" s="5"/>
      <c r="H237" s="5"/>
      <c r="I237" s="5"/>
      <c r="J237" s="5"/>
      <c r="K237" s="6"/>
      <c r="L237" s="6"/>
      <c r="M237" s="6"/>
      <c r="N237" s="6"/>
      <c r="O237" s="6"/>
      <c r="P237" s="6"/>
      <c r="Q237" s="6"/>
      <c r="R237" s="6"/>
      <c r="S237" s="6"/>
      <c r="T237" s="6"/>
      <c r="U237" s="6"/>
      <c r="V237" s="6"/>
      <c r="W237" s="6"/>
      <c r="X237" s="6"/>
      <c r="Y237" s="6"/>
      <c r="Z237" s="6"/>
      <c r="AA237" s="6"/>
      <c r="AB237" s="6"/>
    </row>
    <row r="238" ht="15.75" customHeight="1">
      <c r="A238" s="1"/>
      <c r="B238" s="2"/>
      <c r="C238" s="2"/>
      <c r="D238" s="3"/>
      <c r="E238" s="4"/>
      <c r="F238" s="2"/>
      <c r="G238" s="5"/>
      <c r="H238" s="5"/>
      <c r="I238" s="5"/>
      <c r="J238" s="5"/>
      <c r="K238" s="6"/>
      <c r="L238" s="6"/>
      <c r="M238" s="6"/>
      <c r="N238" s="6"/>
      <c r="O238" s="6"/>
      <c r="P238" s="6"/>
      <c r="Q238" s="6"/>
      <c r="R238" s="6"/>
      <c r="S238" s="6"/>
      <c r="T238" s="6"/>
      <c r="U238" s="6"/>
      <c r="V238" s="6"/>
      <c r="W238" s="6"/>
      <c r="X238" s="6"/>
      <c r="Y238" s="6"/>
      <c r="Z238" s="6"/>
      <c r="AA238" s="6"/>
      <c r="AB238" s="6"/>
    </row>
    <row r="239" ht="15.75" customHeight="1">
      <c r="A239" s="1"/>
      <c r="B239" s="2"/>
      <c r="C239" s="2"/>
      <c r="D239" s="3"/>
      <c r="E239" s="4"/>
      <c r="F239" s="2"/>
      <c r="G239" s="5"/>
      <c r="H239" s="5"/>
      <c r="I239" s="5"/>
      <c r="J239" s="5"/>
      <c r="K239" s="6"/>
      <c r="L239" s="6"/>
      <c r="M239" s="6"/>
      <c r="N239" s="6"/>
      <c r="O239" s="6"/>
      <c r="P239" s="6"/>
      <c r="Q239" s="6"/>
      <c r="R239" s="6"/>
      <c r="S239" s="6"/>
      <c r="T239" s="6"/>
      <c r="U239" s="6"/>
      <c r="V239" s="6"/>
      <c r="W239" s="6"/>
      <c r="X239" s="6"/>
      <c r="Y239" s="6"/>
      <c r="Z239" s="6"/>
      <c r="AA239" s="6"/>
      <c r="AB239" s="6"/>
    </row>
    <row r="240" ht="15.75" customHeight="1">
      <c r="A240" s="1"/>
      <c r="B240" s="2"/>
      <c r="C240" s="2"/>
      <c r="D240" s="3"/>
      <c r="E240" s="4"/>
      <c r="F240" s="2"/>
      <c r="G240" s="5"/>
      <c r="H240" s="5"/>
      <c r="I240" s="5"/>
      <c r="J240" s="5"/>
      <c r="K240" s="6"/>
      <c r="L240" s="6"/>
      <c r="M240" s="6"/>
      <c r="N240" s="6"/>
      <c r="O240" s="6"/>
      <c r="P240" s="6"/>
      <c r="Q240" s="6"/>
      <c r="R240" s="6"/>
      <c r="S240" s="6"/>
      <c r="T240" s="6"/>
      <c r="U240" s="6"/>
      <c r="V240" s="6"/>
      <c r="W240" s="6"/>
      <c r="X240" s="6"/>
      <c r="Y240" s="6"/>
      <c r="Z240" s="6"/>
      <c r="AA240" s="6"/>
      <c r="AB240" s="6"/>
    </row>
    <row r="241" ht="15.75" customHeight="1">
      <c r="A241" s="1"/>
      <c r="B241" s="2"/>
      <c r="C241" s="2"/>
      <c r="D241" s="3"/>
      <c r="E241" s="4"/>
      <c r="F241" s="2"/>
      <c r="G241" s="5"/>
      <c r="H241" s="5"/>
      <c r="I241" s="5"/>
      <c r="J241" s="5"/>
      <c r="K241" s="6"/>
      <c r="L241" s="6"/>
      <c r="M241" s="6"/>
      <c r="N241" s="6"/>
      <c r="O241" s="6"/>
      <c r="P241" s="6"/>
      <c r="Q241" s="6"/>
      <c r="R241" s="6"/>
      <c r="S241" s="6"/>
      <c r="T241" s="6"/>
      <c r="U241" s="6"/>
      <c r="V241" s="6"/>
      <c r="W241" s="6"/>
      <c r="X241" s="6"/>
      <c r="Y241" s="6"/>
      <c r="Z241" s="6"/>
      <c r="AA241" s="6"/>
      <c r="AB241" s="6"/>
    </row>
    <row r="242" ht="15.75" customHeight="1">
      <c r="A242" s="1"/>
      <c r="B242" s="2"/>
      <c r="C242" s="2"/>
      <c r="D242" s="3"/>
      <c r="E242" s="4"/>
      <c r="F242" s="2"/>
      <c r="G242" s="5"/>
      <c r="H242" s="5"/>
      <c r="I242" s="5"/>
      <c r="J242" s="5"/>
      <c r="K242" s="6"/>
      <c r="L242" s="6"/>
      <c r="M242" s="6"/>
      <c r="N242" s="6"/>
      <c r="O242" s="6"/>
      <c r="P242" s="6"/>
      <c r="Q242" s="6"/>
      <c r="R242" s="6"/>
      <c r="S242" s="6"/>
      <c r="T242" s="6"/>
      <c r="U242" s="6"/>
      <c r="V242" s="6"/>
      <c r="W242" s="6"/>
      <c r="X242" s="6"/>
      <c r="Y242" s="6"/>
      <c r="Z242" s="6"/>
      <c r="AA242" s="6"/>
      <c r="AB242" s="6"/>
    </row>
    <row r="243" ht="15.75" customHeight="1">
      <c r="A243" s="1"/>
      <c r="B243" s="2"/>
      <c r="C243" s="2"/>
      <c r="D243" s="3"/>
      <c r="E243" s="4"/>
      <c r="F243" s="2"/>
      <c r="G243" s="5"/>
      <c r="H243" s="5"/>
      <c r="I243" s="5"/>
      <c r="J243" s="5"/>
      <c r="K243" s="6"/>
      <c r="L243" s="6"/>
      <c r="M243" s="6"/>
      <c r="N243" s="6"/>
      <c r="O243" s="6"/>
      <c r="P243" s="6"/>
      <c r="Q243" s="6"/>
      <c r="R243" s="6"/>
      <c r="S243" s="6"/>
      <c r="T243" s="6"/>
      <c r="U243" s="6"/>
      <c r="V243" s="6"/>
      <c r="W243" s="6"/>
      <c r="X243" s="6"/>
      <c r="Y243" s="6"/>
      <c r="Z243" s="6"/>
      <c r="AA243" s="6"/>
      <c r="AB243" s="6"/>
    </row>
    <row r="244" ht="15.75" customHeight="1">
      <c r="A244" s="1"/>
      <c r="B244" s="2"/>
      <c r="C244" s="2"/>
      <c r="D244" s="3"/>
      <c r="E244" s="4"/>
      <c r="F244" s="2"/>
      <c r="G244" s="5"/>
      <c r="H244" s="5"/>
      <c r="I244" s="5"/>
      <c r="J244" s="5"/>
      <c r="K244" s="6"/>
      <c r="L244" s="6"/>
      <c r="M244" s="6"/>
      <c r="N244" s="6"/>
      <c r="O244" s="6"/>
      <c r="P244" s="6"/>
      <c r="Q244" s="6"/>
      <c r="R244" s="6"/>
      <c r="S244" s="6"/>
      <c r="T244" s="6"/>
      <c r="U244" s="6"/>
      <c r="V244" s="6"/>
      <c r="W244" s="6"/>
      <c r="X244" s="6"/>
      <c r="Y244" s="6"/>
      <c r="Z244" s="6"/>
      <c r="AA244" s="6"/>
      <c r="AB244" s="6"/>
    </row>
    <row r="245" ht="15.75" customHeight="1">
      <c r="A245" s="1"/>
      <c r="B245" s="2"/>
      <c r="C245" s="2"/>
      <c r="D245" s="3"/>
      <c r="E245" s="4"/>
      <c r="F245" s="2"/>
      <c r="G245" s="5"/>
      <c r="H245" s="5"/>
      <c r="I245" s="5"/>
      <c r="J245" s="5"/>
      <c r="K245" s="6"/>
      <c r="L245" s="6"/>
      <c r="M245" s="6"/>
      <c r="N245" s="6"/>
      <c r="O245" s="6"/>
      <c r="P245" s="6"/>
      <c r="Q245" s="6"/>
      <c r="R245" s="6"/>
      <c r="S245" s="6"/>
      <c r="T245" s="6"/>
      <c r="U245" s="6"/>
      <c r="V245" s="6"/>
      <c r="W245" s="6"/>
      <c r="X245" s="6"/>
      <c r="Y245" s="6"/>
      <c r="Z245" s="6"/>
      <c r="AA245" s="6"/>
      <c r="AB245" s="6"/>
    </row>
    <row r="246" ht="15.75" customHeight="1">
      <c r="A246" s="1"/>
      <c r="B246" s="2"/>
      <c r="C246" s="2"/>
      <c r="D246" s="3"/>
      <c r="E246" s="4"/>
      <c r="F246" s="2"/>
      <c r="G246" s="5"/>
      <c r="H246" s="5"/>
      <c r="I246" s="5"/>
      <c r="J246" s="5"/>
      <c r="K246" s="6"/>
      <c r="L246" s="6"/>
      <c r="M246" s="6"/>
      <c r="N246" s="6"/>
      <c r="O246" s="6"/>
      <c r="P246" s="6"/>
      <c r="Q246" s="6"/>
      <c r="R246" s="6"/>
      <c r="S246" s="6"/>
      <c r="T246" s="6"/>
      <c r="U246" s="6"/>
      <c r="V246" s="6"/>
      <c r="W246" s="6"/>
      <c r="X246" s="6"/>
      <c r="Y246" s="6"/>
      <c r="Z246" s="6"/>
      <c r="AA246" s="6"/>
      <c r="AB246" s="6"/>
    </row>
    <row r="247" ht="15.75" customHeight="1">
      <c r="A247" s="1"/>
      <c r="B247" s="2"/>
      <c r="C247" s="2"/>
      <c r="D247" s="3"/>
      <c r="E247" s="4"/>
      <c r="F247" s="2"/>
      <c r="G247" s="5"/>
      <c r="H247" s="5"/>
      <c r="I247" s="5"/>
      <c r="J247" s="5"/>
      <c r="K247" s="6"/>
      <c r="L247" s="6"/>
      <c r="M247" s="6"/>
      <c r="N247" s="6"/>
      <c r="O247" s="6"/>
      <c r="P247" s="6"/>
      <c r="Q247" s="6"/>
      <c r="R247" s="6"/>
      <c r="S247" s="6"/>
      <c r="T247" s="6"/>
      <c r="U247" s="6"/>
      <c r="V247" s="6"/>
      <c r="W247" s="6"/>
      <c r="X247" s="6"/>
      <c r="Y247" s="6"/>
      <c r="Z247" s="6"/>
      <c r="AA247" s="6"/>
      <c r="AB247" s="6"/>
    </row>
    <row r="248" ht="15.75" customHeight="1">
      <c r="A248" s="1"/>
      <c r="B248" s="2"/>
      <c r="C248" s="2"/>
      <c r="D248" s="3"/>
      <c r="E248" s="4"/>
      <c r="F248" s="2"/>
      <c r="G248" s="5"/>
      <c r="H248" s="5"/>
      <c r="I248" s="5"/>
      <c r="J248" s="5"/>
      <c r="K248" s="6"/>
      <c r="L248" s="6"/>
      <c r="M248" s="6"/>
      <c r="N248" s="6"/>
      <c r="O248" s="6"/>
      <c r="P248" s="6"/>
      <c r="Q248" s="6"/>
      <c r="R248" s="6"/>
      <c r="S248" s="6"/>
      <c r="T248" s="6"/>
      <c r="U248" s="6"/>
      <c r="V248" s="6"/>
      <c r="W248" s="6"/>
      <c r="X248" s="6"/>
      <c r="Y248" s="6"/>
      <c r="Z248" s="6"/>
      <c r="AA248" s="6"/>
      <c r="AB248" s="6"/>
    </row>
    <row r="249" ht="15.75" customHeight="1">
      <c r="A249" s="1"/>
      <c r="B249" s="2"/>
      <c r="C249" s="2"/>
      <c r="D249" s="3"/>
      <c r="E249" s="4"/>
      <c r="F249" s="2"/>
      <c r="G249" s="5"/>
      <c r="H249" s="5"/>
      <c r="I249" s="5"/>
      <c r="J249" s="5"/>
      <c r="K249" s="6"/>
      <c r="L249" s="6"/>
      <c r="M249" s="6"/>
      <c r="N249" s="6"/>
      <c r="O249" s="6"/>
      <c r="P249" s="6"/>
      <c r="Q249" s="6"/>
      <c r="R249" s="6"/>
      <c r="S249" s="6"/>
      <c r="T249" s="6"/>
      <c r="U249" s="6"/>
      <c r="V249" s="6"/>
      <c r="W249" s="6"/>
      <c r="X249" s="6"/>
      <c r="Y249" s="6"/>
      <c r="Z249" s="6"/>
      <c r="AA249" s="6"/>
      <c r="AB249" s="6"/>
    </row>
    <row r="250" ht="15.75" customHeight="1">
      <c r="A250" s="1"/>
      <c r="B250" s="2"/>
      <c r="C250" s="2"/>
      <c r="D250" s="3"/>
      <c r="E250" s="4"/>
      <c r="F250" s="2"/>
      <c r="G250" s="5"/>
      <c r="H250" s="5"/>
      <c r="I250" s="5"/>
      <c r="J250" s="5"/>
      <c r="K250" s="6"/>
      <c r="L250" s="6"/>
      <c r="M250" s="6"/>
      <c r="N250" s="6"/>
      <c r="O250" s="6"/>
      <c r="P250" s="6"/>
      <c r="Q250" s="6"/>
      <c r="R250" s="6"/>
      <c r="S250" s="6"/>
      <c r="T250" s="6"/>
      <c r="U250" s="6"/>
      <c r="V250" s="6"/>
      <c r="W250" s="6"/>
      <c r="X250" s="6"/>
      <c r="Y250" s="6"/>
      <c r="Z250" s="6"/>
      <c r="AA250" s="6"/>
      <c r="AB250" s="6"/>
    </row>
    <row r="251" ht="15.75" customHeight="1">
      <c r="A251" s="1"/>
      <c r="B251" s="2"/>
      <c r="C251" s="2"/>
      <c r="D251" s="3"/>
      <c r="E251" s="4"/>
      <c r="F251" s="2"/>
      <c r="G251" s="5"/>
      <c r="H251" s="5"/>
      <c r="I251" s="5"/>
      <c r="J251" s="5"/>
      <c r="K251" s="6"/>
      <c r="L251" s="6"/>
      <c r="M251" s="6"/>
      <c r="N251" s="6"/>
      <c r="O251" s="6"/>
      <c r="P251" s="6"/>
      <c r="Q251" s="6"/>
      <c r="R251" s="6"/>
      <c r="S251" s="6"/>
      <c r="T251" s="6"/>
      <c r="U251" s="6"/>
      <c r="V251" s="6"/>
      <c r="W251" s="6"/>
      <c r="X251" s="6"/>
      <c r="Y251" s="6"/>
      <c r="Z251" s="6"/>
      <c r="AA251" s="6"/>
      <c r="AB251" s="6"/>
    </row>
    <row r="252" ht="15.75" customHeight="1">
      <c r="A252" s="1"/>
      <c r="B252" s="2"/>
      <c r="C252" s="2"/>
      <c r="D252" s="3"/>
      <c r="E252" s="4"/>
      <c r="F252" s="2"/>
      <c r="G252" s="5"/>
      <c r="H252" s="5"/>
      <c r="I252" s="5"/>
      <c r="J252" s="5"/>
      <c r="K252" s="6"/>
      <c r="L252" s="6"/>
      <c r="M252" s="6"/>
      <c r="N252" s="6"/>
      <c r="O252" s="6"/>
      <c r="P252" s="6"/>
      <c r="Q252" s="6"/>
      <c r="R252" s="6"/>
      <c r="S252" s="6"/>
      <c r="T252" s="6"/>
      <c r="U252" s="6"/>
      <c r="V252" s="6"/>
      <c r="W252" s="6"/>
      <c r="X252" s="6"/>
      <c r="Y252" s="6"/>
      <c r="Z252" s="6"/>
      <c r="AA252" s="6"/>
      <c r="AB252" s="6"/>
    </row>
    <row r="253" ht="15.75" customHeight="1">
      <c r="A253" s="1"/>
      <c r="B253" s="2"/>
      <c r="C253" s="2"/>
      <c r="D253" s="3"/>
      <c r="E253" s="4"/>
      <c r="F253" s="2"/>
      <c r="G253" s="5"/>
      <c r="H253" s="5"/>
      <c r="I253" s="5"/>
      <c r="J253" s="5"/>
      <c r="K253" s="6"/>
      <c r="L253" s="6"/>
      <c r="M253" s="6"/>
      <c r="N253" s="6"/>
      <c r="O253" s="6"/>
      <c r="P253" s="6"/>
      <c r="Q253" s="6"/>
      <c r="R253" s="6"/>
      <c r="S253" s="6"/>
      <c r="T253" s="6"/>
      <c r="U253" s="6"/>
      <c r="V253" s="6"/>
      <c r="W253" s="6"/>
      <c r="X253" s="6"/>
      <c r="Y253" s="6"/>
      <c r="Z253" s="6"/>
      <c r="AA253" s="6"/>
      <c r="AB253" s="6"/>
    </row>
    <row r="254" ht="15.75" customHeight="1">
      <c r="A254" s="1"/>
      <c r="B254" s="2"/>
      <c r="C254" s="2"/>
      <c r="D254" s="3"/>
      <c r="E254" s="4"/>
      <c r="F254" s="2"/>
      <c r="G254" s="5"/>
      <c r="H254" s="5"/>
      <c r="I254" s="5"/>
      <c r="J254" s="5"/>
      <c r="K254" s="6"/>
      <c r="L254" s="6"/>
      <c r="M254" s="6"/>
      <c r="N254" s="6"/>
      <c r="O254" s="6"/>
      <c r="P254" s="6"/>
      <c r="Q254" s="6"/>
      <c r="R254" s="6"/>
      <c r="S254" s="6"/>
      <c r="T254" s="6"/>
      <c r="U254" s="6"/>
      <c r="V254" s="6"/>
      <c r="W254" s="6"/>
      <c r="X254" s="6"/>
      <c r="Y254" s="6"/>
      <c r="Z254" s="6"/>
      <c r="AA254" s="6"/>
      <c r="AB254" s="6"/>
    </row>
    <row r="255" ht="15.75" customHeight="1">
      <c r="A255" s="1"/>
      <c r="B255" s="2"/>
      <c r="C255" s="2"/>
      <c r="D255" s="3"/>
      <c r="E255" s="4"/>
      <c r="F255" s="2"/>
      <c r="G255" s="5"/>
      <c r="H255" s="5"/>
      <c r="I255" s="5"/>
      <c r="J255" s="5"/>
      <c r="K255" s="6"/>
      <c r="L255" s="6"/>
      <c r="M255" s="6"/>
      <c r="N255" s="6"/>
      <c r="O255" s="6"/>
      <c r="P255" s="6"/>
      <c r="Q255" s="6"/>
      <c r="R255" s="6"/>
      <c r="S255" s="6"/>
      <c r="T255" s="6"/>
      <c r="U255" s="6"/>
      <c r="V255" s="6"/>
      <c r="W255" s="6"/>
      <c r="X255" s="6"/>
      <c r="Y255" s="6"/>
      <c r="Z255" s="6"/>
      <c r="AA255" s="6"/>
      <c r="AB255" s="6"/>
    </row>
    <row r="256" ht="15.75" customHeight="1">
      <c r="A256" s="1"/>
      <c r="B256" s="2"/>
      <c r="C256" s="2"/>
      <c r="D256" s="3"/>
      <c r="E256" s="4"/>
      <c r="F256" s="2"/>
      <c r="G256" s="5"/>
      <c r="H256" s="5"/>
      <c r="I256" s="5"/>
      <c r="J256" s="5"/>
      <c r="K256" s="6"/>
      <c r="L256" s="6"/>
      <c r="M256" s="6"/>
      <c r="N256" s="6"/>
      <c r="O256" s="6"/>
      <c r="P256" s="6"/>
      <c r="Q256" s="6"/>
      <c r="R256" s="6"/>
      <c r="S256" s="6"/>
      <c r="T256" s="6"/>
      <c r="U256" s="6"/>
      <c r="V256" s="6"/>
      <c r="W256" s="6"/>
      <c r="X256" s="6"/>
      <c r="Y256" s="6"/>
      <c r="Z256" s="6"/>
      <c r="AA256" s="6"/>
      <c r="AB256" s="6"/>
    </row>
    <row r="257" ht="15.75" customHeight="1">
      <c r="A257" s="1"/>
      <c r="B257" s="2"/>
      <c r="C257" s="2"/>
      <c r="D257" s="3"/>
      <c r="E257" s="4"/>
      <c r="F257" s="2"/>
      <c r="G257" s="5"/>
      <c r="H257" s="5"/>
      <c r="I257" s="5"/>
      <c r="J257" s="5"/>
      <c r="K257" s="6"/>
      <c r="L257" s="6"/>
      <c r="M257" s="6"/>
      <c r="N257" s="6"/>
      <c r="O257" s="6"/>
      <c r="P257" s="6"/>
      <c r="Q257" s="6"/>
      <c r="R257" s="6"/>
      <c r="S257" s="6"/>
      <c r="T257" s="6"/>
      <c r="U257" s="6"/>
      <c r="V257" s="6"/>
      <c r="W257" s="6"/>
      <c r="X257" s="6"/>
      <c r="Y257" s="6"/>
      <c r="Z257" s="6"/>
      <c r="AA257" s="6"/>
      <c r="AB257" s="6"/>
    </row>
    <row r="258" ht="15.75" customHeight="1">
      <c r="A258" s="1"/>
      <c r="B258" s="2"/>
      <c r="C258" s="2"/>
      <c r="D258" s="3"/>
      <c r="E258" s="4"/>
      <c r="F258" s="2"/>
      <c r="G258" s="5"/>
      <c r="H258" s="5"/>
      <c r="I258" s="5"/>
      <c r="J258" s="5"/>
      <c r="K258" s="6"/>
      <c r="L258" s="6"/>
      <c r="M258" s="6"/>
      <c r="N258" s="6"/>
      <c r="O258" s="6"/>
      <c r="P258" s="6"/>
      <c r="Q258" s="6"/>
      <c r="R258" s="6"/>
      <c r="S258" s="6"/>
      <c r="T258" s="6"/>
      <c r="U258" s="6"/>
      <c r="V258" s="6"/>
      <c r="W258" s="6"/>
      <c r="X258" s="6"/>
      <c r="Y258" s="6"/>
      <c r="Z258" s="6"/>
      <c r="AA258" s="6"/>
      <c r="AB258" s="6"/>
    </row>
    <row r="259" ht="15.75" customHeight="1">
      <c r="A259" s="1"/>
      <c r="B259" s="2"/>
      <c r="C259" s="2"/>
      <c r="D259" s="3"/>
      <c r="E259" s="4"/>
      <c r="F259" s="2"/>
      <c r="G259" s="5"/>
      <c r="H259" s="5"/>
      <c r="I259" s="5"/>
      <c r="J259" s="5"/>
      <c r="K259" s="6"/>
      <c r="L259" s="6"/>
      <c r="M259" s="6"/>
      <c r="N259" s="6"/>
      <c r="O259" s="6"/>
      <c r="P259" s="6"/>
      <c r="Q259" s="6"/>
      <c r="R259" s="6"/>
      <c r="S259" s="6"/>
      <c r="T259" s="6"/>
      <c r="U259" s="6"/>
      <c r="V259" s="6"/>
      <c r="W259" s="6"/>
      <c r="X259" s="6"/>
      <c r="Y259" s="6"/>
      <c r="Z259" s="6"/>
      <c r="AA259" s="6"/>
      <c r="AB259" s="6"/>
    </row>
    <row r="260" ht="15.75" customHeight="1">
      <c r="A260" s="1"/>
      <c r="B260" s="2"/>
      <c r="C260" s="2"/>
      <c r="D260" s="3"/>
      <c r="E260" s="4"/>
      <c r="F260" s="2"/>
      <c r="G260" s="5"/>
      <c r="H260" s="5"/>
      <c r="I260" s="5"/>
      <c r="J260" s="5"/>
      <c r="K260" s="6"/>
      <c r="L260" s="6"/>
      <c r="M260" s="6"/>
      <c r="N260" s="6"/>
      <c r="O260" s="6"/>
      <c r="P260" s="6"/>
      <c r="Q260" s="6"/>
      <c r="R260" s="6"/>
      <c r="S260" s="6"/>
      <c r="T260" s="6"/>
      <c r="U260" s="6"/>
      <c r="V260" s="6"/>
      <c r="W260" s="6"/>
      <c r="X260" s="6"/>
      <c r="Y260" s="6"/>
      <c r="Z260" s="6"/>
      <c r="AA260" s="6"/>
      <c r="AB260" s="6"/>
    </row>
    <row r="261" ht="15.75" customHeight="1">
      <c r="A261" s="1"/>
      <c r="B261" s="2"/>
      <c r="C261" s="2"/>
      <c r="D261" s="3"/>
      <c r="E261" s="4"/>
      <c r="F261" s="2"/>
      <c r="G261" s="5"/>
      <c r="H261" s="5"/>
      <c r="I261" s="5"/>
      <c r="J261" s="5"/>
      <c r="K261" s="6"/>
      <c r="L261" s="6"/>
      <c r="M261" s="6"/>
      <c r="N261" s="6"/>
      <c r="O261" s="6"/>
      <c r="P261" s="6"/>
      <c r="Q261" s="6"/>
      <c r="R261" s="6"/>
      <c r="S261" s="6"/>
      <c r="T261" s="6"/>
      <c r="U261" s="6"/>
      <c r="V261" s="6"/>
      <c r="W261" s="6"/>
      <c r="X261" s="6"/>
      <c r="Y261" s="6"/>
      <c r="Z261" s="6"/>
      <c r="AA261" s="6"/>
      <c r="AB261" s="6"/>
    </row>
    <row r="262" ht="15.75" customHeight="1">
      <c r="A262" s="1"/>
      <c r="B262" s="2"/>
      <c r="C262" s="2"/>
      <c r="D262" s="3"/>
      <c r="E262" s="4"/>
      <c r="F262" s="2"/>
      <c r="G262" s="5"/>
      <c r="H262" s="5"/>
      <c r="I262" s="5"/>
      <c r="J262" s="5"/>
      <c r="K262" s="6"/>
      <c r="L262" s="6"/>
      <c r="M262" s="6"/>
      <c r="N262" s="6"/>
      <c r="O262" s="6"/>
      <c r="P262" s="6"/>
      <c r="Q262" s="6"/>
      <c r="R262" s="6"/>
      <c r="S262" s="6"/>
      <c r="T262" s="6"/>
      <c r="U262" s="6"/>
      <c r="V262" s="6"/>
      <c r="W262" s="6"/>
      <c r="X262" s="6"/>
      <c r="Y262" s="6"/>
      <c r="Z262" s="6"/>
      <c r="AA262" s="6"/>
      <c r="AB262" s="6"/>
    </row>
    <row r="263" ht="15.75" customHeight="1">
      <c r="A263" s="1"/>
      <c r="B263" s="2"/>
      <c r="C263" s="2"/>
      <c r="D263" s="3"/>
      <c r="E263" s="4"/>
      <c r="F263" s="2"/>
      <c r="G263" s="5"/>
      <c r="H263" s="5"/>
      <c r="I263" s="5"/>
      <c r="J263" s="5"/>
      <c r="K263" s="6"/>
      <c r="L263" s="6"/>
      <c r="M263" s="6"/>
      <c r="N263" s="6"/>
      <c r="O263" s="6"/>
      <c r="P263" s="6"/>
      <c r="Q263" s="6"/>
      <c r="R263" s="6"/>
      <c r="S263" s="6"/>
      <c r="T263" s="6"/>
      <c r="U263" s="6"/>
      <c r="V263" s="6"/>
      <c r="W263" s="6"/>
      <c r="X263" s="6"/>
      <c r="Y263" s="6"/>
      <c r="Z263" s="6"/>
      <c r="AA263" s="6"/>
      <c r="AB263" s="6"/>
    </row>
    <row r="264" ht="15.75" customHeight="1">
      <c r="A264" s="1"/>
      <c r="B264" s="2"/>
      <c r="C264" s="2"/>
      <c r="D264" s="3"/>
      <c r="E264" s="4"/>
      <c r="F264" s="2"/>
      <c r="G264" s="5"/>
      <c r="H264" s="5"/>
      <c r="I264" s="5"/>
      <c r="J264" s="5"/>
      <c r="K264" s="6"/>
      <c r="L264" s="6"/>
      <c r="M264" s="6"/>
      <c r="N264" s="6"/>
      <c r="O264" s="6"/>
      <c r="P264" s="6"/>
      <c r="Q264" s="6"/>
      <c r="R264" s="6"/>
      <c r="S264" s="6"/>
      <c r="T264" s="6"/>
      <c r="U264" s="6"/>
      <c r="V264" s="6"/>
      <c r="W264" s="6"/>
      <c r="X264" s="6"/>
      <c r="Y264" s="6"/>
      <c r="Z264" s="6"/>
      <c r="AA264" s="6"/>
      <c r="AB264" s="6"/>
    </row>
    <row r="265" ht="15.75" customHeight="1">
      <c r="A265" s="1"/>
      <c r="B265" s="2"/>
      <c r="C265" s="2"/>
      <c r="D265" s="3"/>
      <c r="E265" s="4"/>
      <c r="F265" s="2"/>
      <c r="G265" s="5"/>
      <c r="H265" s="5"/>
      <c r="I265" s="5"/>
      <c r="J265" s="5"/>
      <c r="K265" s="6"/>
      <c r="L265" s="6"/>
      <c r="M265" s="6"/>
      <c r="N265" s="6"/>
      <c r="O265" s="6"/>
      <c r="P265" s="6"/>
      <c r="Q265" s="6"/>
      <c r="R265" s="6"/>
      <c r="S265" s="6"/>
      <c r="T265" s="6"/>
      <c r="U265" s="6"/>
      <c r="V265" s="6"/>
      <c r="W265" s="6"/>
      <c r="X265" s="6"/>
      <c r="Y265" s="6"/>
      <c r="Z265" s="6"/>
      <c r="AA265" s="6"/>
      <c r="AB265" s="6"/>
    </row>
    <row r="266" ht="15.75" customHeight="1">
      <c r="A266" s="1"/>
      <c r="B266" s="2"/>
      <c r="C266" s="2"/>
      <c r="D266" s="3"/>
      <c r="E266" s="4"/>
      <c r="F266" s="2"/>
      <c r="G266" s="5"/>
      <c r="H266" s="5"/>
      <c r="I266" s="5"/>
      <c r="J266" s="5"/>
      <c r="K266" s="6"/>
      <c r="L266" s="6"/>
      <c r="M266" s="6"/>
      <c r="N266" s="6"/>
      <c r="O266" s="6"/>
      <c r="P266" s="6"/>
      <c r="Q266" s="6"/>
      <c r="R266" s="6"/>
      <c r="S266" s="6"/>
      <c r="T266" s="6"/>
      <c r="U266" s="6"/>
      <c r="V266" s="6"/>
      <c r="W266" s="6"/>
      <c r="X266" s="6"/>
      <c r="Y266" s="6"/>
      <c r="Z266" s="6"/>
      <c r="AA266" s="6"/>
      <c r="AB266" s="6"/>
    </row>
    <row r="267" ht="15.75" customHeight="1">
      <c r="A267" s="1"/>
      <c r="B267" s="2"/>
      <c r="C267" s="2"/>
      <c r="D267" s="3"/>
      <c r="E267" s="4"/>
      <c r="F267" s="2"/>
      <c r="G267" s="5"/>
      <c r="H267" s="5"/>
      <c r="I267" s="5"/>
      <c r="J267" s="5"/>
      <c r="K267" s="6"/>
      <c r="L267" s="6"/>
      <c r="M267" s="6"/>
      <c r="N267" s="6"/>
      <c r="O267" s="6"/>
      <c r="P267" s="6"/>
      <c r="Q267" s="6"/>
      <c r="R267" s="6"/>
      <c r="S267" s="6"/>
      <c r="T267" s="6"/>
      <c r="U267" s="6"/>
      <c r="V267" s="6"/>
      <c r="W267" s="6"/>
      <c r="X267" s="6"/>
      <c r="Y267" s="6"/>
      <c r="Z267" s="6"/>
      <c r="AA267" s="6"/>
      <c r="AB267" s="6"/>
    </row>
    <row r="268" ht="15.75" customHeight="1">
      <c r="A268" s="1"/>
      <c r="B268" s="2"/>
      <c r="C268" s="2"/>
      <c r="D268" s="3"/>
      <c r="E268" s="4"/>
      <c r="F268" s="2"/>
      <c r="G268" s="5"/>
      <c r="H268" s="5"/>
      <c r="I268" s="5"/>
      <c r="J268" s="5"/>
      <c r="K268" s="6"/>
      <c r="L268" s="6"/>
      <c r="M268" s="6"/>
      <c r="N268" s="6"/>
      <c r="O268" s="6"/>
      <c r="P268" s="6"/>
      <c r="Q268" s="6"/>
      <c r="R268" s="6"/>
      <c r="S268" s="6"/>
      <c r="T268" s="6"/>
      <c r="U268" s="6"/>
      <c r="V268" s="6"/>
      <c r="W268" s="6"/>
      <c r="X268" s="6"/>
      <c r="Y268" s="6"/>
      <c r="Z268" s="6"/>
      <c r="AA268" s="6"/>
      <c r="AB268" s="6"/>
    </row>
    <row r="269" ht="15.75" customHeight="1">
      <c r="A269" s="1"/>
      <c r="B269" s="2"/>
      <c r="C269" s="2"/>
      <c r="D269" s="3"/>
      <c r="E269" s="4"/>
      <c r="F269" s="2"/>
      <c r="G269" s="5"/>
      <c r="H269" s="5"/>
      <c r="I269" s="5"/>
      <c r="J269" s="5"/>
      <c r="K269" s="6"/>
      <c r="L269" s="6"/>
      <c r="M269" s="6"/>
      <c r="N269" s="6"/>
      <c r="O269" s="6"/>
      <c r="P269" s="6"/>
      <c r="Q269" s="6"/>
      <c r="R269" s="6"/>
      <c r="S269" s="6"/>
      <c r="T269" s="6"/>
      <c r="U269" s="6"/>
      <c r="V269" s="6"/>
      <c r="W269" s="6"/>
      <c r="X269" s="6"/>
      <c r="Y269" s="6"/>
      <c r="Z269" s="6"/>
      <c r="AA269" s="6"/>
      <c r="AB269" s="6"/>
    </row>
    <row r="270" ht="15.75" customHeight="1">
      <c r="A270" s="1"/>
      <c r="B270" s="2"/>
      <c r="C270" s="2"/>
      <c r="D270" s="3"/>
      <c r="E270" s="4"/>
      <c r="F270" s="2"/>
      <c r="G270" s="5"/>
      <c r="H270" s="5"/>
      <c r="I270" s="5"/>
      <c r="J270" s="5"/>
      <c r="K270" s="6"/>
      <c r="L270" s="6"/>
      <c r="M270" s="6"/>
      <c r="N270" s="6"/>
      <c r="O270" s="6"/>
      <c r="P270" s="6"/>
      <c r="Q270" s="6"/>
      <c r="R270" s="6"/>
      <c r="S270" s="6"/>
      <c r="T270" s="6"/>
      <c r="U270" s="6"/>
      <c r="V270" s="6"/>
      <c r="W270" s="6"/>
      <c r="X270" s="6"/>
      <c r="Y270" s="6"/>
      <c r="Z270" s="6"/>
      <c r="AA270" s="6"/>
      <c r="AB270" s="6"/>
    </row>
    <row r="271" ht="15.75" customHeight="1">
      <c r="A271" s="1"/>
      <c r="B271" s="2"/>
      <c r="C271" s="2"/>
      <c r="D271" s="3"/>
      <c r="E271" s="4"/>
      <c r="F271" s="2"/>
      <c r="G271" s="5"/>
      <c r="H271" s="5"/>
      <c r="I271" s="5"/>
      <c r="J271" s="5"/>
      <c r="K271" s="6"/>
      <c r="L271" s="6"/>
      <c r="M271" s="6"/>
      <c r="N271" s="6"/>
      <c r="O271" s="6"/>
      <c r="P271" s="6"/>
      <c r="Q271" s="6"/>
      <c r="R271" s="6"/>
      <c r="S271" s="6"/>
      <c r="T271" s="6"/>
      <c r="U271" s="6"/>
      <c r="V271" s="6"/>
      <c r="W271" s="6"/>
      <c r="X271" s="6"/>
      <c r="Y271" s="6"/>
      <c r="Z271" s="6"/>
      <c r="AA271" s="6"/>
      <c r="AB271" s="6"/>
    </row>
    <row r="272" ht="15.75" customHeight="1">
      <c r="A272" s="1"/>
      <c r="B272" s="2"/>
      <c r="C272" s="2"/>
      <c r="D272" s="3"/>
      <c r="E272" s="4"/>
      <c r="F272" s="2"/>
      <c r="G272" s="5"/>
      <c r="H272" s="5"/>
      <c r="I272" s="5"/>
      <c r="J272" s="5"/>
      <c r="K272" s="6"/>
      <c r="L272" s="6"/>
      <c r="M272" s="6"/>
      <c r="N272" s="6"/>
      <c r="O272" s="6"/>
      <c r="P272" s="6"/>
      <c r="Q272" s="6"/>
      <c r="R272" s="6"/>
      <c r="S272" s="6"/>
      <c r="T272" s="6"/>
      <c r="U272" s="6"/>
      <c r="V272" s="6"/>
      <c r="W272" s="6"/>
      <c r="X272" s="6"/>
      <c r="Y272" s="6"/>
      <c r="Z272" s="6"/>
      <c r="AA272" s="6"/>
      <c r="AB272" s="6"/>
    </row>
    <row r="273" ht="15.75" customHeight="1">
      <c r="A273" s="1"/>
      <c r="B273" s="2"/>
      <c r="C273" s="2"/>
      <c r="D273" s="3"/>
      <c r="E273" s="4"/>
      <c r="F273" s="2"/>
      <c r="G273" s="5"/>
      <c r="H273" s="5"/>
      <c r="I273" s="5"/>
      <c r="J273" s="5"/>
      <c r="K273" s="6"/>
      <c r="L273" s="6"/>
      <c r="M273" s="6"/>
      <c r="N273" s="6"/>
      <c r="O273" s="6"/>
      <c r="P273" s="6"/>
      <c r="Q273" s="6"/>
      <c r="R273" s="6"/>
      <c r="S273" s="6"/>
      <c r="T273" s="6"/>
      <c r="U273" s="6"/>
      <c r="V273" s="6"/>
      <c r="W273" s="6"/>
      <c r="X273" s="6"/>
      <c r="Y273" s="6"/>
      <c r="Z273" s="6"/>
      <c r="AA273" s="6"/>
      <c r="AB273" s="6"/>
    </row>
    <row r="274" ht="15.75" customHeight="1">
      <c r="A274" s="1"/>
      <c r="B274" s="2"/>
      <c r="C274" s="2"/>
      <c r="D274" s="3"/>
      <c r="E274" s="4"/>
      <c r="F274" s="2"/>
      <c r="G274" s="5"/>
      <c r="H274" s="5"/>
      <c r="I274" s="5"/>
      <c r="J274" s="5"/>
      <c r="K274" s="6"/>
      <c r="L274" s="6"/>
      <c r="M274" s="6"/>
      <c r="N274" s="6"/>
      <c r="O274" s="6"/>
      <c r="P274" s="6"/>
      <c r="Q274" s="6"/>
      <c r="R274" s="6"/>
      <c r="S274" s="6"/>
      <c r="T274" s="6"/>
      <c r="U274" s="6"/>
      <c r="V274" s="6"/>
      <c r="W274" s="6"/>
      <c r="X274" s="6"/>
      <c r="Y274" s="6"/>
      <c r="Z274" s="6"/>
      <c r="AA274" s="6"/>
      <c r="AB274" s="6"/>
    </row>
    <row r="275" ht="15.75" customHeight="1">
      <c r="A275" s="1"/>
      <c r="B275" s="2"/>
      <c r="C275" s="2"/>
      <c r="D275" s="3"/>
      <c r="E275" s="4"/>
      <c r="F275" s="2"/>
      <c r="G275" s="5"/>
      <c r="H275" s="5"/>
      <c r="I275" s="5"/>
      <c r="J275" s="5"/>
      <c r="K275" s="6"/>
      <c r="L275" s="6"/>
      <c r="M275" s="6"/>
      <c r="N275" s="6"/>
      <c r="O275" s="6"/>
      <c r="P275" s="6"/>
      <c r="Q275" s="6"/>
      <c r="R275" s="6"/>
      <c r="S275" s="6"/>
      <c r="T275" s="6"/>
      <c r="U275" s="6"/>
      <c r="V275" s="6"/>
      <c r="W275" s="6"/>
      <c r="X275" s="6"/>
      <c r="Y275" s="6"/>
      <c r="Z275" s="6"/>
      <c r="AA275" s="6"/>
      <c r="AB275" s="6"/>
    </row>
    <row r="276" ht="15.75" customHeight="1">
      <c r="A276" s="1"/>
      <c r="B276" s="2"/>
      <c r="C276" s="2"/>
      <c r="D276" s="3"/>
      <c r="E276" s="4"/>
      <c r="F276" s="2"/>
      <c r="G276" s="5"/>
      <c r="H276" s="5"/>
      <c r="I276" s="5"/>
      <c r="J276" s="5"/>
      <c r="K276" s="6"/>
      <c r="L276" s="6"/>
      <c r="M276" s="6"/>
      <c r="N276" s="6"/>
      <c r="O276" s="6"/>
      <c r="P276" s="6"/>
      <c r="Q276" s="6"/>
      <c r="R276" s="6"/>
      <c r="S276" s="6"/>
      <c r="T276" s="6"/>
      <c r="U276" s="6"/>
      <c r="V276" s="6"/>
      <c r="W276" s="6"/>
      <c r="X276" s="6"/>
      <c r="Y276" s="6"/>
      <c r="Z276" s="6"/>
      <c r="AA276" s="6"/>
      <c r="AB276" s="6"/>
    </row>
    <row r="277" ht="15.75" customHeight="1">
      <c r="A277" s="1"/>
      <c r="B277" s="2"/>
      <c r="C277" s="2"/>
      <c r="D277" s="3"/>
      <c r="E277" s="4"/>
      <c r="F277" s="2"/>
      <c r="G277" s="5"/>
      <c r="H277" s="5"/>
      <c r="I277" s="5"/>
      <c r="J277" s="5"/>
      <c r="K277" s="6"/>
      <c r="L277" s="6"/>
      <c r="M277" s="6"/>
      <c r="N277" s="6"/>
      <c r="O277" s="6"/>
      <c r="P277" s="6"/>
      <c r="Q277" s="6"/>
      <c r="R277" s="6"/>
      <c r="S277" s="6"/>
      <c r="T277" s="6"/>
      <c r="U277" s="6"/>
      <c r="V277" s="6"/>
      <c r="W277" s="6"/>
      <c r="X277" s="6"/>
      <c r="Y277" s="6"/>
      <c r="Z277" s="6"/>
      <c r="AA277" s="6"/>
      <c r="AB277" s="6"/>
    </row>
    <row r="278" ht="15.75" customHeight="1">
      <c r="A278" s="1"/>
      <c r="B278" s="2"/>
      <c r="C278" s="2"/>
      <c r="D278" s="3"/>
      <c r="E278" s="4"/>
      <c r="F278" s="2"/>
      <c r="G278" s="5"/>
      <c r="H278" s="5"/>
      <c r="I278" s="5"/>
      <c r="J278" s="5"/>
      <c r="K278" s="6"/>
      <c r="L278" s="6"/>
      <c r="M278" s="6"/>
      <c r="N278" s="6"/>
      <c r="O278" s="6"/>
      <c r="P278" s="6"/>
      <c r="Q278" s="6"/>
      <c r="R278" s="6"/>
      <c r="S278" s="6"/>
      <c r="T278" s="6"/>
      <c r="U278" s="6"/>
      <c r="V278" s="6"/>
      <c r="W278" s="6"/>
      <c r="X278" s="6"/>
      <c r="Y278" s="6"/>
      <c r="Z278" s="6"/>
      <c r="AA278" s="6"/>
      <c r="AB278" s="6"/>
    </row>
    <row r="279" ht="15.75" customHeight="1">
      <c r="A279" s="1"/>
      <c r="B279" s="2"/>
      <c r="C279" s="2"/>
      <c r="D279" s="3"/>
      <c r="E279" s="4"/>
      <c r="F279" s="2"/>
      <c r="G279" s="5"/>
      <c r="H279" s="5"/>
      <c r="I279" s="5"/>
      <c r="J279" s="5"/>
      <c r="K279" s="6"/>
      <c r="L279" s="6"/>
      <c r="M279" s="6"/>
      <c r="N279" s="6"/>
      <c r="O279" s="6"/>
      <c r="P279" s="6"/>
      <c r="Q279" s="6"/>
      <c r="R279" s="6"/>
      <c r="S279" s="6"/>
      <c r="T279" s="6"/>
      <c r="U279" s="6"/>
      <c r="V279" s="6"/>
      <c r="W279" s="6"/>
      <c r="X279" s="6"/>
      <c r="Y279" s="6"/>
      <c r="Z279" s="6"/>
      <c r="AA279" s="6"/>
      <c r="AB279" s="6"/>
    </row>
    <row r="280" ht="15.75" customHeight="1">
      <c r="A280" s="1"/>
      <c r="B280" s="2"/>
      <c r="C280" s="2"/>
      <c r="D280" s="3"/>
      <c r="E280" s="4"/>
      <c r="F280" s="2"/>
      <c r="G280" s="5"/>
      <c r="H280" s="5"/>
      <c r="I280" s="5"/>
      <c r="J280" s="5"/>
      <c r="K280" s="6"/>
      <c r="L280" s="6"/>
      <c r="M280" s="6"/>
      <c r="N280" s="6"/>
      <c r="O280" s="6"/>
      <c r="P280" s="6"/>
      <c r="Q280" s="6"/>
      <c r="R280" s="6"/>
      <c r="S280" s="6"/>
      <c r="T280" s="6"/>
      <c r="U280" s="6"/>
      <c r="V280" s="6"/>
      <c r="W280" s="6"/>
      <c r="X280" s="6"/>
      <c r="Y280" s="6"/>
      <c r="Z280" s="6"/>
      <c r="AA280" s="6"/>
      <c r="AB280" s="6"/>
    </row>
    <row r="281" ht="15.75" customHeight="1">
      <c r="A281" s="1"/>
      <c r="B281" s="2"/>
      <c r="C281" s="2"/>
      <c r="D281" s="3"/>
      <c r="E281" s="4"/>
      <c r="F281" s="2"/>
      <c r="G281" s="5"/>
      <c r="H281" s="5"/>
      <c r="I281" s="5"/>
      <c r="J281" s="5"/>
      <c r="K281" s="6"/>
      <c r="L281" s="6"/>
      <c r="M281" s="6"/>
      <c r="N281" s="6"/>
      <c r="O281" s="6"/>
      <c r="P281" s="6"/>
      <c r="Q281" s="6"/>
      <c r="R281" s="6"/>
      <c r="S281" s="6"/>
      <c r="T281" s="6"/>
      <c r="U281" s="6"/>
      <c r="V281" s="6"/>
      <c r="W281" s="6"/>
      <c r="X281" s="6"/>
      <c r="Y281" s="6"/>
      <c r="Z281" s="6"/>
      <c r="AA281" s="6"/>
      <c r="AB281" s="6"/>
    </row>
    <row r="282" ht="15.75" customHeight="1">
      <c r="A282" s="1"/>
      <c r="B282" s="2"/>
      <c r="C282" s="2"/>
      <c r="D282" s="3"/>
      <c r="E282" s="4"/>
      <c r="F282" s="2"/>
      <c r="G282" s="5"/>
      <c r="H282" s="5"/>
      <c r="I282" s="5"/>
      <c r="J282" s="5"/>
      <c r="K282" s="6"/>
      <c r="L282" s="6"/>
      <c r="M282" s="6"/>
      <c r="N282" s="6"/>
      <c r="O282" s="6"/>
      <c r="P282" s="6"/>
      <c r="Q282" s="6"/>
      <c r="R282" s="6"/>
      <c r="S282" s="6"/>
      <c r="T282" s="6"/>
      <c r="U282" s="6"/>
      <c r="V282" s="6"/>
      <c r="W282" s="6"/>
      <c r="X282" s="6"/>
      <c r="Y282" s="6"/>
      <c r="Z282" s="6"/>
      <c r="AA282" s="6"/>
      <c r="AB282" s="6"/>
    </row>
    <row r="283" ht="15.75" customHeight="1">
      <c r="A283" s="1"/>
      <c r="B283" s="2"/>
      <c r="C283" s="2"/>
      <c r="D283" s="3"/>
      <c r="E283" s="4"/>
      <c r="F283" s="2"/>
      <c r="G283" s="5"/>
      <c r="H283" s="5"/>
      <c r="I283" s="5"/>
      <c r="J283" s="5"/>
      <c r="K283" s="6"/>
      <c r="L283" s="6"/>
      <c r="M283" s="6"/>
      <c r="N283" s="6"/>
      <c r="O283" s="6"/>
      <c r="P283" s="6"/>
      <c r="Q283" s="6"/>
      <c r="R283" s="6"/>
      <c r="S283" s="6"/>
      <c r="T283" s="6"/>
      <c r="U283" s="6"/>
      <c r="V283" s="6"/>
      <c r="W283" s="6"/>
      <c r="X283" s="6"/>
      <c r="Y283" s="6"/>
      <c r="Z283" s="6"/>
      <c r="AA283" s="6"/>
      <c r="AB283" s="6"/>
    </row>
    <row r="284" ht="15.75" customHeight="1">
      <c r="A284" s="1"/>
      <c r="B284" s="2"/>
      <c r="C284" s="2"/>
      <c r="D284" s="3"/>
      <c r="E284" s="4"/>
      <c r="F284" s="2"/>
      <c r="G284" s="5"/>
      <c r="H284" s="5"/>
      <c r="I284" s="5"/>
      <c r="J284" s="5"/>
      <c r="K284" s="6"/>
      <c r="L284" s="6"/>
      <c r="M284" s="6"/>
      <c r="N284" s="6"/>
      <c r="O284" s="6"/>
      <c r="P284" s="6"/>
      <c r="Q284" s="6"/>
      <c r="R284" s="6"/>
      <c r="S284" s="6"/>
      <c r="T284" s="6"/>
      <c r="U284" s="6"/>
      <c r="V284" s="6"/>
      <c r="W284" s="6"/>
      <c r="X284" s="6"/>
      <c r="Y284" s="6"/>
      <c r="Z284" s="6"/>
      <c r="AA284" s="6"/>
      <c r="AB284" s="6"/>
    </row>
    <row r="285" ht="15.75" customHeight="1">
      <c r="A285" s="1"/>
      <c r="B285" s="2"/>
      <c r="C285" s="2"/>
      <c r="D285" s="3"/>
      <c r="E285" s="4"/>
      <c r="F285" s="2"/>
      <c r="G285" s="5"/>
      <c r="H285" s="5"/>
      <c r="I285" s="5"/>
      <c r="J285" s="5"/>
      <c r="K285" s="6"/>
      <c r="L285" s="6"/>
      <c r="M285" s="6"/>
      <c r="N285" s="6"/>
      <c r="O285" s="6"/>
      <c r="P285" s="6"/>
      <c r="Q285" s="6"/>
      <c r="R285" s="6"/>
      <c r="S285" s="6"/>
      <c r="T285" s="6"/>
      <c r="U285" s="6"/>
      <c r="V285" s="6"/>
      <c r="W285" s="6"/>
      <c r="X285" s="6"/>
      <c r="Y285" s="6"/>
      <c r="Z285" s="6"/>
      <c r="AA285" s="6"/>
      <c r="AB285" s="6"/>
    </row>
    <row r="286" ht="15.75" customHeight="1">
      <c r="A286" s="1"/>
      <c r="B286" s="2"/>
      <c r="C286" s="2"/>
      <c r="D286" s="3"/>
      <c r="E286" s="4"/>
      <c r="F286" s="2"/>
      <c r="G286" s="5"/>
      <c r="H286" s="5"/>
      <c r="I286" s="5"/>
      <c r="J286" s="5"/>
      <c r="K286" s="6"/>
      <c r="L286" s="6"/>
      <c r="M286" s="6"/>
      <c r="N286" s="6"/>
      <c r="O286" s="6"/>
      <c r="P286" s="6"/>
      <c r="Q286" s="6"/>
      <c r="R286" s="6"/>
      <c r="S286" s="6"/>
      <c r="T286" s="6"/>
      <c r="U286" s="6"/>
      <c r="V286" s="6"/>
      <c r="W286" s="6"/>
      <c r="X286" s="6"/>
      <c r="Y286" s="6"/>
      <c r="Z286" s="6"/>
      <c r="AA286" s="6"/>
      <c r="AB286" s="6"/>
    </row>
    <row r="287" ht="15.75" customHeight="1">
      <c r="A287" s="1"/>
      <c r="B287" s="2"/>
      <c r="C287" s="2"/>
      <c r="D287" s="3"/>
      <c r="E287" s="4"/>
      <c r="F287" s="2"/>
      <c r="G287" s="5"/>
      <c r="H287" s="5"/>
      <c r="I287" s="5"/>
      <c r="J287" s="5"/>
      <c r="K287" s="6"/>
      <c r="L287" s="6"/>
      <c r="M287" s="6"/>
      <c r="N287" s="6"/>
      <c r="O287" s="6"/>
      <c r="P287" s="6"/>
      <c r="Q287" s="6"/>
      <c r="R287" s="6"/>
      <c r="S287" s="6"/>
      <c r="T287" s="6"/>
      <c r="U287" s="6"/>
      <c r="V287" s="6"/>
      <c r="W287" s="6"/>
      <c r="X287" s="6"/>
      <c r="Y287" s="6"/>
      <c r="Z287" s="6"/>
      <c r="AA287" s="6"/>
      <c r="AB287" s="6"/>
    </row>
    <row r="288" ht="15.75" customHeight="1">
      <c r="A288" s="1"/>
      <c r="B288" s="2"/>
      <c r="C288" s="2"/>
      <c r="D288" s="3"/>
      <c r="E288" s="4"/>
      <c r="F288" s="2"/>
      <c r="G288" s="5"/>
      <c r="H288" s="5"/>
      <c r="I288" s="5"/>
      <c r="J288" s="5"/>
      <c r="K288" s="6"/>
      <c r="L288" s="6"/>
      <c r="M288" s="6"/>
      <c r="N288" s="6"/>
      <c r="O288" s="6"/>
      <c r="P288" s="6"/>
      <c r="Q288" s="6"/>
      <c r="R288" s="6"/>
      <c r="S288" s="6"/>
      <c r="T288" s="6"/>
      <c r="U288" s="6"/>
      <c r="V288" s="6"/>
      <c r="W288" s="6"/>
      <c r="X288" s="6"/>
      <c r="Y288" s="6"/>
      <c r="Z288" s="6"/>
      <c r="AA288" s="6"/>
      <c r="AB288" s="6"/>
    </row>
    <row r="289" ht="15.75" customHeight="1">
      <c r="A289" s="1"/>
      <c r="B289" s="2"/>
      <c r="C289" s="2"/>
      <c r="D289" s="3"/>
      <c r="E289" s="4"/>
      <c r="F289" s="2"/>
      <c r="G289" s="5"/>
      <c r="H289" s="5"/>
      <c r="I289" s="5"/>
      <c r="J289" s="5"/>
      <c r="K289" s="6"/>
      <c r="L289" s="6"/>
      <c r="M289" s="6"/>
      <c r="N289" s="6"/>
      <c r="O289" s="6"/>
      <c r="P289" s="6"/>
      <c r="Q289" s="6"/>
      <c r="R289" s="6"/>
      <c r="S289" s="6"/>
      <c r="T289" s="6"/>
      <c r="U289" s="6"/>
      <c r="V289" s="6"/>
      <c r="W289" s="6"/>
      <c r="X289" s="6"/>
      <c r="Y289" s="6"/>
      <c r="Z289" s="6"/>
      <c r="AA289" s="6"/>
      <c r="AB289" s="6"/>
    </row>
    <row r="290" ht="15.75" customHeight="1">
      <c r="A290" s="1"/>
      <c r="B290" s="2"/>
      <c r="C290" s="2"/>
      <c r="D290" s="3"/>
      <c r="E290" s="4"/>
      <c r="F290" s="2"/>
      <c r="G290" s="5"/>
      <c r="H290" s="5"/>
      <c r="I290" s="5"/>
      <c r="J290" s="5"/>
      <c r="K290" s="6"/>
      <c r="L290" s="6"/>
      <c r="M290" s="6"/>
      <c r="N290" s="6"/>
      <c r="O290" s="6"/>
      <c r="P290" s="6"/>
      <c r="Q290" s="6"/>
      <c r="R290" s="6"/>
      <c r="S290" s="6"/>
      <c r="T290" s="6"/>
      <c r="U290" s="6"/>
      <c r="V290" s="6"/>
      <c r="W290" s="6"/>
      <c r="X290" s="6"/>
      <c r="Y290" s="6"/>
      <c r="Z290" s="6"/>
      <c r="AA290" s="6"/>
      <c r="AB290" s="6"/>
    </row>
    <row r="291" ht="15.75" customHeight="1">
      <c r="A291" s="1"/>
      <c r="B291" s="2"/>
      <c r="C291" s="2"/>
      <c r="D291" s="3"/>
      <c r="E291" s="4"/>
      <c r="F291" s="2"/>
      <c r="G291" s="5"/>
      <c r="H291" s="5"/>
      <c r="I291" s="5"/>
      <c r="J291" s="5"/>
      <c r="K291" s="6"/>
      <c r="L291" s="6"/>
      <c r="M291" s="6"/>
      <c r="N291" s="6"/>
      <c r="O291" s="6"/>
      <c r="P291" s="6"/>
      <c r="Q291" s="6"/>
      <c r="R291" s="6"/>
      <c r="S291" s="6"/>
      <c r="T291" s="6"/>
      <c r="U291" s="6"/>
      <c r="V291" s="6"/>
      <c r="W291" s="6"/>
      <c r="X291" s="6"/>
      <c r="Y291" s="6"/>
      <c r="Z291" s="6"/>
      <c r="AA291" s="6"/>
      <c r="AB291" s="6"/>
    </row>
    <row r="292" ht="15.75" customHeight="1">
      <c r="A292" s="1"/>
      <c r="B292" s="2"/>
      <c r="C292" s="2"/>
      <c r="D292" s="3"/>
      <c r="E292" s="4"/>
      <c r="F292" s="2"/>
      <c r="G292" s="5"/>
      <c r="H292" s="5"/>
      <c r="I292" s="5"/>
      <c r="J292" s="5"/>
      <c r="K292" s="6"/>
      <c r="L292" s="6"/>
      <c r="M292" s="6"/>
      <c r="N292" s="6"/>
      <c r="O292" s="6"/>
      <c r="P292" s="6"/>
      <c r="Q292" s="6"/>
      <c r="R292" s="6"/>
      <c r="S292" s="6"/>
      <c r="T292" s="6"/>
      <c r="U292" s="6"/>
      <c r="V292" s="6"/>
      <c r="W292" s="6"/>
      <c r="X292" s="6"/>
      <c r="Y292" s="6"/>
      <c r="Z292" s="6"/>
      <c r="AA292" s="6"/>
      <c r="AB292" s="6"/>
    </row>
    <row r="293" ht="15.75" customHeight="1">
      <c r="A293" s="1"/>
      <c r="B293" s="2"/>
      <c r="C293" s="2"/>
      <c r="D293" s="3"/>
      <c r="E293" s="4"/>
      <c r="F293" s="2"/>
      <c r="G293" s="5"/>
      <c r="H293" s="5"/>
      <c r="I293" s="5"/>
      <c r="J293" s="5"/>
      <c r="K293" s="6"/>
      <c r="L293" s="6"/>
      <c r="M293" s="6"/>
      <c r="N293" s="6"/>
      <c r="O293" s="6"/>
      <c r="P293" s="6"/>
      <c r="Q293" s="6"/>
      <c r="R293" s="6"/>
      <c r="S293" s="6"/>
      <c r="T293" s="6"/>
      <c r="U293" s="6"/>
      <c r="V293" s="6"/>
      <c r="W293" s="6"/>
      <c r="X293" s="6"/>
      <c r="Y293" s="6"/>
      <c r="Z293" s="6"/>
      <c r="AA293" s="6"/>
      <c r="AB293" s="6"/>
    </row>
    <row r="294" ht="15.75" customHeight="1">
      <c r="A294" s="1"/>
      <c r="B294" s="2"/>
      <c r="C294" s="2"/>
      <c r="D294" s="3"/>
      <c r="E294" s="4"/>
      <c r="F294" s="2"/>
      <c r="G294" s="5"/>
      <c r="H294" s="5"/>
      <c r="I294" s="5"/>
      <c r="J294" s="5"/>
      <c r="K294" s="6"/>
      <c r="L294" s="6"/>
      <c r="M294" s="6"/>
      <c r="N294" s="6"/>
      <c r="O294" s="6"/>
      <c r="P294" s="6"/>
      <c r="Q294" s="6"/>
      <c r="R294" s="6"/>
      <c r="S294" s="6"/>
      <c r="T294" s="6"/>
      <c r="U294" s="6"/>
      <c r="V294" s="6"/>
      <c r="W294" s="6"/>
      <c r="X294" s="6"/>
      <c r="Y294" s="6"/>
      <c r="Z294" s="6"/>
      <c r="AA294" s="6"/>
      <c r="AB294" s="6"/>
    </row>
    <row r="295" ht="15.75" customHeight="1">
      <c r="A295" s="1"/>
      <c r="B295" s="2"/>
      <c r="C295" s="2"/>
      <c r="D295" s="3"/>
      <c r="E295" s="4"/>
      <c r="F295" s="2"/>
      <c r="G295" s="5"/>
      <c r="H295" s="5"/>
      <c r="I295" s="5"/>
      <c r="J295" s="5"/>
      <c r="K295" s="6"/>
      <c r="L295" s="6"/>
      <c r="M295" s="6"/>
      <c r="N295" s="6"/>
      <c r="O295" s="6"/>
      <c r="P295" s="6"/>
      <c r="Q295" s="6"/>
      <c r="R295" s="6"/>
      <c r="S295" s="6"/>
      <c r="T295" s="6"/>
      <c r="U295" s="6"/>
      <c r="V295" s="6"/>
      <c r="W295" s="6"/>
      <c r="X295" s="6"/>
      <c r="Y295" s="6"/>
      <c r="Z295" s="6"/>
      <c r="AA295" s="6"/>
      <c r="AB295" s="6"/>
    </row>
    <row r="296" ht="15.75" customHeight="1">
      <c r="A296" s="1"/>
      <c r="B296" s="2"/>
      <c r="C296" s="2"/>
      <c r="D296" s="3"/>
      <c r="E296" s="4"/>
      <c r="F296" s="2"/>
      <c r="G296" s="5"/>
      <c r="H296" s="5"/>
      <c r="I296" s="5"/>
      <c r="J296" s="5"/>
      <c r="K296" s="6"/>
      <c r="L296" s="6"/>
      <c r="M296" s="6"/>
      <c r="N296" s="6"/>
      <c r="O296" s="6"/>
      <c r="P296" s="6"/>
      <c r="Q296" s="6"/>
      <c r="R296" s="6"/>
      <c r="S296" s="6"/>
      <c r="T296" s="6"/>
      <c r="U296" s="6"/>
      <c r="V296" s="6"/>
      <c r="W296" s="6"/>
      <c r="X296" s="6"/>
      <c r="Y296" s="6"/>
      <c r="Z296" s="6"/>
      <c r="AA296" s="6"/>
      <c r="AB296" s="6"/>
    </row>
    <row r="297" ht="15.75" customHeight="1">
      <c r="A297" s="1"/>
      <c r="B297" s="2"/>
      <c r="C297" s="2"/>
      <c r="D297" s="3"/>
      <c r="E297" s="4"/>
      <c r="F297" s="2"/>
      <c r="G297" s="5"/>
      <c r="H297" s="5"/>
      <c r="I297" s="5"/>
      <c r="J297" s="5"/>
      <c r="K297" s="6"/>
      <c r="L297" s="6"/>
      <c r="M297" s="6"/>
      <c r="N297" s="6"/>
      <c r="O297" s="6"/>
      <c r="P297" s="6"/>
      <c r="Q297" s="6"/>
      <c r="R297" s="6"/>
      <c r="S297" s="6"/>
      <c r="T297" s="6"/>
      <c r="U297" s="6"/>
      <c r="V297" s="6"/>
      <c r="W297" s="6"/>
      <c r="X297" s="6"/>
      <c r="Y297" s="6"/>
      <c r="Z297" s="6"/>
      <c r="AA297" s="6"/>
      <c r="AB297" s="6"/>
    </row>
    <row r="298" ht="15.75" customHeight="1">
      <c r="A298" s="1"/>
      <c r="B298" s="2"/>
      <c r="C298" s="2"/>
      <c r="D298" s="3"/>
      <c r="E298" s="4"/>
      <c r="F298" s="2"/>
      <c r="G298" s="5"/>
      <c r="H298" s="5"/>
      <c r="I298" s="5"/>
      <c r="J298" s="5"/>
      <c r="K298" s="6"/>
      <c r="L298" s="6"/>
      <c r="M298" s="6"/>
      <c r="N298" s="6"/>
      <c r="O298" s="6"/>
      <c r="P298" s="6"/>
      <c r="Q298" s="6"/>
      <c r="R298" s="6"/>
      <c r="S298" s="6"/>
      <c r="T298" s="6"/>
      <c r="U298" s="6"/>
      <c r="V298" s="6"/>
      <c r="W298" s="6"/>
      <c r="X298" s="6"/>
      <c r="Y298" s="6"/>
      <c r="Z298" s="6"/>
      <c r="AA298" s="6"/>
      <c r="AB298" s="6"/>
    </row>
    <row r="299" ht="15.75" customHeight="1">
      <c r="A299" s="1"/>
      <c r="B299" s="2"/>
      <c r="C299" s="2"/>
      <c r="D299" s="3"/>
      <c r="E299" s="4"/>
      <c r="F299" s="2"/>
      <c r="G299" s="5"/>
      <c r="H299" s="5"/>
      <c r="I299" s="5"/>
      <c r="J299" s="5"/>
      <c r="K299" s="6"/>
      <c r="L299" s="6"/>
      <c r="M299" s="6"/>
      <c r="N299" s="6"/>
      <c r="O299" s="6"/>
      <c r="P299" s="6"/>
      <c r="Q299" s="6"/>
      <c r="R299" s="6"/>
      <c r="S299" s="6"/>
      <c r="T299" s="6"/>
      <c r="U299" s="6"/>
      <c r="V299" s="6"/>
      <c r="W299" s="6"/>
      <c r="X299" s="6"/>
      <c r="Y299" s="6"/>
      <c r="Z299" s="6"/>
      <c r="AA299" s="6"/>
      <c r="AB299" s="6"/>
    </row>
    <row r="300" ht="15.75" customHeight="1">
      <c r="A300" s="1"/>
      <c r="B300" s="2"/>
      <c r="C300" s="2"/>
      <c r="D300" s="3"/>
      <c r="E300" s="4"/>
      <c r="F300" s="2"/>
      <c r="G300" s="5"/>
      <c r="H300" s="5"/>
      <c r="I300" s="5"/>
      <c r="J300" s="5"/>
      <c r="K300" s="6"/>
      <c r="L300" s="6"/>
      <c r="M300" s="6"/>
      <c r="N300" s="6"/>
      <c r="O300" s="6"/>
      <c r="P300" s="6"/>
      <c r="Q300" s="6"/>
      <c r="R300" s="6"/>
      <c r="S300" s="6"/>
      <c r="T300" s="6"/>
      <c r="U300" s="6"/>
      <c r="V300" s="6"/>
      <c r="W300" s="6"/>
      <c r="X300" s="6"/>
      <c r="Y300" s="6"/>
      <c r="Z300" s="6"/>
      <c r="AA300" s="6"/>
      <c r="AB300" s="6"/>
    </row>
    <row r="301" ht="15.75" customHeight="1">
      <c r="A301" s="1"/>
      <c r="B301" s="2"/>
      <c r="C301" s="2"/>
      <c r="D301" s="3"/>
      <c r="E301" s="4"/>
      <c r="F301" s="2"/>
      <c r="G301" s="5"/>
      <c r="H301" s="5"/>
      <c r="I301" s="5"/>
      <c r="J301" s="5"/>
      <c r="K301" s="6"/>
      <c r="L301" s="6"/>
      <c r="M301" s="6"/>
      <c r="N301" s="6"/>
      <c r="O301" s="6"/>
      <c r="P301" s="6"/>
      <c r="Q301" s="6"/>
      <c r="R301" s="6"/>
      <c r="S301" s="6"/>
      <c r="T301" s="6"/>
      <c r="U301" s="6"/>
      <c r="V301" s="6"/>
      <c r="W301" s="6"/>
      <c r="X301" s="6"/>
      <c r="Y301" s="6"/>
      <c r="Z301" s="6"/>
      <c r="AA301" s="6"/>
      <c r="AB301" s="6"/>
    </row>
    <row r="302" ht="15.75" customHeight="1">
      <c r="A302" s="1"/>
      <c r="B302" s="2"/>
      <c r="C302" s="2"/>
      <c r="D302" s="3"/>
      <c r="E302" s="4"/>
      <c r="F302" s="2"/>
      <c r="G302" s="5"/>
      <c r="H302" s="5"/>
      <c r="I302" s="5"/>
      <c r="J302" s="5"/>
      <c r="K302" s="6"/>
      <c r="L302" s="6"/>
      <c r="M302" s="6"/>
      <c r="N302" s="6"/>
      <c r="O302" s="6"/>
      <c r="P302" s="6"/>
      <c r="Q302" s="6"/>
      <c r="R302" s="6"/>
      <c r="S302" s="6"/>
      <c r="T302" s="6"/>
      <c r="U302" s="6"/>
      <c r="V302" s="6"/>
      <c r="W302" s="6"/>
      <c r="X302" s="6"/>
      <c r="Y302" s="6"/>
      <c r="Z302" s="6"/>
      <c r="AA302" s="6"/>
      <c r="AB302" s="6"/>
    </row>
    <row r="303" ht="15.75" customHeight="1">
      <c r="A303" s="1"/>
      <c r="B303" s="2"/>
      <c r="C303" s="2"/>
      <c r="D303" s="3"/>
      <c r="E303" s="4"/>
      <c r="F303" s="2"/>
      <c r="G303" s="5"/>
      <c r="H303" s="5"/>
      <c r="I303" s="5"/>
      <c r="J303" s="5"/>
      <c r="K303" s="6"/>
      <c r="L303" s="6"/>
      <c r="M303" s="6"/>
      <c r="N303" s="6"/>
      <c r="O303" s="6"/>
      <c r="P303" s="6"/>
      <c r="Q303" s="6"/>
      <c r="R303" s="6"/>
      <c r="S303" s="6"/>
      <c r="T303" s="6"/>
      <c r="U303" s="6"/>
      <c r="V303" s="6"/>
      <c r="W303" s="6"/>
      <c r="X303" s="6"/>
      <c r="Y303" s="6"/>
      <c r="Z303" s="6"/>
      <c r="AA303" s="6"/>
      <c r="AB303" s="6"/>
    </row>
    <row r="304" ht="15.75" customHeight="1">
      <c r="A304" s="1"/>
      <c r="B304" s="2"/>
      <c r="C304" s="2"/>
      <c r="D304" s="3"/>
      <c r="E304" s="4"/>
      <c r="F304" s="2"/>
      <c r="G304" s="5"/>
      <c r="H304" s="5"/>
      <c r="I304" s="5"/>
      <c r="J304" s="5"/>
      <c r="K304" s="6"/>
      <c r="L304" s="6"/>
      <c r="M304" s="6"/>
      <c r="N304" s="6"/>
      <c r="O304" s="6"/>
      <c r="P304" s="6"/>
      <c r="Q304" s="6"/>
      <c r="R304" s="6"/>
      <c r="S304" s="6"/>
      <c r="T304" s="6"/>
      <c r="U304" s="6"/>
      <c r="V304" s="6"/>
      <c r="W304" s="6"/>
      <c r="X304" s="6"/>
      <c r="Y304" s="6"/>
      <c r="Z304" s="6"/>
      <c r="AA304" s="6"/>
      <c r="AB304" s="6"/>
    </row>
    <row r="305" ht="15.75" customHeight="1">
      <c r="A305" s="1"/>
      <c r="B305" s="2"/>
      <c r="C305" s="2"/>
      <c r="D305" s="3"/>
      <c r="E305" s="4"/>
      <c r="F305" s="2"/>
      <c r="G305" s="5"/>
      <c r="H305" s="5"/>
      <c r="I305" s="5"/>
      <c r="J305" s="5"/>
      <c r="K305" s="6"/>
      <c r="L305" s="6"/>
      <c r="M305" s="6"/>
      <c r="N305" s="6"/>
      <c r="O305" s="6"/>
      <c r="P305" s="6"/>
      <c r="Q305" s="6"/>
      <c r="R305" s="6"/>
      <c r="S305" s="6"/>
      <c r="T305" s="6"/>
      <c r="U305" s="6"/>
      <c r="V305" s="6"/>
      <c r="W305" s="6"/>
      <c r="X305" s="6"/>
      <c r="Y305" s="6"/>
      <c r="Z305" s="6"/>
      <c r="AA305" s="6"/>
      <c r="AB305" s="6"/>
    </row>
    <row r="306" ht="15.75" customHeight="1">
      <c r="A306" s="1"/>
      <c r="B306" s="2"/>
      <c r="C306" s="2"/>
      <c r="D306" s="3"/>
      <c r="E306" s="4"/>
      <c r="F306" s="2"/>
      <c r="G306" s="5"/>
      <c r="H306" s="5"/>
      <c r="I306" s="5"/>
      <c r="J306" s="5"/>
      <c r="K306" s="6"/>
      <c r="L306" s="6"/>
      <c r="M306" s="6"/>
      <c r="N306" s="6"/>
      <c r="O306" s="6"/>
      <c r="P306" s="6"/>
      <c r="Q306" s="6"/>
      <c r="R306" s="6"/>
      <c r="S306" s="6"/>
      <c r="T306" s="6"/>
      <c r="U306" s="6"/>
      <c r="V306" s="6"/>
      <c r="W306" s="6"/>
      <c r="X306" s="6"/>
      <c r="Y306" s="6"/>
      <c r="Z306" s="6"/>
      <c r="AA306" s="6"/>
      <c r="AB306" s="6"/>
    </row>
    <row r="307" ht="15.75" customHeight="1">
      <c r="A307" s="1"/>
      <c r="B307" s="2"/>
      <c r="C307" s="2"/>
      <c r="D307" s="3"/>
      <c r="E307" s="4"/>
      <c r="F307" s="2"/>
      <c r="G307" s="5"/>
      <c r="H307" s="5"/>
      <c r="I307" s="5"/>
      <c r="J307" s="5"/>
      <c r="K307" s="6"/>
      <c r="L307" s="6"/>
      <c r="M307" s="6"/>
      <c r="N307" s="6"/>
      <c r="O307" s="6"/>
      <c r="P307" s="6"/>
      <c r="Q307" s="6"/>
      <c r="R307" s="6"/>
      <c r="S307" s="6"/>
      <c r="T307" s="6"/>
      <c r="U307" s="6"/>
      <c r="V307" s="6"/>
      <c r="W307" s="6"/>
      <c r="X307" s="6"/>
      <c r="Y307" s="6"/>
      <c r="Z307" s="6"/>
      <c r="AA307" s="6"/>
      <c r="AB307" s="6"/>
    </row>
    <row r="308" ht="15.75" customHeight="1">
      <c r="A308" s="1"/>
      <c r="B308" s="2"/>
      <c r="C308" s="2"/>
      <c r="D308" s="3"/>
      <c r="E308" s="4"/>
      <c r="F308" s="2"/>
      <c r="G308" s="5"/>
      <c r="H308" s="5"/>
      <c r="I308" s="5"/>
      <c r="J308" s="5"/>
      <c r="K308" s="6"/>
      <c r="L308" s="6"/>
      <c r="M308" s="6"/>
      <c r="N308" s="6"/>
      <c r="O308" s="6"/>
      <c r="P308" s="6"/>
      <c r="Q308" s="6"/>
      <c r="R308" s="6"/>
      <c r="S308" s="6"/>
      <c r="T308" s="6"/>
      <c r="U308" s="6"/>
      <c r="V308" s="6"/>
      <c r="W308" s="6"/>
      <c r="X308" s="6"/>
      <c r="Y308" s="6"/>
      <c r="Z308" s="6"/>
      <c r="AA308" s="6"/>
      <c r="AB308" s="6"/>
    </row>
    <row r="309" ht="15.75" customHeight="1">
      <c r="A309" s="1"/>
      <c r="B309" s="2"/>
      <c r="C309" s="2"/>
      <c r="D309" s="3"/>
      <c r="E309" s="4"/>
      <c r="F309" s="2"/>
      <c r="G309" s="5"/>
      <c r="H309" s="5"/>
      <c r="I309" s="5"/>
      <c r="J309" s="5"/>
      <c r="K309" s="6"/>
      <c r="L309" s="6"/>
      <c r="M309" s="6"/>
      <c r="N309" s="6"/>
      <c r="O309" s="6"/>
      <c r="P309" s="6"/>
      <c r="Q309" s="6"/>
      <c r="R309" s="6"/>
      <c r="S309" s="6"/>
      <c r="T309" s="6"/>
      <c r="U309" s="6"/>
      <c r="V309" s="6"/>
      <c r="W309" s="6"/>
      <c r="X309" s="6"/>
      <c r="Y309" s="6"/>
      <c r="Z309" s="6"/>
      <c r="AA309" s="6"/>
      <c r="AB309" s="6"/>
    </row>
    <row r="310" ht="15.75" customHeight="1">
      <c r="A310" s="1"/>
      <c r="B310" s="2"/>
      <c r="C310" s="2"/>
      <c r="D310" s="3"/>
      <c r="E310" s="4"/>
      <c r="F310" s="2"/>
      <c r="G310" s="5"/>
      <c r="H310" s="5"/>
      <c r="I310" s="5"/>
      <c r="J310" s="5"/>
      <c r="K310" s="6"/>
      <c r="L310" s="6"/>
      <c r="M310" s="6"/>
      <c r="N310" s="6"/>
      <c r="O310" s="6"/>
      <c r="P310" s="6"/>
      <c r="Q310" s="6"/>
      <c r="R310" s="6"/>
      <c r="S310" s="6"/>
      <c r="T310" s="6"/>
      <c r="U310" s="6"/>
      <c r="V310" s="6"/>
      <c r="W310" s="6"/>
      <c r="X310" s="6"/>
      <c r="Y310" s="6"/>
      <c r="Z310" s="6"/>
      <c r="AA310" s="6"/>
      <c r="AB310" s="6"/>
    </row>
    <row r="311" ht="15.75" customHeight="1">
      <c r="A311" s="1"/>
      <c r="B311" s="2"/>
      <c r="C311" s="2"/>
      <c r="D311" s="3"/>
      <c r="E311" s="4"/>
      <c r="F311" s="2"/>
      <c r="G311" s="5"/>
      <c r="H311" s="5"/>
      <c r="I311" s="5"/>
      <c r="J311" s="5"/>
      <c r="K311" s="6"/>
      <c r="L311" s="6"/>
      <c r="M311" s="6"/>
      <c r="N311" s="6"/>
      <c r="O311" s="6"/>
      <c r="P311" s="6"/>
      <c r="Q311" s="6"/>
      <c r="R311" s="6"/>
      <c r="S311" s="6"/>
      <c r="T311" s="6"/>
      <c r="U311" s="6"/>
      <c r="V311" s="6"/>
      <c r="W311" s="6"/>
      <c r="X311" s="6"/>
      <c r="Y311" s="6"/>
      <c r="Z311" s="6"/>
      <c r="AA311" s="6"/>
      <c r="AB311" s="6"/>
    </row>
    <row r="312" ht="15.75" customHeight="1">
      <c r="A312" s="1"/>
      <c r="B312" s="2"/>
      <c r="C312" s="2"/>
      <c r="D312" s="3"/>
      <c r="E312" s="4"/>
      <c r="F312" s="2"/>
      <c r="G312" s="5"/>
      <c r="H312" s="5"/>
      <c r="I312" s="5"/>
      <c r="J312" s="5"/>
      <c r="K312" s="6"/>
      <c r="L312" s="6"/>
      <c r="M312" s="6"/>
      <c r="N312" s="6"/>
      <c r="O312" s="6"/>
      <c r="P312" s="6"/>
      <c r="Q312" s="6"/>
      <c r="R312" s="6"/>
      <c r="S312" s="6"/>
      <c r="T312" s="6"/>
      <c r="U312" s="6"/>
      <c r="V312" s="6"/>
      <c r="W312" s="6"/>
      <c r="X312" s="6"/>
      <c r="Y312" s="6"/>
      <c r="Z312" s="6"/>
      <c r="AA312" s="6"/>
      <c r="AB312" s="6"/>
    </row>
    <row r="313" ht="15.75" customHeight="1">
      <c r="A313" s="1"/>
      <c r="B313" s="2"/>
      <c r="C313" s="2"/>
      <c r="D313" s="3"/>
      <c r="E313" s="4"/>
      <c r="F313" s="2"/>
      <c r="G313" s="5"/>
      <c r="H313" s="5"/>
      <c r="I313" s="5"/>
      <c r="J313" s="5"/>
      <c r="K313" s="6"/>
      <c r="L313" s="6"/>
      <c r="M313" s="6"/>
      <c r="N313" s="6"/>
      <c r="O313" s="6"/>
      <c r="P313" s="6"/>
      <c r="Q313" s="6"/>
      <c r="R313" s="6"/>
      <c r="S313" s="6"/>
      <c r="T313" s="6"/>
      <c r="U313" s="6"/>
      <c r="V313" s="6"/>
      <c r="W313" s="6"/>
      <c r="X313" s="6"/>
      <c r="Y313" s="6"/>
      <c r="Z313" s="6"/>
      <c r="AA313" s="6"/>
      <c r="AB313" s="6"/>
    </row>
    <row r="314" ht="15.75" customHeight="1">
      <c r="A314" s="1"/>
      <c r="B314" s="2"/>
      <c r="C314" s="2"/>
      <c r="D314" s="3"/>
      <c r="E314" s="4"/>
      <c r="F314" s="2"/>
      <c r="G314" s="5"/>
      <c r="H314" s="5"/>
      <c r="I314" s="5"/>
      <c r="J314" s="5"/>
      <c r="K314" s="6"/>
      <c r="L314" s="6"/>
      <c r="M314" s="6"/>
      <c r="N314" s="6"/>
      <c r="O314" s="6"/>
      <c r="P314" s="6"/>
      <c r="Q314" s="6"/>
      <c r="R314" s="6"/>
      <c r="S314" s="6"/>
      <c r="T314" s="6"/>
      <c r="U314" s="6"/>
      <c r="V314" s="6"/>
      <c r="W314" s="6"/>
      <c r="X314" s="6"/>
      <c r="Y314" s="6"/>
      <c r="Z314" s="6"/>
      <c r="AA314" s="6"/>
      <c r="AB314" s="6"/>
    </row>
    <row r="315" ht="15.75" customHeight="1">
      <c r="A315" s="1"/>
      <c r="B315" s="2"/>
      <c r="C315" s="2"/>
      <c r="D315" s="3"/>
      <c r="E315" s="4"/>
      <c r="F315" s="2"/>
      <c r="G315" s="5"/>
      <c r="H315" s="5"/>
      <c r="I315" s="5"/>
      <c r="J315" s="5"/>
      <c r="K315" s="6"/>
      <c r="L315" s="6"/>
      <c r="M315" s="6"/>
      <c r="N315" s="6"/>
      <c r="O315" s="6"/>
      <c r="P315" s="6"/>
      <c r="Q315" s="6"/>
      <c r="R315" s="6"/>
      <c r="S315" s="6"/>
      <c r="T315" s="6"/>
      <c r="U315" s="6"/>
      <c r="V315" s="6"/>
      <c r="W315" s="6"/>
      <c r="X315" s="6"/>
      <c r="Y315" s="6"/>
      <c r="Z315" s="6"/>
      <c r="AA315" s="6"/>
      <c r="AB315" s="6"/>
    </row>
    <row r="316" ht="15.75" customHeight="1">
      <c r="A316" s="1"/>
      <c r="B316" s="2"/>
      <c r="C316" s="2"/>
      <c r="D316" s="3"/>
      <c r="E316" s="4"/>
      <c r="F316" s="2"/>
      <c r="G316" s="5"/>
      <c r="H316" s="5"/>
      <c r="I316" s="5"/>
      <c r="J316" s="5"/>
      <c r="K316" s="6"/>
      <c r="L316" s="6"/>
      <c r="M316" s="6"/>
      <c r="N316" s="6"/>
      <c r="O316" s="6"/>
      <c r="P316" s="6"/>
      <c r="Q316" s="6"/>
      <c r="R316" s="6"/>
      <c r="S316" s="6"/>
      <c r="T316" s="6"/>
      <c r="U316" s="6"/>
      <c r="V316" s="6"/>
      <c r="W316" s="6"/>
      <c r="X316" s="6"/>
      <c r="Y316" s="6"/>
      <c r="Z316" s="6"/>
      <c r="AA316" s="6"/>
      <c r="AB316" s="6"/>
    </row>
    <row r="317" ht="15.75" customHeight="1">
      <c r="A317" s="1"/>
      <c r="B317" s="2"/>
      <c r="C317" s="2"/>
      <c r="D317" s="3"/>
      <c r="E317" s="4"/>
      <c r="F317" s="2"/>
      <c r="G317" s="5"/>
      <c r="H317" s="5"/>
      <c r="I317" s="5"/>
      <c r="J317" s="5"/>
      <c r="K317" s="6"/>
      <c r="L317" s="6"/>
      <c r="M317" s="6"/>
      <c r="N317" s="6"/>
      <c r="O317" s="6"/>
      <c r="P317" s="6"/>
      <c r="Q317" s="6"/>
      <c r="R317" s="6"/>
      <c r="S317" s="6"/>
      <c r="T317" s="6"/>
      <c r="U317" s="6"/>
      <c r="V317" s="6"/>
      <c r="W317" s="6"/>
      <c r="X317" s="6"/>
      <c r="Y317" s="6"/>
      <c r="Z317" s="6"/>
      <c r="AA317" s="6"/>
      <c r="AB317" s="6"/>
    </row>
    <row r="318" ht="15.75" customHeight="1">
      <c r="A318" s="1"/>
      <c r="B318" s="2"/>
      <c r="C318" s="2"/>
      <c r="D318" s="3"/>
      <c r="E318" s="4"/>
      <c r="F318" s="2"/>
      <c r="G318" s="5"/>
      <c r="H318" s="5"/>
      <c r="I318" s="5"/>
      <c r="J318" s="5"/>
      <c r="K318" s="6"/>
      <c r="L318" s="6"/>
      <c r="M318" s="6"/>
      <c r="N318" s="6"/>
      <c r="O318" s="6"/>
      <c r="P318" s="6"/>
      <c r="Q318" s="6"/>
      <c r="R318" s="6"/>
      <c r="S318" s="6"/>
      <c r="T318" s="6"/>
      <c r="U318" s="6"/>
      <c r="V318" s="6"/>
      <c r="W318" s="6"/>
      <c r="X318" s="6"/>
      <c r="Y318" s="6"/>
      <c r="Z318" s="6"/>
      <c r="AA318" s="6"/>
      <c r="AB318" s="6"/>
    </row>
    <row r="319" ht="15.75" customHeight="1">
      <c r="A319" s="1"/>
      <c r="B319" s="2"/>
      <c r="C319" s="2"/>
      <c r="D319" s="3"/>
      <c r="E319" s="4"/>
      <c r="F319" s="2"/>
      <c r="G319" s="5"/>
      <c r="H319" s="5"/>
      <c r="I319" s="5"/>
      <c r="J319" s="5"/>
      <c r="K319" s="6"/>
      <c r="L319" s="6"/>
      <c r="M319" s="6"/>
      <c r="N319" s="6"/>
      <c r="O319" s="6"/>
      <c r="P319" s="6"/>
      <c r="Q319" s="6"/>
      <c r="R319" s="6"/>
      <c r="S319" s="6"/>
      <c r="T319" s="6"/>
      <c r="U319" s="6"/>
      <c r="V319" s="6"/>
      <c r="W319" s="6"/>
      <c r="X319" s="6"/>
      <c r="Y319" s="6"/>
      <c r="Z319" s="6"/>
      <c r="AA319" s="6"/>
      <c r="AB319" s="6"/>
    </row>
    <row r="320" ht="15.75" customHeight="1">
      <c r="A320" s="1"/>
      <c r="B320" s="2"/>
      <c r="C320" s="2"/>
      <c r="D320" s="3"/>
      <c r="E320" s="4"/>
      <c r="F320" s="2"/>
      <c r="G320" s="5"/>
      <c r="H320" s="5"/>
      <c r="I320" s="5"/>
      <c r="J320" s="5"/>
      <c r="K320" s="6"/>
      <c r="L320" s="6"/>
      <c r="M320" s="6"/>
      <c r="N320" s="6"/>
      <c r="O320" s="6"/>
      <c r="P320" s="6"/>
      <c r="Q320" s="6"/>
      <c r="R320" s="6"/>
      <c r="S320" s="6"/>
      <c r="T320" s="6"/>
      <c r="U320" s="6"/>
      <c r="V320" s="6"/>
      <c r="W320" s="6"/>
      <c r="X320" s="6"/>
      <c r="Y320" s="6"/>
      <c r="Z320" s="6"/>
      <c r="AA320" s="6"/>
      <c r="AB320" s="6"/>
    </row>
    <row r="321" ht="15.75" customHeight="1">
      <c r="A321" s="1"/>
      <c r="B321" s="2"/>
      <c r="C321" s="2"/>
      <c r="D321" s="3"/>
      <c r="E321" s="4"/>
      <c r="F321" s="2"/>
      <c r="G321" s="5"/>
      <c r="H321" s="5"/>
      <c r="I321" s="5"/>
      <c r="J321" s="5"/>
      <c r="K321" s="6"/>
      <c r="L321" s="6"/>
      <c r="M321" s="6"/>
      <c r="N321" s="6"/>
      <c r="O321" s="6"/>
      <c r="P321" s="6"/>
      <c r="Q321" s="6"/>
      <c r="R321" s="6"/>
      <c r="S321" s="6"/>
      <c r="T321" s="6"/>
      <c r="U321" s="6"/>
      <c r="V321" s="6"/>
      <c r="W321" s="6"/>
      <c r="X321" s="6"/>
      <c r="Y321" s="6"/>
      <c r="Z321" s="6"/>
      <c r="AA321" s="6"/>
      <c r="AB321" s="6"/>
    </row>
    <row r="322" ht="15.75" customHeight="1">
      <c r="A322" s="1"/>
      <c r="B322" s="2"/>
      <c r="C322" s="2"/>
      <c r="D322" s="3"/>
      <c r="E322" s="4"/>
      <c r="F322" s="2"/>
      <c r="G322" s="5"/>
      <c r="H322" s="5"/>
      <c r="I322" s="5"/>
      <c r="J322" s="5"/>
      <c r="K322" s="6"/>
      <c r="L322" s="6"/>
      <c r="M322" s="6"/>
      <c r="N322" s="6"/>
      <c r="O322" s="6"/>
      <c r="P322" s="6"/>
      <c r="Q322" s="6"/>
      <c r="R322" s="6"/>
      <c r="S322" s="6"/>
      <c r="T322" s="6"/>
      <c r="U322" s="6"/>
      <c r="V322" s="6"/>
      <c r="W322" s="6"/>
      <c r="X322" s="6"/>
      <c r="Y322" s="6"/>
      <c r="Z322" s="6"/>
      <c r="AA322" s="6"/>
      <c r="AB322" s="6"/>
    </row>
    <row r="323" ht="15.75" customHeight="1">
      <c r="A323" s="1"/>
      <c r="B323" s="2"/>
      <c r="C323" s="2"/>
      <c r="D323" s="3"/>
      <c r="E323" s="4"/>
      <c r="F323" s="2"/>
      <c r="G323" s="5"/>
      <c r="H323" s="5"/>
      <c r="I323" s="5"/>
      <c r="J323" s="5"/>
      <c r="K323" s="6"/>
      <c r="L323" s="6"/>
      <c r="M323" s="6"/>
      <c r="N323" s="6"/>
      <c r="O323" s="6"/>
      <c r="P323" s="6"/>
      <c r="Q323" s="6"/>
      <c r="R323" s="6"/>
      <c r="S323" s="6"/>
      <c r="T323" s="6"/>
      <c r="U323" s="6"/>
      <c r="V323" s="6"/>
      <c r="W323" s="6"/>
      <c r="X323" s="6"/>
      <c r="Y323" s="6"/>
      <c r="Z323" s="6"/>
      <c r="AA323" s="6"/>
      <c r="AB323" s="6"/>
    </row>
    <row r="324" ht="15.75" customHeight="1">
      <c r="A324" s="1"/>
      <c r="B324" s="2"/>
      <c r="C324" s="2"/>
      <c r="D324" s="3"/>
      <c r="E324" s="4"/>
      <c r="F324" s="2"/>
      <c r="G324" s="5"/>
      <c r="H324" s="5"/>
      <c r="I324" s="5"/>
      <c r="J324" s="5"/>
      <c r="K324" s="6"/>
      <c r="L324" s="6"/>
      <c r="M324" s="6"/>
      <c r="N324" s="6"/>
      <c r="O324" s="6"/>
      <c r="P324" s="6"/>
      <c r="Q324" s="6"/>
      <c r="R324" s="6"/>
      <c r="S324" s="6"/>
      <c r="T324" s="6"/>
      <c r="U324" s="6"/>
      <c r="V324" s="6"/>
      <c r="W324" s="6"/>
      <c r="X324" s="6"/>
      <c r="Y324" s="6"/>
      <c r="Z324" s="6"/>
      <c r="AA324" s="6"/>
      <c r="AB324" s="6"/>
    </row>
    <row r="325" ht="15.75" customHeight="1">
      <c r="A325" s="1"/>
      <c r="B325" s="2"/>
      <c r="C325" s="2"/>
      <c r="D325" s="3"/>
      <c r="E325" s="4"/>
      <c r="F325" s="2"/>
      <c r="G325" s="5"/>
      <c r="H325" s="5"/>
      <c r="I325" s="5"/>
      <c r="J325" s="5"/>
      <c r="K325" s="6"/>
      <c r="L325" s="6"/>
      <c r="M325" s="6"/>
      <c r="N325" s="6"/>
      <c r="O325" s="6"/>
      <c r="P325" s="6"/>
      <c r="Q325" s="6"/>
      <c r="R325" s="6"/>
      <c r="S325" s="6"/>
      <c r="T325" s="6"/>
      <c r="U325" s="6"/>
      <c r="V325" s="6"/>
      <c r="W325" s="6"/>
      <c r="X325" s="6"/>
      <c r="Y325" s="6"/>
      <c r="Z325" s="6"/>
      <c r="AA325" s="6"/>
      <c r="AB325" s="6"/>
    </row>
    <row r="326" ht="15.75" customHeight="1">
      <c r="A326" s="1"/>
      <c r="B326" s="2"/>
      <c r="C326" s="2"/>
      <c r="D326" s="3"/>
      <c r="E326" s="4"/>
      <c r="F326" s="2"/>
      <c r="G326" s="5"/>
      <c r="H326" s="5"/>
      <c r="I326" s="5"/>
      <c r="J326" s="5"/>
      <c r="K326" s="6"/>
      <c r="L326" s="6"/>
      <c r="M326" s="6"/>
      <c r="N326" s="6"/>
      <c r="O326" s="6"/>
      <c r="P326" s="6"/>
      <c r="Q326" s="6"/>
      <c r="R326" s="6"/>
      <c r="S326" s="6"/>
      <c r="T326" s="6"/>
      <c r="U326" s="6"/>
      <c r="V326" s="6"/>
      <c r="W326" s="6"/>
      <c r="X326" s="6"/>
      <c r="Y326" s="6"/>
      <c r="Z326" s="6"/>
      <c r="AA326" s="6"/>
      <c r="AB326" s="6"/>
    </row>
    <row r="327" ht="15.75" customHeight="1">
      <c r="A327" s="1"/>
      <c r="B327" s="2"/>
      <c r="C327" s="2"/>
      <c r="D327" s="3"/>
      <c r="E327" s="4"/>
      <c r="F327" s="2"/>
      <c r="G327" s="5"/>
      <c r="H327" s="5"/>
      <c r="I327" s="5"/>
      <c r="J327" s="5"/>
      <c r="K327" s="6"/>
      <c r="L327" s="6"/>
      <c r="M327" s="6"/>
      <c r="N327" s="6"/>
      <c r="O327" s="6"/>
      <c r="P327" s="6"/>
      <c r="Q327" s="6"/>
      <c r="R327" s="6"/>
      <c r="S327" s="6"/>
      <c r="T327" s="6"/>
      <c r="U327" s="6"/>
      <c r="V327" s="6"/>
      <c r="W327" s="6"/>
      <c r="X327" s="6"/>
      <c r="Y327" s="6"/>
      <c r="Z327" s="6"/>
      <c r="AA327" s="6"/>
      <c r="AB327" s="6"/>
    </row>
    <row r="328" ht="15.75" customHeight="1">
      <c r="A328" s="1"/>
      <c r="B328" s="2"/>
      <c r="C328" s="2"/>
      <c r="D328" s="3"/>
      <c r="E328" s="4"/>
      <c r="F328" s="2"/>
      <c r="G328" s="5"/>
      <c r="H328" s="5"/>
      <c r="I328" s="5"/>
      <c r="J328" s="5"/>
      <c r="K328" s="6"/>
      <c r="L328" s="6"/>
      <c r="M328" s="6"/>
      <c r="N328" s="6"/>
      <c r="O328" s="6"/>
      <c r="P328" s="6"/>
      <c r="Q328" s="6"/>
      <c r="R328" s="6"/>
      <c r="S328" s="6"/>
      <c r="T328" s="6"/>
      <c r="U328" s="6"/>
      <c r="V328" s="6"/>
      <c r="W328" s="6"/>
      <c r="X328" s="6"/>
      <c r="Y328" s="6"/>
      <c r="Z328" s="6"/>
      <c r="AA328" s="6"/>
      <c r="AB328" s="6"/>
    </row>
    <row r="329" ht="15.75" customHeight="1">
      <c r="A329" s="1"/>
      <c r="B329" s="2"/>
      <c r="C329" s="2"/>
      <c r="D329" s="3"/>
      <c r="E329" s="4"/>
      <c r="F329" s="2"/>
      <c r="G329" s="5"/>
      <c r="H329" s="5"/>
      <c r="I329" s="5"/>
      <c r="J329" s="5"/>
      <c r="K329" s="6"/>
      <c r="L329" s="6"/>
      <c r="M329" s="6"/>
      <c r="N329" s="6"/>
      <c r="O329" s="6"/>
      <c r="P329" s="6"/>
      <c r="Q329" s="6"/>
      <c r="R329" s="6"/>
      <c r="S329" s="6"/>
      <c r="T329" s="6"/>
      <c r="U329" s="6"/>
      <c r="V329" s="6"/>
      <c r="W329" s="6"/>
      <c r="X329" s="6"/>
      <c r="Y329" s="6"/>
      <c r="Z329" s="6"/>
      <c r="AA329" s="6"/>
      <c r="AB329" s="6"/>
    </row>
    <row r="330" ht="15.75" customHeight="1">
      <c r="A330" s="1"/>
      <c r="B330" s="2"/>
      <c r="C330" s="2"/>
      <c r="D330" s="3"/>
      <c r="E330" s="4"/>
      <c r="F330" s="2"/>
      <c r="G330" s="5"/>
      <c r="H330" s="5"/>
      <c r="I330" s="5"/>
      <c r="J330" s="5"/>
      <c r="K330" s="6"/>
      <c r="L330" s="6"/>
      <c r="M330" s="6"/>
      <c r="N330" s="6"/>
      <c r="O330" s="6"/>
      <c r="P330" s="6"/>
      <c r="Q330" s="6"/>
      <c r="R330" s="6"/>
      <c r="S330" s="6"/>
      <c r="T330" s="6"/>
      <c r="U330" s="6"/>
      <c r="V330" s="6"/>
      <c r="W330" s="6"/>
      <c r="X330" s="6"/>
      <c r="Y330" s="6"/>
      <c r="Z330" s="6"/>
      <c r="AA330" s="6"/>
      <c r="AB330" s="6"/>
    </row>
    <row r="331" ht="15.75" customHeight="1">
      <c r="A331" s="1"/>
      <c r="B331" s="2"/>
      <c r="C331" s="2"/>
      <c r="D331" s="3"/>
      <c r="E331" s="4"/>
      <c r="F331" s="2"/>
      <c r="G331" s="5"/>
      <c r="H331" s="5"/>
      <c r="I331" s="5"/>
      <c r="J331" s="5"/>
      <c r="K331" s="6"/>
      <c r="L331" s="6"/>
      <c r="M331" s="6"/>
      <c r="N331" s="6"/>
      <c r="O331" s="6"/>
      <c r="P331" s="6"/>
      <c r="Q331" s="6"/>
      <c r="R331" s="6"/>
      <c r="S331" s="6"/>
      <c r="T331" s="6"/>
      <c r="U331" s="6"/>
      <c r="V331" s="6"/>
      <c r="W331" s="6"/>
      <c r="X331" s="6"/>
      <c r="Y331" s="6"/>
      <c r="Z331" s="6"/>
      <c r="AA331" s="6"/>
      <c r="AB331" s="6"/>
    </row>
    <row r="332" ht="15.75" customHeight="1">
      <c r="A332" s="1"/>
      <c r="B332" s="2"/>
      <c r="C332" s="2"/>
      <c r="D332" s="3"/>
      <c r="E332" s="4"/>
      <c r="F332" s="2"/>
      <c r="G332" s="5"/>
      <c r="H332" s="5"/>
      <c r="I332" s="5"/>
      <c r="J332" s="5"/>
      <c r="K332" s="6"/>
      <c r="L332" s="6"/>
      <c r="M332" s="6"/>
      <c r="N332" s="6"/>
      <c r="O332" s="6"/>
      <c r="P332" s="6"/>
      <c r="Q332" s="6"/>
      <c r="R332" s="6"/>
      <c r="S332" s="6"/>
      <c r="T332" s="6"/>
      <c r="U332" s="6"/>
      <c r="V332" s="6"/>
      <c r="W332" s="6"/>
      <c r="X332" s="6"/>
      <c r="Y332" s="6"/>
      <c r="Z332" s="6"/>
      <c r="AA332" s="6"/>
      <c r="AB332" s="6"/>
    </row>
    <row r="333" ht="15.75" customHeight="1">
      <c r="A333" s="1"/>
      <c r="B333" s="2"/>
      <c r="C333" s="2"/>
      <c r="D333" s="3"/>
      <c r="E333" s="4"/>
      <c r="F333" s="2"/>
      <c r="G333" s="5"/>
      <c r="H333" s="5"/>
      <c r="I333" s="5"/>
      <c r="J333" s="5"/>
      <c r="K333" s="6"/>
      <c r="L333" s="6"/>
      <c r="M333" s="6"/>
      <c r="N333" s="6"/>
      <c r="O333" s="6"/>
      <c r="P333" s="6"/>
      <c r="Q333" s="6"/>
      <c r="R333" s="6"/>
      <c r="S333" s="6"/>
      <c r="T333" s="6"/>
      <c r="U333" s="6"/>
      <c r="V333" s="6"/>
      <c r="W333" s="6"/>
      <c r="X333" s="6"/>
      <c r="Y333" s="6"/>
      <c r="Z333" s="6"/>
      <c r="AA333" s="6"/>
      <c r="AB333" s="6"/>
    </row>
    <row r="334" ht="15.75" customHeight="1">
      <c r="A334" s="1"/>
      <c r="B334" s="2"/>
      <c r="C334" s="2"/>
      <c r="D334" s="3"/>
      <c r="E334" s="4"/>
      <c r="F334" s="2"/>
      <c r="G334" s="5"/>
      <c r="H334" s="5"/>
      <c r="I334" s="5"/>
      <c r="J334" s="5"/>
      <c r="K334" s="6"/>
      <c r="L334" s="6"/>
      <c r="M334" s="6"/>
      <c r="N334" s="6"/>
      <c r="O334" s="6"/>
      <c r="P334" s="6"/>
      <c r="Q334" s="6"/>
      <c r="R334" s="6"/>
      <c r="S334" s="6"/>
      <c r="T334" s="6"/>
      <c r="U334" s="6"/>
      <c r="V334" s="6"/>
      <c r="W334" s="6"/>
      <c r="X334" s="6"/>
      <c r="Y334" s="6"/>
      <c r="Z334" s="6"/>
      <c r="AA334" s="6"/>
      <c r="AB334" s="6"/>
    </row>
    <row r="335" ht="15.75" customHeight="1">
      <c r="A335" s="1"/>
      <c r="B335" s="2"/>
      <c r="C335" s="2"/>
      <c r="D335" s="3"/>
      <c r="E335" s="4"/>
      <c r="F335" s="2"/>
      <c r="G335" s="5"/>
      <c r="H335" s="5"/>
      <c r="I335" s="5"/>
      <c r="J335" s="5"/>
      <c r="K335" s="6"/>
      <c r="L335" s="6"/>
      <c r="M335" s="6"/>
      <c r="N335" s="6"/>
      <c r="O335" s="6"/>
      <c r="P335" s="6"/>
      <c r="Q335" s="6"/>
      <c r="R335" s="6"/>
      <c r="S335" s="6"/>
      <c r="T335" s="6"/>
      <c r="U335" s="6"/>
      <c r="V335" s="6"/>
      <c r="W335" s="6"/>
      <c r="X335" s="6"/>
      <c r="Y335" s="6"/>
      <c r="Z335" s="6"/>
      <c r="AA335" s="6"/>
      <c r="AB335" s="6"/>
    </row>
    <row r="336" ht="15.75" customHeight="1">
      <c r="A336" s="1"/>
      <c r="B336" s="2"/>
      <c r="C336" s="2"/>
      <c r="D336" s="3"/>
      <c r="E336" s="4"/>
      <c r="F336" s="2"/>
      <c r="G336" s="5"/>
      <c r="H336" s="5"/>
      <c r="I336" s="5"/>
      <c r="J336" s="5"/>
      <c r="K336" s="6"/>
      <c r="L336" s="6"/>
      <c r="M336" s="6"/>
      <c r="N336" s="6"/>
      <c r="O336" s="6"/>
      <c r="P336" s="6"/>
      <c r="Q336" s="6"/>
      <c r="R336" s="6"/>
      <c r="S336" s="6"/>
      <c r="T336" s="6"/>
      <c r="U336" s="6"/>
      <c r="V336" s="6"/>
      <c r="W336" s="6"/>
      <c r="X336" s="6"/>
      <c r="Y336" s="6"/>
      <c r="Z336" s="6"/>
      <c r="AA336" s="6"/>
      <c r="AB336" s="6"/>
    </row>
    <row r="337" ht="15.75" customHeight="1">
      <c r="A337" s="1"/>
      <c r="B337" s="2"/>
      <c r="C337" s="2"/>
      <c r="D337" s="3"/>
      <c r="E337" s="4"/>
      <c r="F337" s="2"/>
      <c r="G337" s="5"/>
      <c r="H337" s="5"/>
      <c r="I337" s="5"/>
      <c r="J337" s="5"/>
      <c r="K337" s="6"/>
      <c r="L337" s="6"/>
      <c r="M337" s="6"/>
      <c r="N337" s="6"/>
      <c r="O337" s="6"/>
      <c r="P337" s="6"/>
      <c r="Q337" s="6"/>
      <c r="R337" s="6"/>
      <c r="S337" s="6"/>
      <c r="T337" s="6"/>
      <c r="U337" s="6"/>
      <c r="V337" s="6"/>
      <c r="W337" s="6"/>
      <c r="X337" s="6"/>
      <c r="Y337" s="6"/>
      <c r="Z337" s="6"/>
      <c r="AA337" s="6"/>
      <c r="AB337" s="6"/>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4">
    <mergeCell ref="I39:I41"/>
    <mergeCell ref="J39:J41"/>
    <mergeCell ref="H47:H51"/>
    <mergeCell ref="I47:I51"/>
    <mergeCell ref="J47:J51"/>
    <mergeCell ref="H52:H55"/>
    <mergeCell ref="I52:I54"/>
    <mergeCell ref="J52:J55"/>
    <mergeCell ref="H33:H35"/>
    <mergeCell ref="I33:I35"/>
    <mergeCell ref="J33:J35"/>
    <mergeCell ref="H36:H38"/>
    <mergeCell ref="I36:I38"/>
    <mergeCell ref="J36:J38"/>
    <mergeCell ref="H39:H41"/>
    <mergeCell ref="A15:A17"/>
    <mergeCell ref="B21:C21"/>
    <mergeCell ref="A24:A26"/>
    <mergeCell ref="B24:C24"/>
    <mergeCell ref="A27:A29"/>
    <mergeCell ref="A30:A32"/>
    <mergeCell ref="B30:C30"/>
    <mergeCell ref="A33:A35"/>
    <mergeCell ref="B33:C33"/>
    <mergeCell ref="A36:A38"/>
    <mergeCell ref="B36:C36"/>
    <mergeCell ref="B39:C39"/>
    <mergeCell ref="B47:C47"/>
    <mergeCell ref="B52:C52"/>
    <mergeCell ref="I60:I63"/>
    <mergeCell ref="J60:J63"/>
    <mergeCell ref="H42:H44"/>
    <mergeCell ref="I42:I46"/>
    <mergeCell ref="J42:J46"/>
    <mergeCell ref="H56:H59"/>
    <mergeCell ref="I56:I59"/>
    <mergeCell ref="J56:J59"/>
    <mergeCell ref="H60:H63"/>
    <mergeCell ref="A42:A44"/>
    <mergeCell ref="A56:A59"/>
    <mergeCell ref="A60:A63"/>
    <mergeCell ref="A64:A67"/>
    <mergeCell ref="A68:A71"/>
    <mergeCell ref="A72:A76"/>
    <mergeCell ref="A77:A81"/>
    <mergeCell ref="A113:A116"/>
    <mergeCell ref="A122:A124"/>
    <mergeCell ref="A125:A127"/>
    <mergeCell ref="A128:A130"/>
    <mergeCell ref="A131:A134"/>
    <mergeCell ref="A82:A86"/>
    <mergeCell ref="A87:A90"/>
    <mergeCell ref="A91:A95"/>
    <mergeCell ref="A96:A100"/>
    <mergeCell ref="A101:A104"/>
    <mergeCell ref="A105:A108"/>
    <mergeCell ref="A109:A112"/>
    <mergeCell ref="I77:I81"/>
    <mergeCell ref="J77:J81"/>
    <mergeCell ref="I82:I86"/>
    <mergeCell ref="J82:J86"/>
    <mergeCell ref="I87:I90"/>
    <mergeCell ref="J87:J90"/>
    <mergeCell ref="J91:J95"/>
    <mergeCell ref="I91:I95"/>
    <mergeCell ref="I96:I100"/>
    <mergeCell ref="I101:I104"/>
    <mergeCell ref="I105:I108"/>
    <mergeCell ref="J105:J108"/>
    <mergeCell ref="I109:I112"/>
    <mergeCell ref="J109:J112"/>
    <mergeCell ref="I128:I130"/>
    <mergeCell ref="I131:I134"/>
    <mergeCell ref="J131:J134"/>
    <mergeCell ref="I113:I116"/>
    <mergeCell ref="J113:J116"/>
    <mergeCell ref="I122:I124"/>
    <mergeCell ref="J122:J124"/>
    <mergeCell ref="I125:I127"/>
    <mergeCell ref="J125:J127"/>
    <mergeCell ref="J128:J130"/>
    <mergeCell ref="A9:A11"/>
    <mergeCell ref="B9:C9"/>
    <mergeCell ref="I9:I11"/>
    <mergeCell ref="J9:J11"/>
    <mergeCell ref="A12:A14"/>
    <mergeCell ref="J12:J14"/>
    <mergeCell ref="J15:J17"/>
    <mergeCell ref="I12:I14"/>
    <mergeCell ref="H15:H17"/>
    <mergeCell ref="I15:I17"/>
    <mergeCell ref="H18:H20"/>
    <mergeCell ref="J18:J20"/>
    <mergeCell ref="I21:I23"/>
    <mergeCell ref="J21:J23"/>
    <mergeCell ref="I30:I32"/>
    <mergeCell ref="J30:J32"/>
    <mergeCell ref="H24:H26"/>
    <mergeCell ref="I24:I26"/>
    <mergeCell ref="J24:J26"/>
    <mergeCell ref="H27:H29"/>
    <mergeCell ref="I27:I29"/>
    <mergeCell ref="J27:J29"/>
    <mergeCell ref="H30:H32"/>
    <mergeCell ref="H64:H67"/>
    <mergeCell ref="I64:I67"/>
    <mergeCell ref="J64:J67"/>
    <mergeCell ref="I68:I71"/>
    <mergeCell ref="J68:J71"/>
    <mergeCell ref="I72:I76"/>
    <mergeCell ref="J72:J76"/>
    <mergeCell ref="J96:J100"/>
    <mergeCell ref="J101:J104"/>
    <mergeCell ref="B101:C101"/>
    <mergeCell ref="B105:C105"/>
    <mergeCell ref="B109:C109"/>
    <mergeCell ref="B113:C113"/>
    <mergeCell ref="B56:C56"/>
    <mergeCell ref="B60:C60"/>
    <mergeCell ref="B64:C64"/>
    <mergeCell ref="B68:C68"/>
    <mergeCell ref="B72:C72"/>
    <mergeCell ref="B91:C91"/>
    <mergeCell ref="B96:C96"/>
  </mergeCells>
  <hyperlinks>
    <hyperlink r:id="rId1" ref="E9"/>
    <hyperlink r:id="rId2" ref="E10"/>
    <hyperlink r:id="rId3" ref="E11"/>
    <hyperlink r:id="rId4" ref="E13"/>
    <hyperlink r:id="rId5" ref="E14"/>
    <hyperlink r:id="rId6" ref="E16"/>
    <hyperlink r:id="rId7" ref="E17"/>
    <hyperlink r:id="rId8" ref="E18"/>
    <hyperlink r:id="rId9" ref="E19"/>
    <hyperlink r:id="rId10" ref="E20"/>
    <hyperlink r:id="rId11" ref="E21"/>
    <hyperlink r:id="rId12" ref="E22"/>
    <hyperlink r:id="rId13" ref="E23"/>
    <hyperlink r:id="rId14" ref="E24"/>
    <hyperlink r:id="rId15" ref="E25"/>
    <hyperlink r:id="rId16" ref="E26"/>
    <hyperlink r:id="rId17" ref="E27"/>
    <hyperlink r:id="rId18" ref="E28"/>
    <hyperlink r:id="rId19" ref="E29"/>
    <hyperlink r:id="rId20" ref="E30"/>
    <hyperlink r:id="rId21" ref="E31"/>
    <hyperlink r:id="rId22" ref="E32"/>
    <hyperlink r:id="rId23" ref="E33"/>
    <hyperlink r:id="rId24" ref="E34"/>
    <hyperlink r:id="rId25" ref="E35"/>
    <hyperlink r:id="rId26" ref="E36"/>
    <hyperlink r:id="rId27" ref="E37"/>
    <hyperlink r:id="rId28" ref="E38"/>
    <hyperlink r:id="rId29" ref="E39"/>
    <hyperlink r:id="rId30" ref="E40"/>
    <hyperlink r:id="rId31" ref="E41"/>
    <hyperlink r:id="rId32" ref="E42"/>
    <hyperlink r:id="rId33" ref="E43"/>
    <hyperlink r:id="rId34" ref="E44"/>
    <hyperlink r:id="rId35" ref="E47"/>
    <hyperlink r:id="rId36" ref="E48"/>
    <hyperlink r:id="rId37" ref="E49"/>
    <hyperlink r:id="rId38" ref="E53"/>
    <hyperlink r:id="rId39" ref="E54"/>
    <hyperlink r:id="rId40" ref="E56"/>
    <hyperlink r:id="rId41" ref="E57"/>
    <hyperlink r:id="rId42" ref="E58"/>
    <hyperlink r:id="rId43" ref="E60"/>
    <hyperlink r:id="rId44" ref="E61"/>
    <hyperlink r:id="rId45" ref="E62"/>
    <hyperlink r:id="rId46" ref="E64"/>
    <hyperlink r:id="rId47" ref="E65"/>
    <hyperlink r:id="rId48" ref="E66"/>
    <hyperlink r:id="rId49" ref="E68"/>
    <hyperlink r:id="rId50" ref="E69"/>
    <hyperlink r:id="rId51" ref="E70"/>
    <hyperlink r:id="rId52" ref="E72"/>
    <hyperlink r:id="rId53" ref="E73"/>
    <hyperlink r:id="rId54" ref="E74"/>
    <hyperlink r:id="rId55" ref="E77"/>
    <hyperlink r:id="rId56" ref="E78"/>
    <hyperlink r:id="rId57" ref="E79"/>
    <hyperlink r:id="rId58" ref="E82"/>
    <hyperlink r:id="rId59" ref="E83"/>
    <hyperlink r:id="rId60" ref="E84"/>
    <hyperlink r:id="rId61" ref="E87"/>
    <hyperlink r:id="rId62" ref="E88"/>
    <hyperlink r:id="rId63" ref="E89"/>
    <hyperlink r:id="rId64" ref="E91"/>
    <hyperlink r:id="rId65" ref="E92"/>
    <hyperlink r:id="rId66" ref="E96"/>
    <hyperlink r:id="rId67" ref="E97"/>
    <hyperlink r:id="rId68" ref="E101"/>
    <hyperlink r:id="rId69" ref="E102"/>
    <hyperlink r:id="rId70" ref="E103"/>
    <hyperlink r:id="rId71" ref="E105"/>
    <hyperlink r:id="rId72" ref="E106"/>
    <hyperlink r:id="rId73" ref="E107"/>
    <hyperlink r:id="rId74" ref="E109"/>
    <hyperlink r:id="rId75" ref="E110"/>
    <hyperlink r:id="rId76" ref="E111"/>
    <hyperlink r:id="rId77" ref="E113"/>
    <hyperlink r:id="rId78" ref="E114"/>
    <hyperlink r:id="rId79" ref="E117"/>
    <hyperlink r:id="rId80" ref="E118"/>
    <hyperlink r:id="rId81" ref="E122"/>
    <hyperlink r:id="rId82" ref="E123"/>
    <hyperlink r:id="rId83" ref="E124"/>
    <hyperlink r:id="rId84" ref="E125"/>
    <hyperlink r:id="rId85" ref="E126"/>
    <hyperlink r:id="rId86" ref="E127"/>
    <hyperlink r:id="rId87" ref="E128"/>
    <hyperlink r:id="rId88" ref="E129"/>
    <hyperlink r:id="rId89" ref="E130"/>
    <hyperlink r:id="rId90" ref="E131"/>
    <hyperlink r:id="rId91" ref="E132"/>
    <hyperlink r:id="rId92" ref="E133"/>
  </hyperlinks>
  <printOptions/>
  <pageMargins bottom="0.75" footer="0.0" header="0.0" left="1.25" right="0.25" top="0.75"/>
  <pageSetup paperSize="5" scale="55" orientation="landscape"/>
  <drawing r:id="rId9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showGridLines="0" workbookViewId="0"/>
  </sheetViews>
  <sheetFormatPr customHeight="1" defaultColWidth="12.63" defaultRowHeight="15.0"/>
  <cols>
    <col customWidth="1" min="1" max="1" width="4.88"/>
    <col customWidth="1" min="2" max="2" width="61.63"/>
    <col customWidth="1" min="3" max="3" width="12.75"/>
    <col customWidth="1" min="4" max="4" width="18.63"/>
    <col customWidth="1" min="5" max="5" width="22.13"/>
    <col customWidth="1" min="6" max="6" width="15.63"/>
    <col customWidth="1" min="7" max="8" width="56.88"/>
    <col customWidth="1" min="9" max="10" width="37.63"/>
    <col customWidth="1" min="11" max="11" width="29.75"/>
    <col customWidth="1" min="12" max="14" width="8.13"/>
    <col customWidth="1" min="15" max="15" width="12.63"/>
  </cols>
  <sheetData>
    <row r="1" ht="9.75" customHeight="1">
      <c r="A1" s="130"/>
      <c r="B1" s="131"/>
      <c r="C1" s="132"/>
      <c r="D1" s="132"/>
      <c r="E1" s="132"/>
      <c r="F1" s="132"/>
      <c r="G1" s="6"/>
      <c r="H1" s="6"/>
      <c r="I1" s="6"/>
      <c r="J1" s="6"/>
      <c r="K1" s="131"/>
      <c r="L1" s="131"/>
      <c r="M1" s="131"/>
      <c r="N1" s="131"/>
      <c r="O1" s="6"/>
      <c r="P1" s="6"/>
      <c r="Q1" s="6"/>
      <c r="R1" s="6"/>
      <c r="S1" s="6"/>
      <c r="T1" s="6"/>
      <c r="U1" s="6"/>
      <c r="V1" s="6"/>
      <c r="W1" s="6"/>
      <c r="X1" s="6"/>
      <c r="Y1" s="6"/>
      <c r="Z1" s="6"/>
      <c r="AA1" s="6"/>
      <c r="AB1" s="6"/>
    </row>
    <row r="2" ht="15.75" customHeight="1">
      <c r="A2" s="130"/>
      <c r="B2" s="131"/>
      <c r="C2" s="132"/>
      <c r="D2" s="132"/>
      <c r="E2" s="132"/>
      <c r="F2" s="132"/>
      <c r="G2" s="6"/>
      <c r="H2" s="6"/>
      <c r="I2" s="6"/>
      <c r="J2" s="6"/>
      <c r="K2" s="131"/>
      <c r="L2" s="131"/>
      <c r="M2" s="131"/>
      <c r="N2" s="131"/>
      <c r="O2" s="6"/>
      <c r="P2" s="6"/>
      <c r="Q2" s="6"/>
      <c r="R2" s="6"/>
      <c r="S2" s="6"/>
      <c r="T2" s="6"/>
      <c r="U2" s="6"/>
      <c r="V2" s="6"/>
      <c r="W2" s="6"/>
      <c r="X2" s="6"/>
      <c r="Y2" s="6"/>
      <c r="Z2" s="6"/>
      <c r="AA2" s="6"/>
      <c r="AB2" s="6"/>
    </row>
    <row r="3" ht="15.75" customHeight="1">
      <c r="A3" s="130"/>
      <c r="B3" s="131"/>
      <c r="C3" s="132"/>
      <c r="D3" s="132"/>
      <c r="E3" s="132"/>
      <c r="F3" s="132"/>
      <c r="G3" s="6"/>
      <c r="H3" s="6"/>
      <c r="I3" s="6"/>
      <c r="J3" s="6"/>
      <c r="K3" s="131"/>
      <c r="L3" s="131"/>
      <c r="M3" s="131"/>
      <c r="N3" s="131"/>
      <c r="O3" s="6"/>
      <c r="P3" s="6"/>
      <c r="Q3" s="6"/>
      <c r="R3" s="6"/>
      <c r="S3" s="6"/>
      <c r="T3" s="6"/>
      <c r="U3" s="6"/>
      <c r="V3" s="6"/>
      <c r="W3" s="6"/>
      <c r="X3" s="6"/>
      <c r="Y3" s="6"/>
      <c r="Z3" s="6"/>
      <c r="AA3" s="6"/>
      <c r="AB3" s="6"/>
    </row>
    <row r="4" ht="15.75" customHeight="1">
      <c r="A4" s="130"/>
      <c r="B4" s="131"/>
      <c r="C4" s="132"/>
      <c r="D4" s="132"/>
      <c r="E4" s="132"/>
      <c r="F4" s="132"/>
      <c r="G4" s="6"/>
      <c r="H4" s="6"/>
      <c r="I4" s="6"/>
      <c r="J4" s="6"/>
      <c r="K4" s="131"/>
      <c r="L4" s="131"/>
      <c r="M4" s="131"/>
      <c r="N4" s="131"/>
      <c r="O4" s="6"/>
      <c r="P4" s="6"/>
      <c r="Q4" s="6"/>
      <c r="R4" s="6"/>
      <c r="S4" s="6"/>
      <c r="T4" s="6"/>
      <c r="U4" s="6"/>
      <c r="V4" s="6"/>
      <c r="W4" s="6"/>
      <c r="X4" s="6"/>
      <c r="Y4" s="6"/>
      <c r="Z4" s="6"/>
      <c r="AA4" s="6"/>
      <c r="AB4" s="6"/>
    </row>
    <row r="5" ht="15.75" customHeight="1">
      <c r="A5" s="130"/>
      <c r="B5" s="131"/>
      <c r="C5" s="132"/>
      <c r="D5" s="132"/>
      <c r="E5" s="132"/>
      <c r="F5" s="132"/>
      <c r="G5" s="6"/>
      <c r="H5" s="6"/>
      <c r="I5" s="6"/>
      <c r="J5" s="6"/>
      <c r="K5" s="131"/>
      <c r="L5" s="131"/>
      <c r="M5" s="131"/>
      <c r="N5" s="131"/>
      <c r="O5" s="6"/>
      <c r="P5" s="6"/>
      <c r="Q5" s="6"/>
      <c r="R5" s="6"/>
      <c r="S5" s="6"/>
      <c r="T5" s="6"/>
      <c r="U5" s="6"/>
      <c r="V5" s="6"/>
      <c r="W5" s="6"/>
      <c r="X5" s="6"/>
      <c r="Y5" s="6"/>
      <c r="Z5" s="6"/>
      <c r="AA5" s="6"/>
      <c r="AB5" s="6"/>
    </row>
    <row r="6" ht="15.75" customHeight="1">
      <c r="A6" s="130"/>
      <c r="B6" s="131"/>
      <c r="C6" s="132"/>
      <c r="D6" s="132"/>
      <c r="E6" s="132"/>
      <c r="F6" s="132"/>
      <c r="G6" s="6"/>
      <c r="H6" s="6"/>
      <c r="I6" s="6"/>
      <c r="J6" s="6"/>
      <c r="K6" s="131"/>
      <c r="L6" s="131"/>
      <c r="M6" s="131"/>
      <c r="N6" s="131"/>
      <c r="O6" s="6"/>
      <c r="P6" s="6"/>
      <c r="Q6" s="6"/>
      <c r="R6" s="6"/>
      <c r="S6" s="6"/>
      <c r="T6" s="6"/>
      <c r="U6" s="6"/>
      <c r="V6" s="6"/>
      <c r="W6" s="6"/>
      <c r="X6" s="6"/>
      <c r="Y6" s="6"/>
      <c r="Z6" s="6"/>
      <c r="AA6" s="6"/>
      <c r="AB6" s="6"/>
    </row>
    <row r="7" ht="1.5" customHeight="1">
      <c r="A7" s="130"/>
      <c r="B7" s="7"/>
      <c r="C7" s="133"/>
      <c r="D7" s="133"/>
      <c r="E7" s="134"/>
      <c r="F7" s="133"/>
      <c r="G7" s="6"/>
      <c r="H7" s="6"/>
      <c r="I7" s="6"/>
      <c r="J7" s="6"/>
      <c r="K7" s="131"/>
      <c r="L7" s="131"/>
      <c r="M7" s="131"/>
      <c r="N7" s="131"/>
      <c r="O7" s="6"/>
      <c r="P7" s="6"/>
      <c r="Q7" s="6"/>
      <c r="R7" s="6"/>
      <c r="S7" s="6"/>
      <c r="T7" s="6"/>
      <c r="U7" s="6"/>
      <c r="V7" s="6"/>
      <c r="W7" s="6"/>
      <c r="X7" s="6"/>
      <c r="Y7" s="6"/>
      <c r="Z7" s="6"/>
      <c r="AA7" s="6"/>
      <c r="AB7" s="6"/>
    </row>
    <row r="8" ht="52.5" customHeight="1">
      <c r="A8" s="135" t="s">
        <v>0</v>
      </c>
      <c r="B8" s="135" t="s">
        <v>313</v>
      </c>
      <c r="C8" s="12" t="s">
        <v>2</v>
      </c>
      <c r="D8" s="12" t="s">
        <v>3</v>
      </c>
      <c r="E8" s="12" t="s">
        <v>4</v>
      </c>
      <c r="F8" s="12" t="s">
        <v>5</v>
      </c>
      <c r="G8" s="12" t="s">
        <v>6</v>
      </c>
      <c r="H8" s="12" t="s">
        <v>7</v>
      </c>
      <c r="I8" s="12" t="s">
        <v>8</v>
      </c>
      <c r="J8" s="12" t="s">
        <v>9</v>
      </c>
      <c r="K8" s="136"/>
      <c r="L8" s="136"/>
      <c r="M8" s="136"/>
      <c r="N8" s="136"/>
      <c r="O8" s="136"/>
      <c r="P8" s="136"/>
      <c r="Q8" s="136"/>
      <c r="R8" s="136"/>
      <c r="S8" s="136"/>
      <c r="T8" s="136"/>
      <c r="U8" s="136"/>
      <c r="V8" s="136"/>
      <c r="W8" s="136"/>
      <c r="X8" s="136"/>
      <c r="Y8" s="136"/>
      <c r="Z8" s="136"/>
      <c r="AA8" s="136"/>
      <c r="AB8" s="136"/>
    </row>
    <row r="9">
      <c r="A9" s="137">
        <v>1.0</v>
      </c>
      <c r="B9" s="19" t="s">
        <v>314</v>
      </c>
      <c r="C9" s="111"/>
      <c r="D9" s="111"/>
      <c r="E9" s="138" t="s">
        <v>315</v>
      </c>
      <c r="F9" s="29"/>
      <c r="G9" s="139" t="s">
        <v>316</v>
      </c>
      <c r="H9" s="139" t="s">
        <v>317</v>
      </c>
      <c r="I9" s="140" t="s">
        <v>318</v>
      </c>
      <c r="J9" s="140" t="s">
        <v>319</v>
      </c>
      <c r="K9" s="13"/>
      <c r="L9" s="13"/>
      <c r="M9" s="13"/>
      <c r="N9" s="13"/>
      <c r="O9" s="13"/>
      <c r="P9" s="13"/>
      <c r="Q9" s="13"/>
      <c r="R9" s="13"/>
      <c r="S9" s="13"/>
      <c r="T9" s="13"/>
      <c r="U9" s="13"/>
      <c r="V9" s="13"/>
      <c r="W9" s="13"/>
      <c r="X9" s="13"/>
      <c r="Y9" s="13"/>
      <c r="Z9" s="13"/>
      <c r="AA9" s="13"/>
      <c r="AB9" s="13"/>
    </row>
    <row r="10">
      <c r="A10" s="24"/>
      <c r="B10" s="19" t="s">
        <v>320</v>
      </c>
      <c r="C10" s="111">
        <v>100.0</v>
      </c>
      <c r="D10" s="141">
        <v>100.0</v>
      </c>
      <c r="E10" s="142" t="s">
        <v>321</v>
      </c>
      <c r="F10" s="29">
        <v>100.0</v>
      </c>
      <c r="G10" s="24"/>
      <c r="H10" s="24"/>
      <c r="I10" s="24"/>
      <c r="J10" s="24"/>
      <c r="K10" s="13"/>
      <c r="L10" s="13"/>
      <c r="M10" s="13"/>
      <c r="N10" s="13"/>
      <c r="O10" s="13"/>
      <c r="P10" s="13"/>
      <c r="Q10" s="13"/>
      <c r="R10" s="13"/>
      <c r="S10" s="13"/>
      <c r="T10" s="13"/>
      <c r="U10" s="13"/>
      <c r="V10" s="13"/>
      <c r="W10" s="13"/>
      <c r="X10" s="13"/>
      <c r="Y10" s="13"/>
      <c r="Z10" s="13"/>
      <c r="AA10" s="13"/>
      <c r="AB10" s="13"/>
    </row>
    <row r="11">
      <c r="A11" s="32"/>
      <c r="B11" s="19" t="s">
        <v>322</v>
      </c>
      <c r="C11" s="111">
        <v>0.0</v>
      </c>
      <c r="D11" s="143"/>
      <c r="E11" s="144" t="s">
        <v>323</v>
      </c>
      <c r="F11" s="29"/>
      <c r="G11" s="32"/>
      <c r="H11" s="32"/>
      <c r="I11" s="32"/>
      <c r="J11" s="32"/>
      <c r="K11" s="13"/>
      <c r="L11" s="13"/>
      <c r="M11" s="13"/>
      <c r="N11" s="13"/>
      <c r="O11" s="13"/>
      <c r="P11" s="13"/>
      <c r="Q11" s="13"/>
      <c r="R11" s="13"/>
      <c r="S11" s="13"/>
      <c r="T11" s="13"/>
      <c r="U11" s="13"/>
      <c r="V11" s="13"/>
      <c r="W11" s="13"/>
      <c r="X11" s="13"/>
      <c r="Y11" s="13"/>
      <c r="Z11" s="13"/>
      <c r="AA11" s="13"/>
      <c r="AB11" s="13"/>
    </row>
    <row r="12">
      <c r="A12" s="137">
        <v>2.0</v>
      </c>
      <c r="B12" s="19" t="s">
        <v>324</v>
      </c>
      <c r="C12" s="111"/>
      <c r="D12" s="143"/>
      <c r="E12" s="145" t="s">
        <v>325</v>
      </c>
      <c r="F12" s="111"/>
      <c r="G12" s="86"/>
      <c r="H12" s="139" t="s">
        <v>326</v>
      </c>
      <c r="I12" s="140" t="s">
        <v>327</v>
      </c>
      <c r="J12" s="140" t="s">
        <v>328</v>
      </c>
      <c r="K12" s="146"/>
      <c r="L12" s="146"/>
      <c r="M12" s="146"/>
      <c r="N12" s="146"/>
      <c r="O12" s="146"/>
      <c r="P12" s="146"/>
      <c r="Q12" s="146"/>
      <c r="R12" s="146"/>
      <c r="S12" s="146"/>
      <c r="T12" s="146"/>
      <c r="U12" s="146"/>
      <c r="V12" s="146"/>
      <c r="W12" s="146"/>
      <c r="X12" s="146"/>
      <c r="Y12" s="146"/>
      <c r="Z12" s="146"/>
      <c r="AA12" s="146"/>
      <c r="AB12" s="146"/>
    </row>
    <row r="13">
      <c r="A13" s="24"/>
      <c r="B13" s="19" t="s">
        <v>329</v>
      </c>
      <c r="C13" s="111">
        <v>100.0</v>
      </c>
      <c r="D13" s="147">
        <v>100.0</v>
      </c>
      <c r="E13" s="142" t="s">
        <v>330</v>
      </c>
      <c r="F13" s="111">
        <v>100.0</v>
      </c>
      <c r="G13" s="86" t="s">
        <v>331</v>
      </c>
      <c r="H13" s="24"/>
      <c r="I13" s="24"/>
      <c r="J13" s="24"/>
      <c r="K13" s="146"/>
      <c r="L13" s="146"/>
      <c r="M13" s="146"/>
      <c r="N13" s="146"/>
      <c r="O13" s="146"/>
      <c r="P13" s="146"/>
      <c r="Q13" s="146"/>
      <c r="R13" s="146"/>
      <c r="S13" s="146"/>
      <c r="T13" s="146"/>
      <c r="U13" s="146"/>
      <c r="V13" s="146"/>
      <c r="W13" s="146"/>
      <c r="X13" s="146"/>
      <c r="Y13" s="146"/>
      <c r="Z13" s="146"/>
      <c r="AA13" s="146"/>
      <c r="AB13" s="146"/>
    </row>
    <row r="14">
      <c r="A14" s="32"/>
      <c r="B14" s="19" t="s">
        <v>332</v>
      </c>
      <c r="C14" s="111">
        <v>0.0</v>
      </c>
      <c r="D14" s="143"/>
      <c r="E14" s="144" t="s">
        <v>333</v>
      </c>
      <c r="F14" s="111"/>
      <c r="G14" s="86"/>
      <c r="H14" s="32"/>
      <c r="I14" s="32"/>
      <c r="J14" s="32"/>
      <c r="K14" s="146"/>
      <c r="L14" s="146"/>
      <c r="M14" s="146"/>
      <c r="N14" s="146"/>
      <c r="O14" s="146"/>
      <c r="P14" s="146"/>
      <c r="Q14" s="146"/>
      <c r="R14" s="146"/>
      <c r="S14" s="146"/>
      <c r="T14" s="146"/>
      <c r="U14" s="146"/>
      <c r="V14" s="146"/>
      <c r="W14" s="146"/>
      <c r="X14" s="146"/>
      <c r="Y14" s="146"/>
      <c r="Z14" s="146"/>
      <c r="AA14" s="146"/>
      <c r="AB14" s="146"/>
    </row>
    <row r="15">
      <c r="A15" s="137">
        <v>3.0</v>
      </c>
      <c r="B15" s="19" t="s">
        <v>334</v>
      </c>
      <c r="C15" s="111"/>
      <c r="D15" s="143"/>
      <c r="E15" s="145" t="s">
        <v>335</v>
      </c>
      <c r="F15" s="111"/>
      <c r="G15" s="86"/>
      <c r="H15" s="139" t="s">
        <v>336</v>
      </c>
      <c r="I15" s="140" t="s">
        <v>337</v>
      </c>
      <c r="J15" s="140" t="s">
        <v>338</v>
      </c>
      <c r="K15" s="146"/>
      <c r="L15" s="146"/>
      <c r="M15" s="146"/>
      <c r="N15" s="146"/>
      <c r="O15" s="146"/>
      <c r="P15" s="146"/>
      <c r="Q15" s="146"/>
      <c r="R15" s="146"/>
      <c r="S15" s="146"/>
      <c r="T15" s="146"/>
      <c r="U15" s="146"/>
      <c r="V15" s="146"/>
      <c r="W15" s="146"/>
      <c r="X15" s="146"/>
      <c r="Y15" s="146"/>
      <c r="Z15" s="146"/>
      <c r="AA15" s="146"/>
      <c r="AB15" s="146"/>
    </row>
    <row r="16">
      <c r="A16" s="24"/>
      <c r="B16" s="19" t="s">
        <v>329</v>
      </c>
      <c r="C16" s="111">
        <v>100.0</v>
      </c>
      <c r="D16" s="143">
        <v>100.0</v>
      </c>
      <c r="E16" s="142" t="s">
        <v>339</v>
      </c>
      <c r="F16" s="111"/>
      <c r="G16" s="86"/>
      <c r="H16" s="24"/>
      <c r="I16" s="24"/>
      <c r="J16" s="24"/>
      <c r="K16" s="146"/>
      <c r="L16" s="146"/>
      <c r="M16" s="146"/>
      <c r="N16" s="146"/>
      <c r="O16" s="146"/>
      <c r="P16" s="146"/>
      <c r="Q16" s="146"/>
      <c r="R16" s="146"/>
      <c r="S16" s="146"/>
      <c r="T16" s="146"/>
      <c r="U16" s="146"/>
      <c r="V16" s="146"/>
      <c r="W16" s="146"/>
      <c r="X16" s="146"/>
      <c r="Y16" s="146"/>
      <c r="Z16" s="146"/>
      <c r="AA16" s="146"/>
      <c r="AB16" s="146"/>
    </row>
    <row r="17">
      <c r="A17" s="32"/>
      <c r="B17" s="19" t="s">
        <v>332</v>
      </c>
      <c r="C17" s="111">
        <v>0.0</v>
      </c>
      <c r="D17" s="147"/>
      <c r="E17" s="144" t="s">
        <v>340</v>
      </c>
      <c r="F17" s="111">
        <v>0.0</v>
      </c>
      <c r="G17" s="86" t="s">
        <v>341</v>
      </c>
      <c r="H17" s="32"/>
      <c r="I17" s="32"/>
      <c r="J17" s="32"/>
      <c r="K17" s="146"/>
      <c r="L17" s="146"/>
      <c r="M17" s="146"/>
      <c r="N17" s="146"/>
      <c r="O17" s="146"/>
      <c r="P17" s="146"/>
      <c r="Q17" s="146"/>
      <c r="R17" s="146"/>
      <c r="S17" s="146"/>
      <c r="T17" s="146"/>
      <c r="U17" s="146"/>
      <c r="V17" s="146"/>
      <c r="W17" s="146"/>
      <c r="X17" s="146"/>
      <c r="Y17" s="146"/>
      <c r="Z17" s="146"/>
      <c r="AA17" s="146"/>
      <c r="AB17" s="146"/>
    </row>
    <row r="18">
      <c r="A18" s="137">
        <v>4.0</v>
      </c>
      <c r="B18" s="19" t="s">
        <v>342</v>
      </c>
      <c r="C18" s="111"/>
      <c r="D18" s="143"/>
      <c r="E18" s="145" t="s">
        <v>343</v>
      </c>
      <c r="F18" s="111"/>
      <c r="G18" s="139" t="s">
        <v>344</v>
      </c>
      <c r="H18" s="139" t="s">
        <v>345</v>
      </c>
      <c r="I18" s="140" t="s">
        <v>346</v>
      </c>
      <c r="J18" s="140" t="s">
        <v>347</v>
      </c>
      <c r="K18" s="146"/>
      <c r="L18" s="146"/>
      <c r="M18" s="146"/>
      <c r="N18" s="146"/>
      <c r="O18" s="146"/>
      <c r="P18" s="146"/>
      <c r="Q18" s="146"/>
      <c r="R18" s="146"/>
      <c r="S18" s="146"/>
      <c r="T18" s="146"/>
      <c r="U18" s="146"/>
      <c r="V18" s="146"/>
      <c r="W18" s="146"/>
      <c r="X18" s="146"/>
      <c r="Y18" s="146"/>
      <c r="Z18" s="146"/>
      <c r="AA18" s="146"/>
      <c r="AB18" s="146"/>
    </row>
    <row r="19">
      <c r="A19" s="24"/>
      <c r="B19" s="19" t="s">
        <v>329</v>
      </c>
      <c r="C19" s="111">
        <v>100.0</v>
      </c>
      <c r="D19" s="143">
        <v>100.0</v>
      </c>
      <c r="E19" s="142" t="s">
        <v>348</v>
      </c>
      <c r="F19" s="111"/>
      <c r="G19" s="24"/>
      <c r="H19" s="24"/>
      <c r="I19" s="24"/>
      <c r="J19" s="24"/>
      <c r="K19" s="146"/>
      <c r="L19" s="146"/>
      <c r="M19" s="146"/>
      <c r="N19" s="146"/>
      <c r="O19" s="146"/>
      <c r="P19" s="146"/>
      <c r="Q19" s="146"/>
      <c r="R19" s="146"/>
      <c r="S19" s="146"/>
      <c r="T19" s="146"/>
      <c r="U19" s="146"/>
      <c r="V19" s="146"/>
      <c r="W19" s="146"/>
      <c r="X19" s="146"/>
      <c r="Y19" s="146"/>
      <c r="Z19" s="146"/>
      <c r="AA19" s="146"/>
      <c r="AB19" s="146"/>
    </row>
    <row r="20">
      <c r="A20" s="32"/>
      <c r="B20" s="19" t="s">
        <v>332</v>
      </c>
      <c r="C20" s="111">
        <v>0.0</v>
      </c>
      <c r="D20" s="147"/>
      <c r="E20" s="144" t="s">
        <v>349</v>
      </c>
      <c r="F20" s="111">
        <v>0.0</v>
      </c>
      <c r="G20" s="32"/>
      <c r="H20" s="32"/>
      <c r="I20" s="32"/>
      <c r="J20" s="32"/>
      <c r="K20" s="146"/>
      <c r="L20" s="146"/>
      <c r="M20" s="146"/>
      <c r="N20" s="146"/>
      <c r="O20" s="146"/>
      <c r="P20" s="146"/>
      <c r="Q20" s="146"/>
      <c r="R20" s="146"/>
      <c r="S20" s="146"/>
      <c r="T20" s="146"/>
      <c r="U20" s="146"/>
      <c r="V20" s="146"/>
      <c r="W20" s="146"/>
      <c r="X20" s="146"/>
      <c r="Y20" s="146"/>
      <c r="Z20" s="146"/>
      <c r="AA20" s="146"/>
      <c r="AB20" s="146"/>
    </row>
    <row r="21" ht="15.75" customHeight="1">
      <c r="A21" s="137">
        <v>5.0</v>
      </c>
      <c r="B21" s="148" t="s">
        <v>350</v>
      </c>
      <c r="C21" s="16"/>
      <c r="D21" s="143"/>
      <c r="E21" s="149"/>
      <c r="F21" s="86"/>
      <c r="G21" s="86"/>
      <c r="H21" s="139" t="s">
        <v>351</v>
      </c>
      <c r="I21" s="140" t="s">
        <v>352</v>
      </c>
      <c r="J21" s="140" t="s">
        <v>353</v>
      </c>
      <c r="K21" s="146"/>
      <c r="L21" s="146"/>
      <c r="M21" s="146"/>
      <c r="N21" s="146"/>
      <c r="O21" s="146"/>
      <c r="P21" s="146"/>
      <c r="Q21" s="146"/>
      <c r="R21" s="146"/>
      <c r="S21" s="146"/>
      <c r="T21" s="146"/>
      <c r="U21" s="146"/>
      <c r="V21" s="146"/>
      <c r="W21" s="146"/>
      <c r="X21" s="146"/>
      <c r="Y21" s="146"/>
      <c r="Z21" s="146"/>
      <c r="AA21" s="146"/>
      <c r="AB21" s="146"/>
    </row>
    <row r="22" ht="15.75" customHeight="1">
      <c r="A22" s="24"/>
      <c r="B22" s="19" t="s">
        <v>354</v>
      </c>
      <c r="C22" s="111">
        <v>100.0</v>
      </c>
      <c r="D22" s="147">
        <v>100.0</v>
      </c>
      <c r="E22" s="150"/>
      <c r="F22" s="111"/>
      <c r="G22" s="86"/>
      <c r="H22" s="24"/>
      <c r="I22" s="24"/>
      <c r="J22" s="24"/>
      <c r="K22" s="146"/>
      <c r="L22" s="146"/>
      <c r="M22" s="146"/>
      <c r="N22" s="146"/>
      <c r="O22" s="146"/>
      <c r="P22" s="146"/>
      <c r="Q22" s="146"/>
      <c r="R22" s="146"/>
      <c r="S22" s="146"/>
      <c r="T22" s="146"/>
      <c r="U22" s="146"/>
      <c r="V22" s="146"/>
      <c r="W22" s="146"/>
      <c r="X22" s="146"/>
      <c r="Y22" s="146"/>
      <c r="Z22" s="146"/>
      <c r="AA22" s="146"/>
      <c r="AB22" s="146"/>
    </row>
    <row r="23" ht="15.75" customHeight="1">
      <c r="A23" s="32"/>
      <c r="B23" s="19" t="s">
        <v>355</v>
      </c>
      <c r="C23" s="111">
        <v>0.0</v>
      </c>
      <c r="D23" s="143"/>
      <c r="E23" s="150"/>
      <c r="F23" s="111">
        <v>0.0</v>
      </c>
      <c r="G23" s="86" t="s">
        <v>356</v>
      </c>
      <c r="H23" s="32"/>
      <c r="I23" s="32"/>
      <c r="J23" s="32"/>
      <c r="K23" s="146"/>
      <c r="L23" s="146"/>
      <c r="M23" s="146"/>
      <c r="N23" s="146"/>
      <c r="O23" s="146"/>
      <c r="P23" s="146"/>
      <c r="Q23" s="146"/>
      <c r="R23" s="146"/>
      <c r="S23" s="146"/>
      <c r="T23" s="146"/>
      <c r="U23" s="146"/>
      <c r="V23" s="146"/>
      <c r="W23" s="146"/>
      <c r="X23" s="146"/>
      <c r="Y23" s="146"/>
      <c r="Z23" s="146"/>
      <c r="AA23" s="146"/>
      <c r="AB23" s="146"/>
    </row>
    <row r="24" ht="15.75" customHeight="1">
      <c r="A24" s="137">
        <v>6.0</v>
      </c>
      <c r="B24" s="148" t="s">
        <v>357</v>
      </c>
      <c r="C24" s="16"/>
      <c r="D24" s="143"/>
      <c r="E24" s="151" t="s">
        <v>358</v>
      </c>
      <c r="F24" s="19"/>
      <c r="G24" s="19" t="s">
        <v>359</v>
      </c>
      <c r="H24" s="152" t="s">
        <v>360</v>
      </c>
      <c r="I24" s="140" t="s">
        <v>361</v>
      </c>
      <c r="J24" s="140" t="s">
        <v>362</v>
      </c>
      <c r="K24" s="146"/>
      <c r="L24" s="146"/>
      <c r="M24" s="146"/>
      <c r="N24" s="146"/>
      <c r="O24" s="146"/>
      <c r="P24" s="146"/>
      <c r="Q24" s="146"/>
      <c r="R24" s="146"/>
      <c r="S24" s="146"/>
      <c r="T24" s="146"/>
      <c r="U24" s="146"/>
      <c r="V24" s="146"/>
      <c r="W24" s="146"/>
      <c r="X24" s="146"/>
      <c r="Y24" s="146"/>
      <c r="Z24" s="146"/>
      <c r="AA24" s="146"/>
      <c r="AB24" s="146"/>
    </row>
    <row r="25" ht="21.0" customHeight="1">
      <c r="A25" s="24"/>
      <c r="B25" s="19" t="s">
        <v>363</v>
      </c>
      <c r="C25" s="153">
        <v>100.0</v>
      </c>
      <c r="D25" s="143">
        <v>100.0</v>
      </c>
      <c r="E25" s="150"/>
      <c r="F25" s="153"/>
      <c r="G25" s="19"/>
      <c r="H25" s="24"/>
      <c r="I25" s="24"/>
      <c r="J25" s="24"/>
      <c r="K25" s="146"/>
      <c r="L25" s="146"/>
      <c r="M25" s="146"/>
      <c r="N25" s="146"/>
      <c r="O25" s="146"/>
      <c r="P25" s="146"/>
      <c r="Q25" s="146"/>
      <c r="R25" s="146"/>
      <c r="S25" s="146"/>
      <c r="T25" s="146"/>
      <c r="U25" s="146"/>
      <c r="V25" s="146"/>
      <c r="W25" s="146"/>
      <c r="X25" s="146"/>
      <c r="Y25" s="146"/>
      <c r="Z25" s="146"/>
      <c r="AA25" s="146"/>
      <c r="AB25" s="146"/>
    </row>
    <row r="26" ht="21.0" customHeight="1">
      <c r="A26" s="32"/>
      <c r="B26" s="19" t="s">
        <v>364</v>
      </c>
      <c r="C26" s="153">
        <v>0.0</v>
      </c>
      <c r="D26" s="147"/>
      <c r="E26" s="150"/>
      <c r="F26" s="153"/>
      <c r="G26" s="19"/>
      <c r="H26" s="32"/>
      <c r="I26" s="32"/>
      <c r="J26" s="32"/>
      <c r="K26" s="146"/>
      <c r="L26" s="146"/>
      <c r="M26" s="146"/>
      <c r="N26" s="146"/>
      <c r="O26" s="146"/>
      <c r="P26" s="146"/>
      <c r="Q26" s="146"/>
      <c r="R26" s="146"/>
      <c r="S26" s="146"/>
      <c r="T26" s="146"/>
      <c r="U26" s="146"/>
      <c r="V26" s="146"/>
      <c r="W26" s="146"/>
      <c r="X26" s="146"/>
      <c r="Y26" s="146"/>
      <c r="Z26" s="146"/>
      <c r="AA26" s="146"/>
      <c r="AB26" s="146"/>
    </row>
    <row r="27" ht="15.75" customHeight="1">
      <c r="A27" s="137">
        <v>7.0</v>
      </c>
      <c r="B27" s="148" t="s">
        <v>365</v>
      </c>
      <c r="C27" s="16"/>
      <c r="D27" s="143"/>
      <c r="E27" s="149"/>
      <c r="F27" s="19"/>
      <c r="G27" s="19" t="s">
        <v>359</v>
      </c>
      <c r="H27" s="139" t="s">
        <v>366</v>
      </c>
      <c r="I27" s="154" t="s">
        <v>367</v>
      </c>
      <c r="J27" s="140" t="s">
        <v>368</v>
      </c>
      <c r="K27" s="146"/>
      <c r="L27" s="146"/>
      <c r="M27" s="146"/>
      <c r="N27" s="146"/>
      <c r="O27" s="146"/>
      <c r="P27" s="146"/>
      <c r="Q27" s="146"/>
      <c r="R27" s="146"/>
      <c r="S27" s="146"/>
      <c r="T27" s="146"/>
      <c r="U27" s="146"/>
      <c r="V27" s="146"/>
      <c r="W27" s="146"/>
      <c r="X27" s="146"/>
      <c r="Y27" s="146"/>
      <c r="Z27" s="146"/>
      <c r="AA27" s="146"/>
      <c r="AB27" s="146"/>
    </row>
    <row r="28" ht="15.75" customHeight="1">
      <c r="A28" s="24"/>
      <c r="B28" s="19" t="s">
        <v>363</v>
      </c>
      <c r="C28" s="153">
        <v>100.0</v>
      </c>
      <c r="D28" s="147">
        <v>100.0</v>
      </c>
      <c r="E28" s="145" t="s">
        <v>369</v>
      </c>
      <c r="F28" s="153"/>
      <c r="G28" s="86"/>
      <c r="H28" s="24"/>
      <c r="I28" s="24"/>
      <c r="J28" s="24"/>
      <c r="K28" s="146"/>
      <c r="L28" s="146"/>
      <c r="M28" s="146"/>
      <c r="N28" s="146"/>
      <c r="O28" s="146"/>
      <c r="P28" s="146"/>
      <c r="Q28" s="146"/>
      <c r="R28" s="146"/>
      <c r="S28" s="146"/>
      <c r="T28" s="146"/>
      <c r="U28" s="146"/>
      <c r="V28" s="146"/>
      <c r="W28" s="146"/>
      <c r="X28" s="146"/>
      <c r="Y28" s="146"/>
      <c r="Z28" s="146"/>
      <c r="AA28" s="146"/>
      <c r="AB28" s="146"/>
    </row>
    <row r="29" ht="15.75" customHeight="1">
      <c r="A29" s="32"/>
      <c r="B29" s="19" t="s">
        <v>364</v>
      </c>
      <c r="C29" s="153">
        <v>0.0</v>
      </c>
      <c r="D29" s="143"/>
      <c r="E29" s="150"/>
      <c r="F29" s="153"/>
      <c r="G29" s="86"/>
      <c r="H29" s="32"/>
      <c r="I29" s="32"/>
      <c r="J29" s="32"/>
      <c r="K29" s="146"/>
      <c r="L29" s="146"/>
      <c r="M29" s="146"/>
      <c r="N29" s="146"/>
      <c r="O29" s="146"/>
      <c r="P29" s="146"/>
      <c r="Q29" s="146"/>
      <c r="R29" s="146"/>
      <c r="S29" s="146"/>
      <c r="T29" s="146"/>
      <c r="U29" s="146"/>
      <c r="V29" s="146"/>
      <c r="W29" s="146"/>
      <c r="X29" s="146"/>
      <c r="Y29" s="146"/>
      <c r="Z29" s="146"/>
      <c r="AA29" s="146"/>
      <c r="AB29" s="146"/>
    </row>
    <row r="30" ht="15.75" customHeight="1">
      <c r="A30" s="137">
        <v>8.0</v>
      </c>
      <c r="B30" s="148" t="s">
        <v>370</v>
      </c>
      <c r="C30" s="16"/>
      <c r="D30" s="143"/>
      <c r="E30" s="155" t="s">
        <v>371</v>
      </c>
      <c r="F30" s="156"/>
      <c r="G30" s="86"/>
      <c r="H30" s="157" t="s">
        <v>372</v>
      </c>
      <c r="I30" s="139" t="s">
        <v>373</v>
      </c>
      <c r="J30" s="139" t="s">
        <v>374</v>
      </c>
      <c r="K30" s="146"/>
      <c r="L30" s="146"/>
      <c r="M30" s="146"/>
      <c r="N30" s="146"/>
      <c r="O30" s="146"/>
      <c r="P30" s="146"/>
      <c r="Q30" s="146"/>
      <c r="R30" s="146"/>
      <c r="S30" s="146"/>
      <c r="T30" s="146"/>
      <c r="U30" s="146"/>
      <c r="V30" s="146"/>
      <c r="W30" s="146"/>
      <c r="X30" s="146"/>
      <c r="Y30" s="146"/>
      <c r="Z30" s="146"/>
      <c r="AA30" s="146"/>
      <c r="AB30" s="146"/>
    </row>
    <row r="31" ht="15.75" customHeight="1">
      <c r="A31" s="24"/>
      <c r="B31" s="19" t="s">
        <v>375</v>
      </c>
      <c r="C31" s="111">
        <v>100.0</v>
      </c>
      <c r="D31" s="143">
        <v>100.0</v>
      </c>
      <c r="E31" s="142" t="s">
        <v>376</v>
      </c>
      <c r="F31" s="111">
        <v>100.0</v>
      </c>
      <c r="G31" s="158" t="s">
        <v>377</v>
      </c>
      <c r="H31" s="24"/>
      <c r="I31" s="24"/>
      <c r="J31" s="24"/>
      <c r="K31" s="146"/>
      <c r="L31" s="146"/>
      <c r="M31" s="146"/>
      <c r="N31" s="146"/>
      <c r="O31" s="146"/>
      <c r="P31" s="146"/>
      <c r="Q31" s="146"/>
      <c r="R31" s="146"/>
      <c r="S31" s="146"/>
      <c r="T31" s="146"/>
      <c r="U31" s="146"/>
      <c r="V31" s="146"/>
      <c r="W31" s="146"/>
      <c r="X31" s="146"/>
      <c r="Y31" s="146"/>
      <c r="Z31" s="146"/>
      <c r="AA31" s="146"/>
      <c r="AB31" s="146"/>
    </row>
    <row r="32" ht="15.75" customHeight="1">
      <c r="A32" s="24"/>
      <c r="B32" s="19" t="s">
        <v>378</v>
      </c>
      <c r="C32" s="111">
        <v>0.0</v>
      </c>
      <c r="D32" s="147"/>
      <c r="E32" s="144" t="s">
        <v>379</v>
      </c>
      <c r="F32" s="153"/>
      <c r="G32" s="86"/>
      <c r="H32" s="32"/>
      <c r="I32" s="32"/>
      <c r="J32" s="32"/>
      <c r="K32" s="146"/>
      <c r="L32" s="146"/>
      <c r="M32" s="146"/>
      <c r="N32" s="146"/>
      <c r="O32" s="146"/>
      <c r="P32" s="146"/>
      <c r="Q32" s="146"/>
      <c r="R32" s="146"/>
      <c r="S32" s="146"/>
      <c r="T32" s="146"/>
      <c r="U32" s="146"/>
      <c r="V32" s="146"/>
      <c r="W32" s="146"/>
      <c r="X32" s="146"/>
      <c r="Y32" s="146"/>
      <c r="Z32" s="146"/>
      <c r="AA32" s="146"/>
      <c r="AB32" s="146"/>
    </row>
    <row r="33" ht="21.0" customHeight="1">
      <c r="A33" s="137">
        <v>9.0</v>
      </c>
      <c r="B33" s="148" t="s">
        <v>380</v>
      </c>
      <c r="C33" s="16"/>
      <c r="D33" s="143"/>
      <c r="E33" s="150"/>
      <c r="F33" s="153"/>
      <c r="G33" s="111"/>
      <c r="H33" s="159" t="s">
        <v>381</v>
      </c>
      <c r="I33" s="154" t="s">
        <v>382</v>
      </c>
      <c r="J33" s="154" t="s">
        <v>382</v>
      </c>
      <c r="K33" s="146"/>
      <c r="L33" s="146"/>
      <c r="M33" s="146"/>
      <c r="N33" s="146"/>
      <c r="O33" s="146"/>
      <c r="P33" s="146"/>
      <c r="Q33" s="146"/>
      <c r="R33" s="146"/>
      <c r="S33" s="146"/>
      <c r="T33" s="146"/>
      <c r="U33" s="146"/>
      <c r="V33" s="146"/>
      <c r="W33" s="146"/>
      <c r="X33" s="146"/>
      <c r="Y33" s="146"/>
      <c r="Z33" s="146"/>
      <c r="AA33" s="146"/>
      <c r="AB33" s="146"/>
    </row>
    <row r="34" ht="15.75" customHeight="1">
      <c r="A34" s="160"/>
      <c r="B34" s="19" t="s">
        <v>383</v>
      </c>
      <c r="C34" s="153">
        <v>100.0</v>
      </c>
      <c r="D34" s="143">
        <v>100.0</v>
      </c>
      <c r="E34" s="151" t="s">
        <v>384</v>
      </c>
      <c r="F34" s="153"/>
      <c r="G34" s="111"/>
      <c r="H34" s="24"/>
      <c r="I34" s="24"/>
      <c r="J34" s="24"/>
      <c r="K34" s="146"/>
      <c r="L34" s="146"/>
      <c r="M34" s="146"/>
      <c r="N34" s="146"/>
      <c r="O34" s="146"/>
      <c r="P34" s="146"/>
      <c r="Q34" s="146"/>
      <c r="R34" s="146"/>
      <c r="S34" s="146"/>
      <c r="T34" s="146"/>
      <c r="U34" s="146"/>
      <c r="V34" s="146"/>
      <c r="W34" s="146"/>
      <c r="X34" s="146"/>
      <c r="Y34" s="146"/>
      <c r="Z34" s="146"/>
      <c r="AA34" s="146"/>
      <c r="AB34" s="146"/>
    </row>
    <row r="35" ht="15.75" customHeight="1">
      <c r="A35" s="160"/>
      <c r="B35" s="19" t="s">
        <v>385</v>
      </c>
      <c r="C35" s="153">
        <v>50.0</v>
      </c>
      <c r="D35" s="143"/>
      <c r="E35" s="151" t="s">
        <v>386</v>
      </c>
      <c r="F35" s="19"/>
      <c r="G35" s="111"/>
      <c r="H35" s="24"/>
      <c r="I35" s="24"/>
      <c r="J35" s="24"/>
      <c r="K35" s="146"/>
      <c r="L35" s="146"/>
      <c r="M35" s="146"/>
      <c r="N35" s="146"/>
      <c r="O35" s="146"/>
      <c r="P35" s="146"/>
      <c r="Q35" s="146"/>
      <c r="R35" s="146"/>
      <c r="S35" s="146"/>
      <c r="T35" s="146"/>
      <c r="U35" s="146"/>
      <c r="V35" s="146"/>
      <c r="W35" s="146"/>
      <c r="X35" s="146"/>
      <c r="Y35" s="146"/>
      <c r="Z35" s="146"/>
      <c r="AA35" s="146"/>
      <c r="AB35" s="146"/>
    </row>
    <row r="36" ht="21.0" customHeight="1">
      <c r="A36" s="161"/>
      <c r="B36" s="19" t="s">
        <v>387</v>
      </c>
      <c r="C36" s="153">
        <v>25.0</v>
      </c>
      <c r="D36" s="143"/>
      <c r="E36" s="150"/>
      <c r="F36" s="111"/>
      <c r="G36" s="111"/>
      <c r="H36" s="32"/>
      <c r="I36" s="32"/>
      <c r="J36" s="32"/>
      <c r="K36" s="146"/>
      <c r="L36" s="146"/>
      <c r="M36" s="146"/>
      <c r="N36" s="146"/>
      <c r="O36" s="146"/>
      <c r="P36" s="146"/>
      <c r="Q36" s="146"/>
      <c r="R36" s="146"/>
      <c r="S36" s="146"/>
      <c r="T36" s="146"/>
      <c r="U36" s="146"/>
      <c r="V36" s="146"/>
      <c r="W36" s="146"/>
      <c r="X36" s="146"/>
      <c r="Y36" s="146"/>
      <c r="Z36" s="146"/>
      <c r="AA36" s="146"/>
      <c r="AB36" s="146"/>
    </row>
    <row r="37" ht="15.75" customHeight="1">
      <c r="A37" s="137">
        <v>10.0</v>
      </c>
      <c r="B37" s="148" t="s">
        <v>388</v>
      </c>
      <c r="C37" s="16"/>
      <c r="D37" s="143"/>
      <c r="E37" s="145" t="s">
        <v>389</v>
      </c>
      <c r="F37" s="111"/>
      <c r="G37" s="159" t="s">
        <v>390</v>
      </c>
      <c r="H37" s="159" t="s">
        <v>391</v>
      </c>
      <c r="I37" s="154" t="s">
        <v>392</v>
      </c>
      <c r="J37" s="140" t="s">
        <v>393</v>
      </c>
      <c r="K37" s="146"/>
      <c r="L37" s="146"/>
      <c r="M37" s="146"/>
      <c r="N37" s="146"/>
      <c r="O37" s="146"/>
      <c r="P37" s="146"/>
      <c r="Q37" s="146"/>
      <c r="R37" s="146"/>
      <c r="S37" s="146"/>
      <c r="T37" s="146"/>
      <c r="U37" s="146"/>
      <c r="V37" s="146"/>
      <c r="W37" s="146"/>
      <c r="X37" s="146"/>
      <c r="Y37" s="146"/>
      <c r="Z37" s="146"/>
      <c r="AA37" s="146"/>
      <c r="AB37" s="146"/>
    </row>
    <row r="38" ht="15.75" customHeight="1">
      <c r="A38" s="24"/>
      <c r="B38" s="19" t="s">
        <v>394</v>
      </c>
      <c r="C38" s="111">
        <v>100.0</v>
      </c>
      <c r="D38" s="143">
        <v>100.0</v>
      </c>
      <c r="E38" s="142" t="s">
        <v>395</v>
      </c>
      <c r="F38" s="111"/>
      <c r="G38" s="24"/>
      <c r="H38" s="24"/>
      <c r="I38" s="24"/>
      <c r="J38" s="24"/>
      <c r="K38" s="146"/>
      <c r="L38" s="146"/>
      <c r="M38" s="146"/>
      <c r="N38" s="146"/>
      <c r="O38" s="146"/>
      <c r="P38" s="146"/>
      <c r="Q38" s="146"/>
      <c r="R38" s="146"/>
      <c r="S38" s="146"/>
      <c r="T38" s="146"/>
      <c r="U38" s="146"/>
      <c r="V38" s="146"/>
      <c r="W38" s="146"/>
      <c r="X38" s="146"/>
      <c r="Y38" s="146"/>
      <c r="Z38" s="146"/>
      <c r="AA38" s="146"/>
      <c r="AB38" s="146"/>
    </row>
    <row r="39" ht="15.75" customHeight="1">
      <c r="A39" s="24"/>
      <c r="B39" s="19" t="s">
        <v>396</v>
      </c>
      <c r="C39" s="111">
        <v>50.0</v>
      </c>
      <c r="D39" s="147"/>
      <c r="E39" s="144" t="s">
        <v>397</v>
      </c>
      <c r="F39" s="111">
        <v>50.0</v>
      </c>
      <c r="G39" s="24"/>
      <c r="H39" s="24"/>
      <c r="I39" s="24"/>
      <c r="J39" s="24"/>
      <c r="K39" s="146"/>
      <c r="L39" s="146"/>
      <c r="M39" s="146"/>
      <c r="N39" s="146"/>
      <c r="O39" s="146"/>
      <c r="P39" s="146"/>
      <c r="Q39" s="146"/>
      <c r="R39" s="146"/>
      <c r="S39" s="146"/>
      <c r="T39" s="146"/>
      <c r="U39" s="146"/>
      <c r="V39" s="146"/>
      <c r="W39" s="146"/>
      <c r="X39" s="146"/>
      <c r="Y39" s="146"/>
      <c r="Z39" s="146"/>
      <c r="AA39" s="146"/>
      <c r="AB39" s="146"/>
    </row>
    <row r="40" ht="21.0" customHeight="1">
      <c r="A40" s="24"/>
      <c r="B40" s="19" t="s">
        <v>398</v>
      </c>
      <c r="C40" s="111">
        <v>25.0</v>
      </c>
      <c r="D40" s="143"/>
      <c r="E40" s="149"/>
      <c r="F40" s="19"/>
      <c r="G40" s="24"/>
      <c r="H40" s="24"/>
      <c r="I40" s="24"/>
      <c r="J40" s="24"/>
      <c r="K40" s="162"/>
      <c r="L40" s="162"/>
      <c r="M40" s="162"/>
      <c r="N40" s="162"/>
      <c r="O40" s="162"/>
      <c r="P40" s="162"/>
      <c r="Q40" s="162"/>
      <c r="R40" s="162"/>
      <c r="S40" s="162"/>
      <c r="T40" s="162"/>
      <c r="U40" s="162"/>
      <c r="V40" s="162"/>
      <c r="W40" s="162"/>
      <c r="X40" s="162"/>
      <c r="Y40" s="162"/>
      <c r="Z40" s="162"/>
      <c r="AA40" s="162"/>
      <c r="AB40" s="162"/>
    </row>
    <row r="41" ht="21.0" customHeight="1">
      <c r="A41" s="32"/>
      <c r="B41" s="19" t="s">
        <v>399</v>
      </c>
      <c r="C41" s="111">
        <v>0.0</v>
      </c>
      <c r="D41" s="143"/>
      <c r="E41" s="150"/>
      <c r="F41" s="111"/>
      <c r="G41" s="32"/>
      <c r="H41" s="32"/>
      <c r="I41" s="32"/>
      <c r="J41" s="32"/>
      <c r="K41" s="162"/>
      <c r="L41" s="162"/>
      <c r="M41" s="162"/>
      <c r="N41" s="162"/>
      <c r="O41" s="162"/>
      <c r="P41" s="162"/>
      <c r="Q41" s="162"/>
      <c r="R41" s="162"/>
      <c r="S41" s="162"/>
      <c r="T41" s="162"/>
      <c r="U41" s="162"/>
      <c r="V41" s="162"/>
      <c r="W41" s="162"/>
      <c r="X41" s="162"/>
      <c r="Y41" s="162"/>
      <c r="Z41" s="162"/>
      <c r="AA41" s="162"/>
      <c r="AB41" s="162"/>
    </row>
    <row r="42" ht="21.0" customHeight="1">
      <c r="A42" s="137">
        <v>11.0</v>
      </c>
      <c r="B42" s="163" t="s">
        <v>400</v>
      </c>
      <c r="C42" s="16"/>
      <c r="D42" s="143"/>
      <c r="E42" s="150"/>
      <c r="F42" s="111"/>
      <c r="G42" s="139" t="s">
        <v>401</v>
      </c>
      <c r="H42" s="152" t="s">
        <v>402</v>
      </c>
      <c r="I42" s="154" t="s">
        <v>403</v>
      </c>
      <c r="J42" s="154" t="s">
        <v>404</v>
      </c>
      <c r="K42" s="162"/>
      <c r="L42" s="162"/>
      <c r="M42" s="162"/>
      <c r="N42" s="162"/>
      <c r="O42" s="162"/>
      <c r="P42" s="162"/>
      <c r="Q42" s="162"/>
      <c r="R42" s="162"/>
      <c r="S42" s="162"/>
      <c r="T42" s="162"/>
      <c r="U42" s="162"/>
      <c r="V42" s="162"/>
      <c r="W42" s="162"/>
      <c r="X42" s="162"/>
      <c r="Y42" s="162"/>
      <c r="Z42" s="162"/>
      <c r="AA42" s="162"/>
      <c r="AB42" s="162"/>
    </row>
    <row r="43" ht="15.75" customHeight="1">
      <c r="A43" s="24"/>
      <c r="B43" s="19" t="s">
        <v>405</v>
      </c>
      <c r="C43" s="111">
        <v>100.0</v>
      </c>
      <c r="D43" s="147">
        <v>100.0</v>
      </c>
      <c r="E43" s="151" t="s">
        <v>406</v>
      </c>
      <c r="F43" s="111"/>
      <c r="G43" s="24"/>
      <c r="H43" s="24"/>
      <c r="I43" s="24"/>
      <c r="J43" s="24"/>
      <c r="K43" s="162"/>
      <c r="L43" s="162"/>
      <c r="M43" s="162"/>
      <c r="N43" s="162"/>
      <c r="O43" s="162"/>
      <c r="P43" s="162"/>
      <c r="Q43" s="162"/>
      <c r="R43" s="162"/>
      <c r="S43" s="162"/>
      <c r="T43" s="162"/>
      <c r="U43" s="162"/>
      <c r="V43" s="162"/>
      <c r="W43" s="162"/>
      <c r="X43" s="162"/>
      <c r="Y43" s="162"/>
      <c r="Z43" s="162"/>
      <c r="AA43" s="162"/>
      <c r="AB43" s="162"/>
    </row>
    <row r="44" ht="15.75" customHeight="1">
      <c r="A44" s="24"/>
      <c r="B44" s="19" t="s">
        <v>407</v>
      </c>
      <c r="C44" s="111">
        <v>50.0</v>
      </c>
      <c r="D44" s="143"/>
      <c r="E44" s="151" t="s">
        <v>408</v>
      </c>
      <c r="F44" s="19">
        <v>50.0</v>
      </c>
      <c r="G44" s="24"/>
      <c r="H44" s="24"/>
      <c r="I44" s="24"/>
      <c r="J44" s="24"/>
      <c r="K44" s="146"/>
      <c r="L44" s="146"/>
      <c r="M44" s="146"/>
      <c r="N44" s="146"/>
      <c r="O44" s="146"/>
      <c r="P44" s="146"/>
      <c r="Q44" s="146"/>
      <c r="R44" s="146"/>
      <c r="S44" s="146"/>
      <c r="T44" s="146"/>
      <c r="U44" s="146"/>
      <c r="V44" s="146"/>
      <c r="W44" s="146"/>
      <c r="X44" s="146"/>
      <c r="Y44" s="146"/>
      <c r="Z44" s="146"/>
      <c r="AA44" s="146"/>
      <c r="AB44" s="146"/>
    </row>
    <row r="45" ht="21.0" customHeight="1">
      <c r="A45" s="32"/>
      <c r="B45" s="19" t="s">
        <v>409</v>
      </c>
      <c r="C45" s="111">
        <v>0.0</v>
      </c>
      <c r="D45" s="147"/>
      <c r="E45" s="150"/>
      <c r="F45" s="111"/>
      <c r="G45" s="32"/>
      <c r="H45" s="32"/>
      <c r="I45" s="32"/>
      <c r="J45" s="32"/>
      <c r="K45" s="146"/>
      <c r="L45" s="146"/>
      <c r="M45" s="146"/>
      <c r="N45" s="146"/>
      <c r="O45" s="146"/>
      <c r="P45" s="146"/>
      <c r="Q45" s="146"/>
      <c r="R45" s="146"/>
      <c r="S45" s="146"/>
      <c r="T45" s="146"/>
      <c r="U45" s="146"/>
      <c r="V45" s="146"/>
      <c r="W45" s="146"/>
      <c r="X45" s="146"/>
      <c r="Y45" s="146"/>
      <c r="Z45" s="146"/>
      <c r="AA45" s="146"/>
      <c r="AB45" s="146"/>
    </row>
    <row r="46" ht="15.75" customHeight="1">
      <c r="A46" s="137">
        <v>12.0</v>
      </c>
      <c r="B46" s="148" t="s">
        <v>410</v>
      </c>
      <c r="C46" s="16"/>
      <c r="D46" s="147"/>
      <c r="E46" s="145" t="s">
        <v>411</v>
      </c>
      <c r="F46" s="111"/>
      <c r="G46" s="159" t="s">
        <v>412</v>
      </c>
      <c r="H46" s="159" t="s">
        <v>413</v>
      </c>
      <c r="I46" s="154" t="s">
        <v>414</v>
      </c>
      <c r="J46" s="154" t="s">
        <v>415</v>
      </c>
      <c r="K46" s="146"/>
      <c r="L46" s="146"/>
      <c r="M46" s="146"/>
      <c r="N46" s="146"/>
      <c r="O46" s="146"/>
      <c r="P46" s="146"/>
      <c r="Q46" s="146"/>
      <c r="R46" s="146"/>
      <c r="S46" s="146"/>
      <c r="T46" s="146"/>
      <c r="U46" s="146"/>
      <c r="V46" s="146"/>
      <c r="W46" s="146"/>
      <c r="X46" s="146"/>
      <c r="Y46" s="146"/>
      <c r="Z46" s="146"/>
      <c r="AA46" s="146"/>
      <c r="AB46" s="146"/>
    </row>
    <row r="47" ht="15.75" customHeight="1">
      <c r="A47" s="24"/>
      <c r="B47" s="19" t="s">
        <v>416</v>
      </c>
      <c r="C47" s="111">
        <v>100.0</v>
      </c>
      <c r="D47" s="143"/>
      <c r="E47" s="142" t="s">
        <v>417</v>
      </c>
      <c r="F47" s="111"/>
      <c r="G47" s="24"/>
      <c r="H47" s="24"/>
      <c r="I47" s="24"/>
      <c r="J47" s="24"/>
      <c r="K47" s="146"/>
      <c r="L47" s="146"/>
      <c r="M47" s="146"/>
      <c r="N47" s="146"/>
      <c r="O47" s="146"/>
      <c r="P47" s="146"/>
      <c r="Q47" s="146"/>
      <c r="R47" s="146"/>
      <c r="S47" s="146"/>
      <c r="T47" s="146"/>
      <c r="U47" s="146"/>
      <c r="V47" s="146"/>
      <c r="W47" s="146"/>
      <c r="X47" s="146"/>
      <c r="Y47" s="146"/>
      <c r="Z47" s="146"/>
      <c r="AA47" s="146"/>
      <c r="AB47" s="146"/>
    </row>
    <row r="48" ht="15.75" customHeight="1">
      <c r="A48" s="24"/>
      <c r="B48" s="19" t="s">
        <v>418</v>
      </c>
      <c r="C48" s="111">
        <v>50.0</v>
      </c>
      <c r="D48" s="143">
        <v>50.0</v>
      </c>
      <c r="E48" s="144" t="s">
        <v>419</v>
      </c>
      <c r="F48" s="19"/>
      <c r="G48" s="24"/>
      <c r="H48" s="24"/>
      <c r="I48" s="24"/>
      <c r="J48" s="24"/>
      <c r="K48" s="146"/>
      <c r="L48" s="146"/>
      <c r="M48" s="146"/>
      <c r="N48" s="146"/>
      <c r="O48" s="146"/>
      <c r="P48" s="146"/>
      <c r="Q48" s="146"/>
      <c r="R48" s="146"/>
      <c r="S48" s="146"/>
      <c r="T48" s="146"/>
      <c r="U48" s="146"/>
      <c r="V48" s="146"/>
      <c r="W48" s="146"/>
      <c r="X48" s="146"/>
      <c r="Y48" s="146"/>
      <c r="Z48" s="146"/>
      <c r="AA48" s="146"/>
      <c r="AB48" s="146"/>
    </row>
    <row r="49" ht="39.0" customHeight="1">
      <c r="A49" s="24"/>
      <c r="B49" s="19" t="s">
        <v>420</v>
      </c>
      <c r="C49" s="111">
        <v>0.0</v>
      </c>
      <c r="D49" s="143"/>
      <c r="E49" s="150"/>
      <c r="F49" s="111"/>
      <c r="G49" s="24"/>
      <c r="H49" s="24"/>
      <c r="I49" s="32"/>
      <c r="J49" s="24"/>
      <c r="K49" s="146"/>
      <c r="L49" s="146"/>
      <c r="M49" s="146"/>
      <c r="N49" s="146"/>
      <c r="O49" s="146"/>
      <c r="P49" s="146"/>
      <c r="Q49" s="146"/>
      <c r="R49" s="146"/>
      <c r="S49" s="146"/>
      <c r="T49" s="146"/>
      <c r="U49" s="146"/>
      <c r="V49" s="146"/>
      <c r="W49" s="146"/>
      <c r="X49" s="146"/>
      <c r="Y49" s="146"/>
      <c r="Z49" s="146"/>
      <c r="AA49" s="146"/>
      <c r="AB49" s="146"/>
    </row>
    <row r="50" ht="21.0" customHeight="1">
      <c r="A50" s="137">
        <v>13.0</v>
      </c>
      <c r="B50" s="148" t="s">
        <v>421</v>
      </c>
      <c r="C50" s="16"/>
      <c r="D50" s="147"/>
      <c r="E50" s="150"/>
      <c r="F50" s="111"/>
      <c r="G50" s="51"/>
      <c r="H50" s="164" t="s">
        <v>422</v>
      </c>
      <c r="I50" s="154" t="s">
        <v>423</v>
      </c>
      <c r="J50" s="154" t="s">
        <v>424</v>
      </c>
      <c r="K50" s="146"/>
      <c r="L50" s="146"/>
      <c r="M50" s="146"/>
      <c r="N50" s="146"/>
      <c r="O50" s="146"/>
      <c r="P50" s="146"/>
      <c r="Q50" s="146"/>
      <c r="R50" s="146"/>
      <c r="S50" s="146"/>
      <c r="T50" s="146"/>
      <c r="U50" s="146"/>
      <c r="V50" s="146"/>
      <c r="W50" s="146"/>
      <c r="X50" s="146"/>
      <c r="Y50" s="146"/>
      <c r="Z50" s="146"/>
      <c r="AA50" s="146"/>
      <c r="AB50" s="146"/>
    </row>
    <row r="51" ht="21.0" customHeight="1">
      <c r="A51" s="24"/>
      <c r="B51" s="19" t="s">
        <v>425</v>
      </c>
      <c r="C51" s="111">
        <v>100.0</v>
      </c>
      <c r="D51" s="143">
        <v>100.0</v>
      </c>
      <c r="E51" s="165"/>
      <c r="F51" s="111"/>
      <c r="G51" s="51"/>
      <c r="H51" s="24"/>
      <c r="I51" s="24"/>
      <c r="J51" s="24"/>
      <c r="K51" s="146"/>
      <c r="L51" s="146"/>
      <c r="M51" s="146"/>
      <c r="N51" s="146"/>
      <c r="O51" s="146"/>
      <c r="P51" s="146"/>
      <c r="Q51" s="146"/>
      <c r="R51" s="146"/>
      <c r="S51" s="146"/>
      <c r="T51" s="146"/>
      <c r="U51" s="146"/>
      <c r="V51" s="146"/>
      <c r="W51" s="146"/>
      <c r="X51" s="146"/>
      <c r="Y51" s="146"/>
      <c r="Z51" s="146"/>
      <c r="AA51" s="146"/>
      <c r="AB51" s="146"/>
    </row>
    <row r="52" ht="15.75" customHeight="1">
      <c r="A52" s="24"/>
      <c r="B52" s="19" t="s">
        <v>426</v>
      </c>
      <c r="C52" s="111">
        <v>50.0</v>
      </c>
      <c r="D52" s="143"/>
      <c r="E52" s="144" t="s">
        <v>427</v>
      </c>
      <c r="F52" s="86"/>
      <c r="G52" s="51"/>
      <c r="H52" s="24"/>
      <c r="I52" s="24"/>
      <c r="J52" s="24"/>
      <c r="K52" s="146"/>
      <c r="L52" s="146"/>
      <c r="M52" s="146"/>
      <c r="N52" s="146"/>
      <c r="O52" s="146"/>
      <c r="P52" s="146"/>
      <c r="Q52" s="146"/>
      <c r="R52" s="146"/>
      <c r="S52" s="146"/>
      <c r="T52" s="146"/>
      <c r="U52" s="146"/>
      <c r="V52" s="146"/>
      <c r="W52" s="146"/>
      <c r="X52" s="146"/>
      <c r="Y52" s="146"/>
      <c r="Z52" s="146"/>
      <c r="AA52" s="146"/>
      <c r="AB52" s="146"/>
    </row>
    <row r="53" ht="21.0" customHeight="1">
      <c r="A53" s="32"/>
      <c r="B53" s="19" t="s">
        <v>420</v>
      </c>
      <c r="C53" s="111">
        <v>0.0</v>
      </c>
      <c r="D53" s="147"/>
      <c r="E53" s="150"/>
      <c r="F53" s="111"/>
      <c r="G53" s="51"/>
      <c r="H53" s="32"/>
      <c r="I53" s="32"/>
      <c r="J53" s="32"/>
      <c r="K53" s="146"/>
      <c r="L53" s="146"/>
      <c r="M53" s="146"/>
      <c r="N53" s="146"/>
      <c r="O53" s="146"/>
      <c r="P53" s="146"/>
      <c r="Q53" s="146"/>
      <c r="R53" s="146"/>
      <c r="S53" s="146"/>
      <c r="T53" s="146"/>
      <c r="U53" s="146"/>
      <c r="V53" s="146"/>
      <c r="W53" s="146"/>
      <c r="X53" s="146"/>
      <c r="Y53" s="146"/>
      <c r="Z53" s="146"/>
      <c r="AA53" s="146"/>
      <c r="AB53" s="146"/>
    </row>
    <row r="54" ht="21.0" customHeight="1">
      <c r="A54" s="166"/>
      <c r="B54" s="19" t="s">
        <v>428</v>
      </c>
      <c r="C54" s="153">
        <v>0.0</v>
      </c>
      <c r="D54" s="143"/>
      <c r="E54" s="150"/>
      <c r="F54" s="111"/>
      <c r="G54" s="166"/>
      <c r="H54" s="166"/>
      <c r="I54" s="167"/>
      <c r="J54" s="167"/>
      <c r="K54" s="146"/>
      <c r="L54" s="146"/>
      <c r="M54" s="146"/>
      <c r="N54" s="146"/>
      <c r="O54" s="146"/>
      <c r="P54" s="146"/>
      <c r="Q54" s="146"/>
      <c r="R54" s="146"/>
      <c r="S54" s="146"/>
      <c r="T54" s="146"/>
      <c r="U54" s="146"/>
      <c r="V54" s="146"/>
      <c r="W54" s="146"/>
      <c r="X54" s="146"/>
      <c r="Y54" s="146"/>
      <c r="Z54" s="146"/>
      <c r="AA54" s="146"/>
      <c r="AB54" s="146"/>
    </row>
    <row r="55" ht="15.75" customHeight="1">
      <c r="A55" s="137">
        <v>14.0</v>
      </c>
      <c r="B55" s="148" t="s">
        <v>429</v>
      </c>
      <c r="C55" s="16"/>
      <c r="D55" s="147"/>
      <c r="E55" s="142" t="s">
        <v>430</v>
      </c>
      <c r="F55" s="111"/>
      <c r="G55" s="86"/>
      <c r="H55" s="157" t="s">
        <v>431</v>
      </c>
      <c r="I55" s="140" t="s">
        <v>373</v>
      </c>
      <c r="J55" s="140" t="s">
        <v>432</v>
      </c>
      <c r="K55" s="146"/>
      <c r="L55" s="146"/>
      <c r="M55" s="146"/>
      <c r="N55" s="146"/>
      <c r="O55" s="146"/>
      <c r="P55" s="146"/>
      <c r="Q55" s="146"/>
      <c r="R55" s="146"/>
      <c r="S55" s="146"/>
      <c r="T55" s="146"/>
      <c r="U55" s="146"/>
      <c r="V55" s="146"/>
      <c r="W55" s="146"/>
      <c r="X55" s="146"/>
      <c r="Y55" s="146"/>
      <c r="Z55" s="146"/>
      <c r="AA55" s="146"/>
      <c r="AB55" s="146"/>
    </row>
    <row r="56" ht="15.75" customHeight="1">
      <c r="A56" s="24"/>
      <c r="B56" s="19" t="s">
        <v>433</v>
      </c>
      <c r="C56" s="111">
        <v>100.0</v>
      </c>
      <c r="D56" s="143">
        <v>100.0</v>
      </c>
      <c r="E56" s="144" t="s">
        <v>434</v>
      </c>
      <c r="F56" s="111">
        <v>100.0</v>
      </c>
      <c r="G56" s="158" t="s">
        <v>377</v>
      </c>
      <c r="H56" s="24"/>
      <c r="I56" s="24"/>
      <c r="J56" s="24"/>
      <c r="K56" s="146"/>
      <c r="L56" s="146"/>
      <c r="M56" s="146"/>
      <c r="N56" s="146"/>
      <c r="O56" s="146"/>
      <c r="P56" s="146"/>
      <c r="Q56" s="146"/>
      <c r="R56" s="146"/>
      <c r="S56" s="146"/>
      <c r="T56" s="146"/>
      <c r="U56" s="146"/>
      <c r="V56" s="146"/>
      <c r="W56" s="146"/>
      <c r="X56" s="146"/>
      <c r="Y56" s="146"/>
      <c r="Z56" s="146"/>
      <c r="AA56" s="146"/>
      <c r="AB56" s="146"/>
    </row>
    <row r="57" ht="56.25" customHeight="1">
      <c r="A57" s="24"/>
      <c r="B57" s="19" t="s">
        <v>435</v>
      </c>
      <c r="C57" s="111">
        <v>50.0</v>
      </c>
      <c r="D57" s="143"/>
      <c r="E57" s="149"/>
      <c r="F57" s="19"/>
      <c r="G57" s="86"/>
      <c r="H57" s="32"/>
      <c r="I57" s="32"/>
      <c r="J57" s="32"/>
      <c r="K57" s="146"/>
      <c r="L57" s="146"/>
      <c r="M57" s="146"/>
      <c r="N57" s="146"/>
      <c r="O57" s="146"/>
      <c r="P57" s="146"/>
      <c r="Q57" s="146"/>
      <c r="R57" s="146"/>
      <c r="S57" s="146"/>
      <c r="T57" s="146"/>
      <c r="U57" s="146"/>
      <c r="V57" s="146"/>
      <c r="W57" s="146"/>
      <c r="X57" s="146"/>
      <c r="Y57" s="146"/>
      <c r="Z57" s="146"/>
      <c r="AA57" s="146"/>
      <c r="AB57" s="146"/>
    </row>
    <row r="58" ht="21.0" customHeight="1">
      <c r="A58" s="168"/>
      <c r="B58" s="19" t="s">
        <v>436</v>
      </c>
      <c r="C58" s="111">
        <v>0.0</v>
      </c>
      <c r="D58" s="147"/>
      <c r="E58" s="150"/>
      <c r="F58" s="111"/>
      <c r="G58" s="86"/>
      <c r="H58" s="86"/>
      <c r="I58" s="158"/>
      <c r="J58" s="158"/>
      <c r="K58" s="146"/>
      <c r="L58" s="146"/>
      <c r="M58" s="146"/>
      <c r="N58" s="146"/>
      <c r="O58" s="146"/>
      <c r="P58" s="146"/>
      <c r="Q58" s="146"/>
      <c r="R58" s="146"/>
      <c r="S58" s="146"/>
      <c r="T58" s="146"/>
      <c r="U58" s="146"/>
      <c r="V58" s="146"/>
      <c r="W58" s="146"/>
      <c r="X58" s="146"/>
      <c r="Y58" s="146"/>
      <c r="Z58" s="146"/>
      <c r="AA58" s="146"/>
      <c r="AB58" s="146"/>
    </row>
    <row r="59" ht="15.75" customHeight="1">
      <c r="A59" s="137">
        <v>15.0</v>
      </c>
      <c r="B59" s="148" t="s">
        <v>437</v>
      </c>
      <c r="C59" s="16"/>
      <c r="D59" s="143"/>
      <c r="E59" s="145" t="s">
        <v>438</v>
      </c>
      <c r="F59" s="111"/>
      <c r="G59" s="86"/>
      <c r="H59" s="139" t="s">
        <v>439</v>
      </c>
      <c r="I59" s="140" t="s">
        <v>440</v>
      </c>
      <c r="J59" s="140" t="s">
        <v>441</v>
      </c>
      <c r="K59" s="146"/>
      <c r="L59" s="146"/>
      <c r="M59" s="146"/>
      <c r="N59" s="146"/>
      <c r="O59" s="146"/>
      <c r="P59" s="146"/>
      <c r="Q59" s="146"/>
      <c r="R59" s="146"/>
      <c r="S59" s="146"/>
      <c r="T59" s="146"/>
      <c r="U59" s="146"/>
      <c r="V59" s="146"/>
      <c r="W59" s="146"/>
      <c r="X59" s="146"/>
      <c r="Y59" s="146"/>
      <c r="Z59" s="146"/>
      <c r="AA59" s="146"/>
      <c r="AB59" s="146"/>
    </row>
    <row r="60" ht="15.75" customHeight="1">
      <c r="A60" s="24"/>
      <c r="B60" s="19" t="s">
        <v>442</v>
      </c>
      <c r="C60" s="153">
        <v>100.0</v>
      </c>
      <c r="D60" s="143">
        <v>100.0</v>
      </c>
      <c r="E60" s="145" t="s">
        <v>443</v>
      </c>
      <c r="F60" s="111">
        <v>100.0</v>
      </c>
      <c r="G60" s="158" t="s">
        <v>377</v>
      </c>
      <c r="H60" s="24"/>
      <c r="I60" s="24"/>
      <c r="J60" s="24"/>
      <c r="K60" s="146"/>
      <c r="L60" s="146"/>
      <c r="M60" s="146"/>
      <c r="N60" s="146"/>
      <c r="O60" s="146"/>
      <c r="P60" s="146"/>
      <c r="Q60" s="146"/>
      <c r="R60" s="146"/>
      <c r="S60" s="146"/>
      <c r="T60" s="146"/>
      <c r="U60" s="146"/>
      <c r="V60" s="146"/>
      <c r="W60" s="146"/>
      <c r="X60" s="146"/>
      <c r="Y60" s="146"/>
      <c r="Z60" s="146"/>
      <c r="AA60" s="146"/>
      <c r="AB60" s="146"/>
    </row>
    <row r="61" ht="27.0" customHeight="1">
      <c r="A61" s="24"/>
      <c r="B61" s="19" t="s">
        <v>444</v>
      </c>
      <c r="C61" s="153">
        <v>50.0</v>
      </c>
      <c r="D61" s="143"/>
      <c r="E61" s="149"/>
      <c r="F61" s="86"/>
      <c r="G61" s="86"/>
      <c r="H61" s="24"/>
      <c r="I61" s="24"/>
      <c r="J61" s="24"/>
      <c r="K61" s="146"/>
      <c r="L61" s="146"/>
      <c r="M61" s="146"/>
      <c r="N61" s="146"/>
      <c r="O61" s="146"/>
      <c r="P61" s="146"/>
      <c r="Q61" s="146"/>
      <c r="R61" s="146"/>
      <c r="S61" s="146"/>
      <c r="T61" s="146"/>
      <c r="U61" s="146"/>
      <c r="V61" s="146"/>
      <c r="W61" s="146"/>
      <c r="X61" s="146"/>
      <c r="Y61" s="146"/>
      <c r="Z61" s="146"/>
      <c r="AA61" s="146"/>
      <c r="AB61" s="146"/>
    </row>
    <row r="62" ht="21.0" customHeight="1">
      <c r="A62" s="32"/>
      <c r="B62" s="19" t="s">
        <v>420</v>
      </c>
      <c r="C62" s="153">
        <v>0.0</v>
      </c>
      <c r="D62" s="147"/>
      <c r="E62" s="150"/>
      <c r="F62" s="111"/>
      <c r="G62" s="86"/>
      <c r="H62" s="32"/>
      <c r="I62" s="32"/>
      <c r="J62" s="32"/>
      <c r="K62" s="146"/>
      <c r="L62" s="146"/>
      <c r="M62" s="146"/>
      <c r="N62" s="146"/>
      <c r="O62" s="146"/>
      <c r="P62" s="146"/>
      <c r="Q62" s="146"/>
      <c r="R62" s="146"/>
      <c r="S62" s="146"/>
      <c r="T62" s="146"/>
      <c r="U62" s="146"/>
      <c r="V62" s="146"/>
      <c r="W62" s="146"/>
      <c r="X62" s="146"/>
      <c r="Y62" s="146"/>
      <c r="Z62" s="146"/>
      <c r="AA62" s="146"/>
      <c r="AB62" s="146"/>
    </row>
    <row r="63" ht="15.75" customHeight="1">
      <c r="A63" s="137">
        <v>16.0</v>
      </c>
      <c r="B63" s="148" t="s">
        <v>445</v>
      </c>
      <c r="C63" s="16"/>
      <c r="D63" s="143"/>
      <c r="E63" s="145" t="s">
        <v>446</v>
      </c>
      <c r="F63" s="111"/>
      <c r="G63" s="139" t="s">
        <v>447</v>
      </c>
      <c r="H63" s="139" t="s">
        <v>448</v>
      </c>
      <c r="I63" s="140" t="s">
        <v>440</v>
      </c>
      <c r="J63" s="140" t="s">
        <v>449</v>
      </c>
      <c r="K63" s="146"/>
      <c r="L63" s="146"/>
      <c r="M63" s="146"/>
      <c r="N63" s="146"/>
      <c r="O63" s="146"/>
      <c r="P63" s="146"/>
      <c r="Q63" s="146"/>
      <c r="R63" s="146"/>
      <c r="S63" s="146"/>
      <c r="T63" s="146"/>
      <c r="U63" s="146"/>
      <c r="V63" s="146"/>
      <c r="W63" s="146"/>
      <c r="X63" s="146"/>
      <c r="Y63" s="146"/>
      <c r="Z63" s="146"/>
      <c r="AA63" s="146"/>
      <c r="AB63" s="146"/>
    </row>
    <row r="64" ht="45.75" customHeight="1">
      <c r="A64" s="24"/>
      <c r="B64" s="19" t="s">
        <v>450</v>
      </c>
      <c r="C64" s="153">
        <v>100.0</v>
      </c>
      <c r="D64" s="147">
        <v>100.0</v>
      </c>
      <c r="E64" s="142" t="s">
        <v>451</v>
      </c>
      <c r="F64" s="111">
        <v>100.0</v>
      </c>
      <c r="G64" s="24"/>
      <c r="H64" s="24"/>
      <c r="I64" s="24"/>
      <c r="J64" s="24"/>
      <c r="K64" s="146"/>
      <c r="L64" s="146"/>
      <c r="M64" s="146"/>
      <c r="N64" s="146"/>
      <c r="O64" s="146"/>
      <c r="P64" s="146"/>
      <c r="Q64" s="146"/>
      <c r="R64" s="146"/>
      <c r="S64" s="146"/>
      <c r="T64" s="146"/>
      <c r="U64" s="146"/>
      <c r="V64" s="146"/>
      <c r="W64" s="146"/>
      <c r="X64" s="146"/>
      <c r="Y64" s="146"/>
      <c r="Z64" s="146"/>
      <c r="AA64" s="146"/>
      <c r="AB64" s="146"/>
    </row>
    <row r="65" ht="15.75" customHeight="1">
      <c r="A65" s="24"/>
      <c r="B65" s="19" t="s">
        <v>452</v>
      </c>
      <c r="C65" s="153">
        <v>50.0</v>
      </c>
      <c r="D65" s="143"/>
      <c r="E65" s="144" t="s">
        <v>453</v>
      </c>
      <c r="F65" s="19"/>
      <c r="G65" s="24"/>
      <c r="H65" s="24"/>
      <c r="I65" s="24"/>
      <c r="J65" s="24"/>
      <c r="K65" s="146"/>
      <c r="L65" s="146"/>
      <c r="M65" s="146"/>
      <c r="N65" s="146"/>
      <c r="O65" s="146"/>
      <c r="P65" s="146"/>
      <c r="Q65" s="146"/>
      <c r="R65" s="146"/>
      <c r="S65" s="146"/>
      <c r="T65" s="146"/>
      <c r="U65" s="146"/>
      <c r="V65" s="146"/>
      <c r="W65" s="146"/>
      <c r="X65" s="146"/>
      <c r="Y65" s="146"/>
      <c r="Z65" s="146"/>
      <c r="AA65" s="146"/>
      <c r="AB65" s="146"/>
    </row>
    <row r="66" ht="21.0" customHeight="1">
      <c r="A66" s="24"/>
      <c r="B66" s="19" t="s">
        <v>454</v>
      </c>
      <c r="C66" s="153">
        <v>25.0</v>
      </c>
      <c r="D66" s="143"/>
      <c r="E66" s="150"/>
      <c r="F66" s="153"/>
      <c r="G66" s="24"/>
      <c r="H66" s="24"/>
      <c r="I66" s="24"/>
      <c r="J66" s="24"/>
      <c r="K66" s="146"/>
      <c r="L66" s="146"/>
      <c r="M66" s="146"/>
      <c r="N66" s="146"/>
      <c r="O66" s="146"/>
      <c r="P66" s="146"/>
      <c r="Q66" s="146"/>
      <c r="R66" s="146"/>
      <c r="S66" s="146"/>
      <c r="T66" s="146"/>
      <c r="U66" s="146"/>
      <c r="V66" s="146"/>
      <c r="W66" s="146"/>
      <c r="X66" s="146"/>
      <c r="Y66" s="146"/>
      <c r="Z66" s="146"/>
      <c r="AA66" s="146"/>
      <c r="AB66" s="146"/>
    </row>
    <row r="67" ht="21.0" customHeight="1">
      <c r="A67" s="32"/>
      <c r="B67" s="19" t="s">
        <v>455</v>
      </c>
      <c r="C67" s="153">
        <v>0.0</v>
      </c>
      <c r="D67" s="147"/>
      <c r="E67" s="150"/>
      <c r="F67" s="153"/>
      <c r="G67" s="32"/>
      <c r="H67" s="32"/>
      <c r="I67" s="32"/>
      <c r="J67" s="32"/>
      <c r="K67" s="146"/>
      <c r="L67" s="146"/>
      <c r="M67" s="146"/>
      <c r="N67" s="146"/>
      <c r="O67" s="146"/>
      <c r="P67" s="146"/>
      <c r="Q67" s="146"/>
      <c r="R67" s="146"/>
      <c r="S67" s="146"/>
      <c r="T67" s="146"/>
      <c r="U67" s="146"/>
      <c r="V67" s="146"/>
      <c r="W67" s="146"/>
      <c r="X67" s="146"/>
      <c r="Y67" s="146"/>
      <c r="Z67" s="146"/>
      <c r="AA67" s="146"/>
      <c r="AB67" s="146"/>
    </row>
    <row r="68" ht="15.75" customHeight="1">
      <c r="A68" s="168">
        <v>17.0</v>
      </c>
      <c r="B68" s="19" t="s">
        <v>456</v>
      </c>
      <c r="C68" s="153"/>
      <c r="D68" s="143"/>
      <c r="E68" s="145" t="s">
        <v>457</v>
      </c>
      <c r="F68" s="153"/>
      <c r="G68" s="86"/>
      <c r="H68" s="139" t="s">
        <v>458</v>
      </c>
      <c r="I68" s="159" t="s">
        <v>459</v>
      </c>
      <c r="J68" s="159" t="s">
        <v>460</v>
      </c>
      <c r="K68" s="146"/>
      <c r="L68" s="146"/>
      <c r="M68" s="146"/>
      <c r="N68" s="146"/>
      <c r="O68" s="146"/>
      <c r="P68" s="146"/>
      <c r="Q68" s="146"/>
      <c r="R68" s="146"/>
      <c r="S68" s="146"/>
      <c r="T68" s="146"/>
      <c r="U68" s="146"/>
      <c r="V68" s="146"/>
      <c r="W68" s="146"/>
      <c r="X68" s="146"/>
      <c r="Y68" s="146"/>
      <c r="Z68" s="146"/>
      <c r="AA68" s="146"/>
      <c r="AB68" s="146"/>
    </row>
    <row r="69" ht="15.75" customHeight="1">
      <c r="A69" s="168"/>
      <c r="B69" s="19" t="s">
        <v>461</v>
      </c>
      <c r="C69" s="153">
        <v>100.0</v>
      </c>
      <c r="D69" s="143">
        <v>100.0</v>
      </c>
      <c r="E69" s="142" t="s">
        <v>462</v>
      </c>
      <c r="F69" s="111">
        <v>100.0</v>
      </c>
      <c r="G69" s="158" t="s">
        <v>377</v>
      </c>
      <c r="H69" s="24"/>
      <c r="I69" s="24"/>
      <c r="J69" s="24"/>
      <c r="K69" s="146"/>
      <c r="L69" s="146"/>
      <c r="M69" s="146"/>
      <c r="N69" s="146"/>
      <c r="O69" s="146"/>
      <c r="P69" s="146"/>
      <c r="Q69" s="146"/>
      <c r="R69" s="146"/>
      <c r="S69" s="146"/>
      <c r="T69" s="146"/>
      <c r="U69" s="146"/>
      <c r="V69" s="146"/>
      <c r="W69" s="146"/>
      <c r="X69" s="146"/>
      <c r="Y69" s="146"/>
      <c r="Z69" s="146"/>
      <c r="AA69" s="146"/>
      <c r="AB69" s="146"/>
    </row>
    <row r="70" ht="15.75" customHeight="1">
      <c r="A70" s="168"/>
      <c r="B70" s="19" t="s">
        <v>463</v>
      </c>
      <c r="C70" s="153">
        <v>50.0</v>
      </c>
      <c r="D70" s="147"/>
      <c r="E70" s="144" t="s">
        <v>464</v>
      </c>
      <c r="F70" s="153"/>
      <c r="G70" s="86"/>
      <c r="H70" s="24"/>
      <c r="I70" s="24"/>
      <c r="J70" s="24"/>
      <c r="K70" s="146"/>
      <c r="L70" s="146"/>
      <c r="M70" s="146"/>
      <c r="N70" s="146"/>
      <c r="O70" s="146"/>
      <c r="P70" s="146"/>
      <c r="Q70" s="146"/>
      <c r="R70" s="146"/>
      <c r="S70" s="146"/>
      <c r="T70" s="146"/>
      <c r="U70" s="146"/>
      <c r="V70" s="146"/>
      <c r="W70" s="146"/>
      <c r="X70" s="146"/>
      <c r="Y70" s="146"/>
      <c r="Z70" s="146"/>
      <c r="AA70" s="146"/>
      <c r="AB70" s="146"/>
    </row>
    <row r="71" ht="42.75" customHeight="1">
      <c r="A71" s="168"/>
      <c r="B71" s="19" t="s">
        <v>465</v>
      </c>
      <c r="C71" s="153">
        <v>0.0</v>
      </c>
      <c r="D71" s="147"/>
      <c r="E71" s="150"/>
      <c r="F71" s="153"/>
      <c r="G71" s="86"/>
      <c r="H71" s="32"/>
      <c r="I71" s="32"/>
      <c r="J71" s="32"/>
      <c r="K71" s="146"/>
      <c r="L71" s="146"/>
      <c r="M71" s="146"/>
      <c r="N71" s="146"/>
      <c r="O71" s="146"/>
      <c r="P71" s="146"/>
      <c r="Q71" s="146"/>
      <c r="R71" s="146"/>
      <c r="S71" s="146"/>
      <c r="T71" s="146"/>
      <c r="U71" s="146"/>
      <c r="V71" s="146"/>
      <c r="W71" s="146"/>
      <c r="X71" s="146"/>
      <c r="Y71" s="146"/>
      <c r="Z71" s="146"/>
      <c r="AA71" s="146"/>
      <c r="AB71" s="146"/>
    </row>
    <row r="72" ht="21.0" customHeight="1">
      <c r="A72" s="137">
        <v>18.0</v>
      </c>
      <c r="B72" s="148" t="s">
        <v>466</v>
      </c>
      <c r="C72" s="16"/>
      <c r="D72" s="143"/>
      <c r="E72" s="150"/>
      <c r="F72" s="153"/>
      <c r="G72" s="86"/>
      <c r="H72" s="139" t="s">
        <v>467</v>
      </c>
      <c r="I72" s="159" t="s">
        <v>459</v>
      </c>
      <c r="J72" s="159" t="s">
        <v>468</v>
      </c>
      <c r="K72" s="146"/>
      <c r="L72" s="146"/>
      <c r="M72" s="146"/>
      <c r="N72" s="146"/>
      <c r="O72" s="146"/>
      <c r="P72" s="146"/>
      <c r="Q72" s="146"/>
      <c r="R72" s="146"/>
      <c r="S72" s="146"/>
      <c r="T72" s="146"/>
      <c r="U72" s="146"/>
      <c r="V72" s="146"/>
      <c r="W72" s="146"/>
      <c r="X72" s="146"/>
      <c r="Y72" s="146"/>
      <c r="Z72" s="146"/>
      <c r="AA72" s="146"/>
      <c r="AB72" s="146"/>
    </row>
    <row r="73" ht="15.75" customHeight="1">
      <c r="A73" s="24"/>
      <c r="B73" s="19" t="s">
        <v>469</v>
      </c>
      <c r="C73" s="153">
        <v>100.0</v>
      </c>
      <c r="D73" s="143">
        <v>100.0</v>
      </c>
      <c r="E73" s="151" t="s">
        <v>470</v>
      </c>
      <c r="F73" s="111">
        <v>100.0</v>
      </c>
      <c r="G73" s="158" t="s">
        <v>377</v>
      </c>
      <c r="H73" s="24"/>
      <c r="I73" s="24"/>
      <c r="J73" s="24"/>
      <c r="K73" s="146"/>
      <c r="L73" s="146"/>
      <c r="M73" s="146"/>
      <c r="N73" s="146"/>
      <c r="O73" s="146"/>
      <c r="P73" s="146"/>
      <c r="Q73" s="146"/>
      <c r="R73" s="146"/>
      <c r="S73" s="146"/>
      <c r="T73" s="146"/>
      <c r="U73" s="146"/>
      <c r="V73" s="146"/>
      <c r="W73" s="146"/>
      <c r="X73" s="146"/>
      <c r="Y73" s="146"/>
      <c r="Z73" s="146"/>
      <c r="AA73" s="146"/>
      <c r="AB73" s="146"/>
    </row>
    <row r="74" ht="63.75" customHeight="1">
      <c r="A74" s="24"/>
      <c r="B74" s="19" t="s">
        <v>471</v>
      </c>
      <c r="C74" s="153">
        <v>50.0</v>
      </c>
      <c r="D74" s="143"/>
      <c r="E74" s="150"/>
      <c r="F74" s="153"/>
      <c r="G74" s="86"/>
      <c r="H74" s="32"/>
      <c r="I74" s="32"/>
      <c r="J74" s="32"/>
      <c r="K74" s="146"/>
      <c r="L74" s="146"/>
      <c r="M74" s="146"/>
      <c r="N74" s="146"/>
      <c r="O74" s="146"/>
      <c r="P74" s="146"/>
      <c r="Q74" s="146"/>
      <c r="R74" s="146"/>
      <c r="S74" s="146"/>
      <c r="T74" s="146"/>
      <c r="U74" s="146"/>
      <c r="V74" s="146"/>
      <c r="W74" s="146"/>
      <c r="X74" s="146"/>
      <c r="Y74" s="146"/>
      <c r="Z74" s="146"/>
      <c r="AA74" s="146"/>
      <c r="AB74" s="146"/>
    </row>
    <row r="75" ht="21.0" customHeight="1">
      <c r="A75" s="168"/>
      <c r="B75" s="19" t="s">
        <v>472</v>
      </c>
      <c r="C75" s="153">
        <v>25.0</v>
      </c>
      <c r="D75" s="147"/>
      <c r="E75" s="150"/>
      <c r="F75" s="153"/>
      <c r="G75" s="86"/>
      <c r="H75" s="86"/>
      <c r="I75" s="111"/>
      <c r="J75" s="158"/>
      <c r="K75" s="146"/>
      <c r="L75" s="146"/>
      <c r="M75" s="146"/>
      <c r="N75" s="146"/>
      <c r="O75" s="146"/>
      <c r="P75" s="146"/>
      <c r="Q75" s="146"/>
      <c r="R75" s="146"/>
      <c r="S75" s="146"/>
      <c r="T75" s="146"/>
      <c r="U75" s="146"/>
      <c r="V75" s="146"/>
      <c r="W75" s="146"/>
      <c r="X75" s="146"/>
      <c r="Y75" s="146"/>
      <c r="Z75" s="146"/>
      <c r="AA75" s="146"/>
      <c r="AB75" s="146"/>
    </row>
    <row r="76" ht="21.0" customHeight="1">
      <c r="A76" s="168"/>
      <c r="B76" s="19" t="s">
        <v>473</v>
      </c>
      <c r="C76" s="153">
        <v>0.0</v>
      </c>
      <c r="D76" s="143"/>
      <c r="E76" s="150"/>
      <c r="F76" s="153"/>
      <c r="G76" s="86"/>
      <c r="H76" s="86"/>
      <c r="I76" s="111"/>
      <c r="J76" s="158"/>
      <c r="K76" s="146"/>
      <c r="L76" s="146"/>
      <c r="M76" s="146"/>
      <c r="N76" s="146"/>
      <c r="O76" s="146"/>
      <c r="P76" s="146"/>
      <c r="Q76" s="146"/>
      <c r="R76" s="146"/>
      <c r="S76" s="146"/>
      <c r="T76" s="146"/>
      <c r="U76" s="146"/>
      <c r="V76" s="146"/>
      <c r="W76" s="146"/>
      <c r="X76" s="146"/>
      <c r="Y76" s="146"/>
      <c r="Z76" s="146"/>
      <c r="AA76" s="146"/>
      <c r="AB76" s="146"/>
    </row>
    <row r="77" ht="46.5" customHeight="1">
      <c r="A77" s="137">
        <v>19.0</v>
      </c>
      <c r="B77" s="148" t="s">
        <v>474</v>
      </c>
      <c r="C77" s="16"/>
      <c r="D77" s="143"/>
      <c r="E77" s="150"/>
      <c r="F77" s="153"/>
      <c r="G77" s="139" t="s">
        <v>475</v>
      </c>
      <c r="H77" s="139" t="s">
        <v>476</v>
      </c>
      <c r="I77" s="140" t="s">
        <v>477</v>
      </c>
      <c r="J77" s="140" t="s">
        <v>478</v>
      </c>
      <c r="K77" s="146"/>
      <c r="L77" s="146"/>
      <c r="M77" s="146"/>
      <c r="N77" s="146"/>
      <c r="O77" s="146"/>
      <c r="P77" s="146"/>
      <c r="Q77" s="146"/>
      <c r="R77" s="146"/>
      <c r="S77" s="146"/>
      <c r="T77" s="146"/>
      <c r="U77" s="146"/>
      <c r="V77" s="146"/>
      <c r="W77" s="146"/>
      <c r="X77" s="146"/>
      <c r="Y77" s="146"/>
      <c r="Z77" s="146"/>
      <c r="AA77" s="146"/>
      <c r="AB77" s="146"/>
    </row>
    <row r="78" ht="59.25" customHeight="1">
      <c r="A78" s="24"/>
      <c r="B78" s="19" t="s">
        <v>442</v>
      </c>
      <c r="C78" s="153">
        <v>100.0</v>
      </c>
      <c r="D78" s="143">
        <v>100.0</v>
      </c>
      <c r="E78" s="151" t="s">
        <v>479</v>
      </c>
      <c r="F78" s="19"/>
      <c r="G78" s="24"/>
      <c r="H78" s="24"/>
      <c r="I78" s="24"/>
      <c r="J78" s="24"/>
      <c r="K78" s="146"/>
      <c r="L78" s="146"/>
      <c r="M78" s="146"/>
      <c r="N78" s="146"/>
      <c r="O78" s="146"/>
      <c r="P78" s="146"/>
      <c r="Q78" s="146"/>
      <c r="R78" s="146"/>
      <c r="S78" s="146"/>
      <c r="T78" s="146"/>
      <c r="U78" s="146"/>
      <c r="V78" s="146"/>
      <c r="W78" s="146"/>
      <c r="X78" s="146"/>
      <c r="Y78" s="146"/>
      <c r="Z78" s="146"/>
      <c r="AA78" s="146"/>
      <c r="AB78" s="146"/>
    </row>
    <row r="79" ht="15.75" customHeight="1">
      <c r="A79" s="24"/>
      <c r="B79" s="19" t="s">
        <v>444</v>
      </c>
      <c r="C79" s="153">
        <v>50.0</v>
      </c>
      <c r="D79" s="143"/>
      <c r="E79" s="151" t="s">
        <v>480</v>
      </c>
      <c r="F79" s="153">
        <v>50.0</v>
      </c>
      <c r="G79" s="24"/>
      <c r="H79" s="24"/>
      <c r="I79" s="24"/>
      <c r="J79" s="24"/>
      <c r="K79" s="146"/>
      <c r="L79" s="146"/>
      <c r="M79" s="146"/>
      <c r="N79" s="146"/>
      <c r="O79" s="146"/>
      <c r="P79" s="146"/>
      <c r="Q79" s="146"/>
      <c r="R79" s="146"/>
      <c r="S79" s="146"/>
      <c r="T79" s="146"/>
      <c r="U79" s="146"/>
      <c r="V79" s="146"/>
      <c r="W79" s="146"/>
      <c r="X79" s="146"/>
      <c r="Y79" s="146"/>
      <c r="Z79" s="146"/>
      <c r="AA79" s="146"/>
      <c r="AB79" s="146"/>
    </row>
    <row r="80" ht="34.5" customHeight="1">
      <c r="A80" s="24"/>
      <c r="B80" s="19" t="s">
        <v>399</v>
      </c>
      <c r="C80" s="153">
        <v>0.0</v>
      </c>
      <c r="D80" s="143"/>
      <c r="E80" s="150"/>
      <c r="F80" s="153"/>
      <c r="G80" s="32"/>
      <c r="H80" s="32"/>
      <c r="I80" s="32"/>
      <c r="J80" s="32"/>
      <c r="K80" s="146"/>
      <c r="L80" s="146"/>
      <c r="M80" s="146"/>
      <c r="N80" s="146"/>
      <c r="O80" s="146"/>
      <c r="P80" s="146"/>
      <c r="Q80" s="146"/>
      <c r="R80" s="146"/>
      <c r="S80" s="146"/>
      <c r="T80" s="146"/>
      <c r="U80" s="146"/>
      <c r="V80" s="146"/>
      <c r="W80" s="146"/>
      <c r="X80" s="146"/>
      <c r="Y80" s="146"/>
      <c r="Z80" s="146"/>
      <c r="AA80" s="146"/>
      <c r="AB80" s="146"/>
    </row>
    <row r="81" ht="15.75" customHeight="1">
      <c r="A81" s="137">
        <v>20.0</v>
      </c>
      <c r="B81" s="148" t="s">
        <v>481</v>
      </c>
      <c r="C81" s="16"/>
      <c r="D81" s="147"/>
      <c r="E81" s="145" t="s">
        <v>482</v>
      </c>
      <c r="F81" s="153"/>
      <c r="G81" s="139" t="s">
        <v>483</v>
      </c>
      <c r="H81" s="139" t="s">
        <v>484</v>
      </c>
      <c r="I81" s="140" t="s">
        <v>485</v>
      </c>
      <c r="J81" s="140" t="s">
        <v>486</v>
      </c>
      <c r="K81" s="146"/>
      <c r="L81" s="146"/>
      <c r="M81" s="146"/>
      <c r="N81" s="146"/>
      <c r="O81" s="146"/>
      <c r="P81" s="146"/>
      <c r="Q81" s="146"/>
      <c r="R81" s="146"/>
      <c r="S81" s="146"/>
      <c r="T81" s="146"/>
      <c r="U81" s="146"/>
      <c r="V81" s="146"/>
      <c r="W81" s="146"/>
      <c r="X81" s="146"/>
      <c r="Y81" s="146"/>
      <c r="Z81" s="146"/>
      <c r="AA81" s="146"/>
      <c r="AB81" s="146"/>
    </row>
    <row r="82" ht="15.75" customHeight="1">
      <c r="A82" s="24"/>
      <c r="B82" s="19" t="s">
        <v>487</v>
      </c>
      <c r="C82" s="153">
        <v>100.0</v>
      </c>
      <c r="D82" s="143">
        <v>100.0</v>
      </c>
      <c r="E82" s="142" t="s">
        <v>488</v>
      </c>
      <c r="F82" s="153"/>
      <c r="G82" s="24"/>
      <c r="H82" s="24"/>
      <c r="I82" s="24"/>
      <c r="J82" s="24"/>
      <c r="K82" s="146"/>
      <c r="L82" s="146"/>
      <c r="M82" s="146"/>
      <c r="N82" s="146"/>
      <c r="O82" s="146"/>
      <c r="P82" s="146"/>
      <c r="Q82" s="146"/>
      <c r="R82" s="146"/>
      <c r="S82" s="146"/>
      <c r="T82" s="146"/>
      <c r="U82" s="146"/>
      <c r="V82" s="146"/>
      <c r="W82" s="146"/>
      <c r="X82" s="146"/>
      <c r="Y82" s="146"/>
      <c r="Z82" s="146"/>
      <c r="AA82" s="146"/>
      <c r="AB82" s="146"/>
    </row>
    <row r="83" ht="15.75" customHeight="1">
      <c r="A83" s="24"/>
      <c r="B83" s="19" t="s">
        <v>489</v>
      </c>
      <c r="C83" s="153">
        <v>50.0</v>
      </c>
      <c r="D83" s="143"/>
      <c r="E83" s="144" t="s">
        <v>490</v>
      </c>
      <c r="F83" s="19"/>
      <c r="G83" s="24"/>
      <c r="H83" s="24"/>
      <c r="I83" s="24"/>
      <c r="J83" s="24"/>
      <c r="K83" s="146"/>
      <c r="L83" s="146"/>
      <c r="M83" s="146"/>
      <c r="N83" s="146"/>
      <c r="O83" s="146"/>
      <c r="P83" s="146"/>
      <c r="Q83" s="146"/>
      <c r="R83" s="146"/>
      <c r="S83" s="146"/>
      <c r="T83" s="146"/>
      <c r="U83" s="146"/>
      <c r="V83" s="146"/>
      <c r="W83" s="146"/>
      <c r="X83" s="146"/>
      <c r="Y83" s="146"/>
      <c r="Z83" s="146"/>
      <c r="AA83" s="146"/>
      <c r="AB83" s="146"/>
    </row>
    <row r="84" ht="49.5" customHeight="1">
      <c r="A84" s="24"/>
      <c r="B84" s="19" t="s">
        <v>491</v>
      </c>
      <c r="C84" s="153">
        <v>25.0</v>
      </c>
      <c r="D84" s="147"/>
      <c r="E84" s="150"/>
      <c r="F84" s="153">
        <v>25.0</v>
      </c>
      <c r="G84" s="24"/>
      <c r="H84" s="24"/>
      <c r="I84" s="24"/>
      <c r="J84" s="24"/>
      <c r="K84" s="146"/>
      <c r="L84" s="146"/>
      <c r="M84" s="146"/>
      <c r="N84" s="146"/>
      <c r="O84" s="146"/>
      <c r="P84" s="146"/>
      <c r="Q84" s="146"/>
      <c r="R84" s="146"/>
      <c r="S84" s="146"/>
      <c r="T84" s="146"/>
      <c r="U84" s="146"/>
      <c r="V84" s="146"/>
      <c r="W84" s="146"/>
      <c r="X84" s="146"/>
      <c r="Y84" s="146"/>
      <c r="Z84" s="146"/>
      <c r="AA84" s="146"/>
      <c r="AB84" s="146"/>
    </row>
    <row r="85" ht="40.5" customHeight="1">
      <c r="A85" s="32"/>
      <c r="B85" s="19" t="s">
        <v>492</v>
      </c>
      <c r="C85" s="153">
        <v>0.0</v>
      </c>
      <c r="D85" s="143"/>
      <c r="E85" s="150"/>
      <c r="F85" s="153"/>
      <c r="G85" s="32"/>
      <c r="H85" s="32"/>
      <c r="I85" s="32"/>
      <c r="J85" s="32"/>
      <c r="K85" s="146"/>
      <c r="L85" s="146"/>
      <c r="M85" s="146"/>
      <c r="N85" s="146"/>
      <c r="O85" s="146"/>
      <c r="P85" s="146"/>
      <c r="Q85" s="146"/>
      <c r="R85" s="146"/>
      <c r="S85" s="146"/>
      <c r="T85" s="146"/>
      <c r="U85" s="146"/>
      <c r="V85" s="146"/>
      <c r="W85" s="146"/>
      <c r="X85" s="146"/>
      <c r="Y85" s="146"/>
      <c r="Z85" s="146"/>
      <c r="AA85" s="146"/>
      <c r="AB85" s="146"/>
    </row>
    <row r="86" ht="15.75" customHeight="1">
      <c r="A86" s="137">
        <v>21.0</v>
      </c>
      <c r="B86" s="148" t="s">
        <v>493</v>
      </c>
      <c r="C86" s="16"/>
      <c r="D86" s="143"/>
      <c r="E86" s="145" t="s">
        <v>494</v>
      </c>
      <c r="F86" s="153"/>
      <c r="G86" s="139" t="s">
        <v>495</v>
      </c>
      <c r="H86" s="139" t="s">
        <v>496</v>
      </c>
      <c r="I86" s="140" t="s">
        <v>497</v>
      </c>
      <c r="J86" s="140" t="s">
        <v>498</v>
      </c>
      <c r="K86" s="146"/>
      <c r="L86" s="146"/>
      <c r="M86" s="146"/>
      <c r="N86" s="146"/>
      <c r="O86" s="146"/>
      <c r="P86" s="146"/>
      <c r="Q86" s="146"/>
      <c r="R86" s="146"/>
      <c r="S86" s="146"/>
      <c r="T86" s="146"/>
      <c r="U86" s="146"/>
      <c r="V86" s="146"/>
      <c r="W86" s="146"/>
      <c r="X86" s="146"/>
      <c r="Y86" s="146"/>
      <c r="Z86" s="146"/>
      <c r="AA86" s="146"/>
      <c r="AB86" s="146"/>
    </row>
    <row r="87" ht="15.75" customHeight="1">
      <c r="A87" s="24"/>
      <c r="B87" s="19" t="s">
        <v>499</v>
      </c>
      <c r="C87" s="169">
        <v>100.0</v>
      </c>
      <c r="D87" s="143">
        <v>100.0</v>
      </c>
      <c r="E87" s="142" t="s">
        <v>500</v>
      </c>
      <c r="F87" s="19">
        <v>100.0</v>
      </c>
      <c r="G87" s="24"/>
      <c r="H87" s="24"/>
      <c r="I87" s="24"/>
      <c r="J87" s="24"/>
      <c r="K87" s="146"/>
      <c r="L87" s="146"/>
      <c r="M87" s="146"/>
      <c r="N87" s="146"/>
      <c r="O87" s="146"/>
      <c r="P87" s="146"/>
      <c r="Q87" s="146"/>
      <c r="R87" s="146"/>
      <c r="S87" s="146"/>
      <c r="T87" s="146"/>
      <c r="U87" s="146"/>
      <c r="V87" s="146"/>
      <c r="W87" s="146"/>
      <c r="X87" s="146"/>
      <c r="Y87" s="146"/>
      <c r="Z87" s="146"/>
      <c r="AA87" s="146"/>
      <c r="AB87" s="146"/>
    </row>
    <row r="88" ht="15.75" customHeight="1">
      <c r="A88" s="24"/>
      <c r="B88" s="19" t="s">
        <v>501</v>
      </c>
      <c r="C88" s="169">
        <v>50.0</v>
      </c>
      <c r="D88" s="147"/>
      <c r="E88" s="170" t="s">
        <v>502</v>
      </c>
      <c r="F88" s="153"/>
      <c r="G88" s="24"/>
      <c r="H88" s="24"/>
      <c r="I88" s="24"/>
      <c r="J88" s="24"/>
      <c r="K88" s="146"/>
      <c r="L88" s="146"/>
      <c r="M88" s="146"/>
      <c r="N88" s="146"/>
      <c r="O88" s="146"/>
      <c r="P88" s="146"/>
      <c r="Q88" s="146"/>
      <c r="R88" s="146"/>
      <c r="S88" s="146"/>
      <c r="T88" s="146"/>
      <c r="U88" s="146"/>
      <c r="V88" s="146"/>
      <c r="W88" s="146"/>
      <c r="X88" s="146"/>
      <c r="Y88" s="146"/>
      <c r="Z88" s="146"/>
      <c r="AA88" s="146"/>
      <c r="AB88" s="146"/>
    </row>
    <row r="89" ht="15.75" customHeight="1">
      <c r="A89" s="24"/>
      <c r="B89" s="19" t="s">
        <v>503</v>
      </c>
      <c r="C89" s="169">
        <v>25.0</v>
      </c>
      <c r="D89" s="143"/>
      <c r="E89" s="150"/>
      <c r="F89" s="153"/>
      <c r="G89" s="24"/>
      <c r="H89" s="24"/>
      <c r="I89" s="24"/>
      <c r="J89" s="24"/>
      <c r="K89" s="146"/>
      <c r="L89" s="146"/>
      <c r="M89" s="146"/>
      <c r="N89" s="146"/>
      <c r="O89" s="146"/>
      <c r="P89" s="146"/>
      <c r="Q89" s="146"/>
      <c r="R89" s="146"/>
      <c r="S89" s="146"/>
      <c r="T89" s="146"/>
      <c r="U89" s="146"/>
      <c r="V89" s="146"/>
      <c r="W89" s="146"/>
      <c r="X89" s="146"/>
      <c r="Y89" s="146"/>
      <c r="Z89" s="146"/>
      <c r="AA89" s="146"/>
      <c r="AB89" s="146"/>
    </row>
    <row r="90" ht="21.0" customHeight="1">
      <c r="A90" s="32"/>
      <c r="B90" s="19" t="s">
        <v>504</v>
      </c>
      <c r="C90" s="169">
        <v>0.0</v>
      </c>
      <c r="D90" s="143"/>
      <c r="E90" s="150"/>
      <c r="F90" s="153"/>
      <c r="G90" s="32"/>
      <c r="H90" s="32"/>
      <c r="I90" s="32"/>
      <c r="J90" s="32"/>
      <c r="K90" s="146"/>
      <c r="L90" s="146"/>
      <c r="M90" s="146"/>
      <c r="N90" s="146"/>
      <c r="O90" s="146"/>
      <c r="P90" s="146"/>
      <c r="Q90" s="146"/>
      <c r="R90" s="146"/>
      <c r="S90" s="146"/>
      <c r="T90" s="146"/>
      <c r="U90" s="146"/>
      <c r="V90" s="146"/>
      <c r="W90" s="146"/>
      <c r="X90" s="146"/>
      <c r="Y90" s="146"/>
      <c r="Z90" s="146"/>
      <c r="AA90" s="146"/>
      <c r="AB90" s="146"/>
    </row>
    <row r="91" ht="15.75" customHeight="1">
      <c r="A91" s="137">
        <v>22.0</v>
      </c>
      <c r="B91" s="148" t="s">
        <v>505</v>
      </c>
      <c r="C91" s="16"/>
      <c r="D91" s="143"/>
      <c r="E91" s="145" t="s">
        <v>506</v>
      </c>
      <c r="F91" s="153"/>
      <c r="G91" s="139" t="s">
        <v>507</v>
      </c>
      <c r="H91" s="139" t="s">
        <v>508</v>
      </c>
      <c r="I91" s="140" t="s">
        <v>509</v>
      </c>
      <c r="J91" s="140" t="s">
        <v>510</v>
      </c>
      <c r="K91" s="146"/>
      <c r="L91" s="146"/>
      <c r="M91" s="146"/>
      <c r="N91" s="146"/>
      <c r="O91" s="146"/>
      <c r="P91" s="146"/>
      <c r="Q91" s="146"/>
      <c r="R91" s="146"/>
      <c r="S91" s="146"/>
      <c r="T91" s="146"/>
      <c r="U91" s="146"/>
      <c r="V91" s="146"/>
      <c r="W91" s="146"/>
      <c r="X91" s="146"/>
      <c r="Y91" s="146"/>
      <c r="Z91" s="146"/>
      <c r="AA91" s="146"/>
      <c r="AB91" s="146"/>
    </row>
    <row r="92" ht="15.75" customHeight="1">
      <c r="A92" s="24"/>
      <c r="B92" s="19" t="s">
        <v>511</v>
      </c>
      <c r="C92" s="153">
        <v>100.0</v>
      </c>
      <c r="D92" s="143">
        <v>100.0</v>
      </c>
      <c r="E92" s="142" t="s">
        <v>512</v>
      </c>
      <c r="F92" s="19"/>
      <c r="G92" s="24"/>
      <c r="H92" s="24"/>
      <c r="I92" s="24"/>
      <c r="J92" s="24"/>
      <c r="K92" s="146"/>
      <c r="L92" s="146"/>
      <c r="M92" s="146"/>
      <c r="N92" s="146"/>
      <c r="O92" s="146"/>
      <c r="P92" s="146"/>
      <c r="Q92" s="146"/>
      <c r="R92" s="146"/>
      <c r="S92" s="146"/>
      <c r="T92" s="146"/>
      <c r="U92" s="146"/>
      <c r="V92" s="146"/>
      <c r="W92" s="146"/>
      <c r="X92" s="146"/>
      <c r="Y92" s="146"/>
      <c r="Z92" s="146"/>
      <c r="AA92" s="146"/>
      <c r="AB92" s="146"/>
    </row>
    <row r="93" ht="15.75" customHeight="1">
      <c r="A93" s="24"/>
      <c r="B93" s="19" t="s">
        <v>513</v>
      </c>
      <c r="C93" s="153">
        <v>50.0</v>
      </c>
      <c r="D93" s="171"/>
      <c r="E93" s="172" t="s">
        <v>514</v>
      </c>
      <c r="F93" s="169"/>
      <c r="G93" s="24"/>
      <c r="H93" s="24"/>
      <c r="I93" s="24"/>
      <c r="J93" s="24"/>
      <c r="K93" s="146"/>
      <c r="L93" s="146"/>
      <c r="M93" s="146"/>
      <c r="N93" s="146"/>
      <c r="O93" s="146"/>
      <c r="P93" s="146"/>
      <c r="Q93" s="146"/>
      <c r="R93" s="146"/>
      <c r="S93" s="146"/>
      <c r="T93" s="146"/>
      <c r="U93" s="146"/>
      <c r="V93" s="146"/>
      <c r="W93" s="146"/>
      <c r="X93" s="146"/>
      <c r="Y93" s="146"/>
      <c r="Z93" s="146"/>
      <c r="AA93" s="146"/>
      <c r="AB93" s="146"/>
    </row>
    <row r="94" ht="35.25" customHeight="1">
      <c r="A94" s="24"/>
      <c r="B94" s="19" t="s">
        <v>515</v>
      </c>
      <c r="C94" s="153">
        <v>25.0</v>
      </c>
      <c r="D94" s="171"/>
      <c r="E94" s="173"/>
      <c r="F94" s="169">
        <v>25.0</v>
      </c>
      <c r="G94" s="24"/>
      <c r="H94" s="24"/>
      <c r="I94" s="24"/>
      <c r="J94" s="24"/>
      <c r="K94" s="146"/>
      <c r="L94" s="146"/>
      <c r="M94" s="146"/>
      <c r="N94" s="146"/>
      <c r="O94" s="146"/>
      <c r="P94" s="146"/>
      <c r="Q94" s="146"/>
      <c r="R94" s="146"/>
      <c r="S94" s="146"/>
      <c r="T94" s="146"/>
      <c r="U94" s="146"/>
      <c r="V94" s="146"/>
      <c r="W94" s="146"/>
      <c r="X94" s="146"/>
      <c r="Y94" s="146"/>
      <c r="Z94" s="146"/>
      <c r="AA94" s="146"/>
      <c r="AB94" s="146"/>
    </row>
    <row r="95" ht="36.0" customHeight="1">
      <c r="A95" s="32"/>
      <c r="B95" s="19" t="s">
        <v>399</v>
      </c>
      <c r="C95" s="153">
        <v>0.0</v>
      </c>
      <c r="D95" s="174"/>
      <c r="E95" s="173"/>
      <c r="F95" s="169"/>
      <c r="G95" s="32"/>
      <c r="H95" s="32"/>
      <c r="I95" s="32"/>
      <c r="J95" s="32"/>
      <c r="K95" s="146"/>
      <c r="L95" s="146"/>
      <c r="M95" s="146"/>
      <c r="N95" s="146"/>
      <c r="O95" s="146"/>
      <c r="P95" s="146"/>
      <c r="Q95" s="146"/>
      <c r="R95" s="146"/>
      <c r="S95" s="146"/>
      <c r="T95" s="146"/>
      <c r="U95" s="146"/>
      <c r="V95" s="146"/>
      <c r="W95" s="146"/>
      <c r="X95" s="146"/>
      <c r="Y95" s="146"/>
      <c r="Z95" s="146"/>
      <c r="AA95" s="146"/>
      <c r="AB95" s="146"/>
    </row>
    <row r="96" ht="15.75" customHeight="1">
      <c r="A96" s="168">
        <v>23.0</v>
      </c>
      <c r="B96" s="148" t="s">
        <v>516</v>
      </c>
      <c r="C96" s="16"/>
      <c r="D96" s="174"/>
      <c r="E96" s="175" t="s">
        <v>517</v>
      </c>
      <c r="F96" s="169"/>
      <c r="G96" s="86"/>
      <c r="H96" s="139" t="s">
        <v>518</v>
      </c>
      <c r="I96" s="154" t="s">
        <v>519</v>
      </c>
      <c r="J96" s="154" t="s">
        <v>519</v>
      </c>
      <c r="K96" s="146"/>
      <c r="L96" s="146"/>
      <c r="M96" s="146"/>
      <c r="N96" s="146"/>
      <c r="O96" s="146"/>
      <c r="P96" s="146"/>
      <c r="Q96" s="146"/>
      <c r="R96" s="146"/>
      <c r="S96" s="146"/>
      <c r="T96" s="146"/>
      <c r="U96" s="146"/>
      <c r="V96" s="146"/>
      <c r="W96" s="146"/>
      <c r="X96" s="146"/>
      <c r="Y96" s="146"/>
      <c r="Z96" s="146"/>
      <c r="AA96" s="146"/>
      <c r="AB96" s="146"/>
    </row>
    <row r="97" ht="15.75" customHeight="1">
      <c r="A97" s="168"/>
      <c r="B97" s="19" t="s">
        <v>147</v>
      </c>
      <c r="C97" s="176"/>
      <c r="D97" s="143">
        <v>100.0</v>
      </c>
      <c r="E97" s="142" t="s">
        <v>520</v>
      </c>
      <c r="F97" s="19"/>
      <c r="G97" s="86"/>
      <c r="H97" s="24"/>
      <c r="I97" s="24"/>
      <c r="J97" s="24"/>
      <c r="K97" s="146"/>
      <c r="L97" s="146"/>
      <c r="M97" s="146"/>
      <c r="N97" s="146"/>
      <c r="O97" s="146"/>
      <c r="P97" s="146"/>
      <c r="Q97" s="146"/>
      <c r="R97" s="146"/>
      <c r="S97" s="146"/>
      <c r="T97" s="146"/>
      <c r="U97" s="146"/>
      <c r="V97" s="146"/>
      <c r="W97" s="146"/>
      <c r="X97" s="146"/>
      <c r="Y97" s="146"/>
      <c r="Z97" s="146"/>
      <c r="AA97" s="146"/>
      <c r="AB97" s="146"/>
    </row>
    <row r="98" ht="15.75" customHeight="1">
      <c r="A98" s="168"/>
      <c r="B98" s="19" t="s">
        <v>521</v>
      </c>
      <c r="C98" s="176"/>
      <c r="D98" s="147"/>
      <c r="E98" s="170" t="s">
        <v>522</v>
      </c>
      <c r="F98" s="153"/>
      <c r="G98" s="86"/>
      <c r="H98" s="24"/>
      <c r="I98" s="24"/>
      <c r="J98" s="24"/>
      <c r="K98" s="146"/>
      <c r="L98" s="146"/>
      <c r="M98" s="146"/>
      <c r="N98" s="146"/>
      <c r="O98" s="146"/>
      <c r="P98" s="146"/>
      <c r="Q98" s="146"/>
      <c r="R98" s="146"/>
      <c r="S98" s="146"/>
      <c r="T98" s="146"/>
      <c r="U98" s="146"/>
      <c r="V98" s="146"/>
      <c r="W98" s="146"/>
      <c r="X98" s="146"/>
      <c r="Y98" s="146"/>
      <c r="Z98" s="146"/>
      <c r="AA98" s="146"/>
      <c r="AB98" s="146"/>
    </row>
    <row r="99" ht="23.25" customHeight="1">
      <c r="A99" s="168"/>
      <c r="B99" s="19" t="s">
        <v>523</v>
      </c>
      <c r="C99" s="176"/>
      <c r="D99" s="143"/>
      <c r="E99" s="150"/>
      <c r="F99" s="153"/>
      <c r="G99" s="86"/>
      <c r="H99" s="24"/>
      <c r="I99" s="24"/>
      <c r="J99" s="24"/>
      <c r="K99" s="146"/>
      <c r="L99" s="146"/>
      <c r="M99" s="146"/>
      <c r="N99" s="146"/>
      <c r="O99" s="146"/>
      <c r="P99" s="146"/>
      <c r="Q99" s="146"/>
      <c r="R99" s="146"/>
      <c r="S99" s="146"/>
      <c r="T99" s="146"/>
      <c r="U99" s="146"/>
      <c r="V99" s="146"/>
      <c r="W99" s="146"/>
      <c r="X99" s="146"/>
      <c r="Y99" s="146"/>
      <c r="Z99" s="146"/>
      <c r="AA99" s="146"/>
      <c r="AB99" s="146"/>
    </row>
    <row r="100" ht="23.25" customHeight="1">
      <c r="A100" s="168"/>
      <c r="B100" s="19" t="s">
        <v>524</v>
      </c>
      <c r="C100" s="176"/>
      <c r="D100" s="143"/>
      <c r="E100" s="150"/>
      <c r="F100" s="153"/>
      <c r="G100" s="86"/>
      <c r="H100" s="32"/>
      <c r="I100" s="32"/>
      <c r="J100" s="32"/>
      <c r="K100" s="146"/>
      <c r="L100" s="146"/>
      <c r="M100" s="146"/>
      <c r="N100" s="146"/>
      <c r="O100" s="146"/>
      <c r="P100" s="146"/>
      <c r="Q100" s="146"/>
      <c r="R100" s="146"/>
      <c r="S100" s="146"/>
      <c r="T100" s="146"/>
      <c r="U100" s="146"/>
      <c r="V100" s="146"/>
      <c r="W100" s="146"/>
      <c r="X100" s="146"/>
      <c r="Y100" s="146"/>
      <c r="Z100" s="146"/>
      <c r="AA100" s="146"/>
      <c r="AB100" s="146"/>
    </row>
    <row r="101" ht="30.75" customHeight="1">
      <c r="A101" s="137">
        <v>24.0</v>
      </c>
      <c r="B101" s="148" t="s">
        <v>525</v>
      </c>
      <c r="C101" s="16"/>
      <c r="D101" s="143"/>
      <c r="E101" s="150"/>
      <c r="F101" s="153"/>
      <c r="G101" s="86"/>
      <c r="H101" s="139" t="s">
        <v>526</v>
      </c>
      <c r="I101" s="140" t="s">
        <v>527</v>
      </c>
      <c r="J101" s="140" t="s">
        <v>528</v>
      </c>
      <c r="K101" s="146"/>
      <c r="L101" s="146"/>
      <c r="M101" s="146"/>
      <c r="N101" s="146"/>
      <c r="O101" s="146"/>
      <c r="P101" s="146"/>
      <c r="Q101" s="146"/>
      <c r="R101" s="146"/>
      <c r="S101" s="146"/>
      <c r="T101" s="146"/>
      <c r="U101" s="146"/>
      <c r="V101" s="146"/>
      <c r="W101" s="146"/>
      <c r="X101" s="146"/>
      <c r="Y101" s="146"/>
      <c r="Z101" s="146"/>
      <c r="AA101" s="146"/>
      <c r="AB101" s="146"/>
    </row>
    <row r="102" ht="15.75" customHeight="1">
      <c r="A102" s="24"/>
      <c r="B102" s="19" t="s">
        <v>529</v>
      </c>
      <c r="C102" s="111">
        <v>100.0</v>
      </c>
      <c r="D102" s="143">
        <v>100.0</v>
      </c>
      <c r="E102" s="151" t="s">
        <v>530</v>
      </c>
      <c r="F102" s="86"/>
      <c r="G102" s="86"/>
      <c r="H102" s="24"/>
      <c r="I102" s="24"/>
      <c r="J102" s="24"/>
      <c r="K102" s="146"/>
      <c r="L102" s="146"/>
      <c r="M102" s="146"/>
      <c r="N102" s="146"/>
      <c r="O102" s="146"/>
      <c r="P102" s="146"/>
      <c r="Q102" s="146"/>
      <c r="R102" s="146"/>
      <c r="S102" s="146"/>
      <c r="T102" s="146"/>
      <c r="U102" s="146"/>
      <c r="V102" s="146"/>
      <c r="W102" s="146"/>
      <c r="X102" s="146"/>
      <c r="Y102" s="146"/>
      <c r="Z102" s="146"/>
      <c r="AA102" s="146"/>
      <c r="AB102" s="146"/>
    </row>
    <row r="103" ht="15.75" customHeight="1">
      <c r="A103" s="24"/>
      <c r="B103" s="19" t="s">
        <v>531</v>
      </c>
      <c r="C103" s="111">
        <v>50.0</v>
      </c>
      <c r="D103" s="171"/>
      <c r="E103" s="151" t="s">
        <v>532</v>
      </c>
      <c r="F103" s="176"/>
      <c r="G103" s="86"/>
      <c r="H103" s="24"/>
      <c r="I103" s="24"/>
      <c r="J103" s="24"/>
      <c r="K103" s="146"/>
      <c r="L103" s="146"/>
      <c r="M103" s="146"/>
      <c r="N103" s="146"/>
      <c r="O103" s="146"/>
      <c r="P103" s="146"/>
      <c r="Q103" s="146"/>
      <c r="R103" s="146"/>
      <c r="S103" s="146"/>
      <c r="T103" s="146"/>
      <c r="U103" s="146"/>
      <c r="V103" s="146"/>
      <c r="W103" s="146"/>
      <c r="X103" s="146"/>
      <c r="Y103" s="146"/>
      <c r="Z103" s="146"/>
      <c r="AA103" s="146"/>
      <c r="AB103" s="146"/>
    </row>
    <row r="104" ht="15.75" customHeight="1">
      <c r="A104" s="24"/>
      <c r="B104" s="19" t="s">
        <v>533</v>
      </c>
      <c r="C104" s="111">
        <v>25.0</v>
      </c>
      <c r="D104" s="174"/>
      <c r="E104" s="151" t="s">
        <v>534</v>
      </c>
      <c r="F104" s="176"/>
      <c r="G104" s="86"/>
      <c r="H104" s="24"/>
      <c r="I104" s="24"/>
      <c r="J104" s="24"/>
      <c r="K104" s="146"/>
      <c r="L104" s="146"/>
      <c r="M104" s="146"/>
      <c r="N104" s="146"/>
      <c r="O104" s="146"/>
      <c r="P104" s="146"/>
      <c r="Q104" s="146"/>
      <c r="R104" s="146"/>
      <c r="S104" s="146"/>
      <c r="T104" s="146"/>
      <c r="U104" s="146"/>
      <c r="V104" s="146"/>
      <c r="W104" s="146"/>
      <c r="X104" s="146"/>
      <c r="Y104" s="146"/>
      <c r="Z104" s="146"/>
      <c r="AA104" s="146"/>
      <c r="AB104" s="146"/>
    </row>
    <row r="105" ht="15.75" customHeight="1">
      <c r="A105" s="32"/>
      <c r="B105" s="19" t="s">
        <v>535</v>
      </c>
      <c r="C105" s="111">
        <v>0.0</v>
      </c>
      <c r="D105" s="174"/>
      <c r="E105" s="151" t="s">
        <v>536</v>
      </c>
      <c r="F105" s="176"/>
      <c r="G105" s="86"/>
      <c r="H105" s="32"/>
      <c r="I105" s="32"/>
      <c r="J105" s="32"/>
      <c r="K105" s="146"/>
      <c r="L105" s="146"/>
      <c r="M105" s="146"/>
      <c r="N105" s="146"/>
      <c r="O105" s="146"/>
      <c r="P105" s="146"/>
      <c r="Q105" s="146"/>
      <c r="R105" s="146"/>
      <c r="S105" s="146"/>
      <c r="T105" s="146"/>
      <c r="U105" s="146"/>
      <c r="V105" s="146"/>
      <c r="W105" s="146"/>
      <c r="X105" s="146"/>
      <c r="Y105" s="146"/>
      <c r="Z105" s="146"/>
      <c r="AA105" s="146"/>
      <c r="AB105" s="146"/>
    </row>
    <row r="106" ht="15.75" customHeight="1">
      <c r="A106" s="137">
        <v>25.0</v>
      </c>
      <c r="B106" s="148" t="s">
        <v>537</v>
      </c>
      <c r="C106" s="16"/>
      <c r="D106" s="174"/>
      <c r="E106" s="173"/>
      <c r="F106" s="176"/>
      <c r="G106" s="139" t="s">
        <v>538</v>
      </c>
      <c r="H106" s="157" t="s">
        <v>539</v>
      </c>
      <c r="I106" s="154"/>
      <c r="J106" s="154"/>
      <c r="K106" s="146"/>
      <c r="L106" s="146"/>
      <c r="M106" s="146"/>
      <c r="N106" s="146"/>
      <c r="O106" s="146"/>
      <c r="P106" s="146"/>
      <c r="Q106" s="146"/>
      <c r="R106" s="146"/>
      <c r="S106" s="146"/>
      <c r="T106" s="146"/>
      <c r="U106" s="146"/>
      <c r="V106" s="146"/>
      <c r="W106" s="146"/>
      <c r="X106" s="146"/>
      <c r="Y106" s="146"/>
      <c r="Z106" s="146"/>
      <c r="AA106" s="146"/>
      <c r="AB106" s="146"/>
    </row>
    <row r="107" ht="36.75" customHeight="1">
      <c r="A107" s="24"/>
      <c r="B107" s="19" t="s">
        <v>540</v>
      </c>
      <c r="C107" s="111">
        <v>100.0</v>
      </c>
      <c r="D107" s="143"/>
      <c r="E107" s="149"/>
      <c r="F107" s="19"/>
      <c r="G107" s="24"/>
      <c r="H107" s="24"/>
      <c r="I107" s="24"/>
      <c r="J107" s="24"/>
      <c r="K107" s="146"/>
      <c r="L107" s="146"/>
      <c r="M107" s="146"/>
      <c r="N107" s="146"/>
      <c r="O107" s="146"/>
      <c r="P107" s="146"/>
      <c r="Q107" s="146"/>
      <c r="R107" s="146"/>
      <c r="S107" s="146"/>
      <c r="T107" s="146"/>
      <c r="U107" s="146"/>
      <c r="V107" s="146"/>
      <c r="W107" s="146"/>
      <c r="X107" s="146"/>
      <c r="Y107" s="146"/>
      <c r="Z107" s="146"/>
      <c r="AA107" s="146"/>
      <c r="AB107" s="146"/>
    </row>
    <row r="108" ht="21.0" customHeight="1">
      <c r="A108" s="24"/>
      <c r="B108" s="19" t="s">
        <v>541</v>
      </c>
      <c r="C108" s="111">
        <v>50.0</v>
      </c>
      <c r="D108" s="147"/>
      <c r="E108" s="150"/>
      <c r="F108" s="111"/>
      <c r="G108" s="24"/>
      <c r="H108" s="24"/>
      <c r="I108" s="24"/>
      <c r="J108" s="24"/>
      <c r="K108" s="146"/>
      <c r="L108" s="146"/>
      <c r="M108" s="146"/>
      <c r="N108" s="146"/>
      <c r="O108" s="146"/>
      <c r="P108" s="146"/>
      <c r="Q108" s="146"/>
      <c r="R108" s="146"/>
      <c r="S108" s="146"/>
      <c r="T108" s="146"/>
      <c r="U108" s="146"/>
      <c r="V108" s="146"/>
      <c r="W108" s="146"/>
      <c r="X108" s="146"/>
      <c r="Y108" s="146"/>
      <c r="Z108" s="146"/>
      <c r="AA108" s="146"/>
      <c r="AB108" s="146"/>
    </row>
    <row r="109" ht="21.0" customHeight="1">
      <c r="A109" s="24"/>
      <c r="B109" s="19" t="s">
        <v>542</v>
      </c>
      <c r="C109" s="111">
        <v>25.0</v>
      </c>
      <c r="D109" s="147"/>
      <c r="E109" s="150"/>
      <c r="F109" s="111"/>
      <c r="G109" s="24"/>
      <c r="H109" s="24"/>
      <c r="I109" s="24"/>
      <c r="J109" s="24"/>
      <c r="K109" s="146"/>
      <c r="L109" s="146"/>
      <c r="M109" s="146"/>
      <c r="N109" s="146"/>
      <c r="O109" s="146"/>
      <c r="P109" s="146"/>
      <c r="Q109" s="146"/>
      <c r="R109" s="146"/>
      <c r="S109" s="146"/>
      <c r="T109" s="146"/>
      <c r="U109" s="146"/>
      <c r="V109" s="146"/>
      <c r="W109" s="146"/>
      <c r="X109" s="146"/>
      <c r="Y109" s="146"/>
      <c r="Z109" s="146"/>
      <c r="AA109" s="146"/>
      <c r="AB109" s="146"/>
    </row>
    <row r="110" ht="21.0" customHeight="1">
      <c r="A110" s="32"/>
      <c r="B110" s="19" t="s">
        <v>399</v>
      </c>
      <c r="C110" s="111">
        <v>0.0</v>
      </c>
      <c r="D110" s="143"/>
      <c r="E110" s="150"/>
      <c r="F110" s="111">
        <v>0.0</v>
      </c>
      <c r="G110" s="32"/>
      <c r="H110" s="32"/>
      <c r="I110" s="32"/>
      <c r="J110" s="32"/>
      <c r="K110" s="146"/>
      <c r="L110" s="146"/>
      <c r="M110" s="146"/>
      <c r="N110" s="146"/>
      <c r="O110" s="146"/>
      <c r="P110" s="146"/>
      <c r="Q110" s="146"/>
      <c r="R110" s="146"/>
      <c r="S110" s="146"/>
      <c r="T110" s="146"/>
      <c r="U110" s="146"/>
      <c r="V110" s="146"/>
      <c r="W110" s="146"/>
      <c r="X110" s="146"/>
      <c r="Y110" s="146"/>
      <c r="Z110" s="146"/>
      <c r="AA110" s="146"/>
      <c r="AB110" s="146"/>
    </row>
    <row r="111" ht="15.75" customHeight="1">
      <c r="A111" s="137">
        <v>26.0</v>
      </c>
      <c r="B111" s="19" t="s">
        <v>543</v>
      </c>
      <c r="C111" s="111"/>
      <c r="D111" s="143"/>
      <c r="E111" s="151" t="s">
        <v>544</v>
      </c>
      <c r="F111" s="111"/>
      <c r="G111" s="86"/>
      <c r="H111" s="157" t="s">
        <v>545</v>
      </c>
      <c r="I111" s="167" t="s">
        <v>546</v>
      </c>
      <c r="J111" s="167" t="s">
        <v>547</v>
      </c>
      <c r="K111" s="146"/>
      <c r="L111" s="146"/>
      <c r="M111" s="146"/>
      <c r="N111" s="146"/>
      <c r="O111" s="146"/>
      <c r="P111" s="146"/>
      <c r="Q111" s="146"/>
      <c r="R111" s="146"/>
      <c r="S111" s="146"/>
      <c r="T111" s="146"/>
      <c r="U111" s="146"/>
      <c r="V111" s="146"/>
      <c r="W111" s="146"/>
      <c r="X111" s="146"/>
      <c r="Y111" s="146"/>
      <c r="Z111" s="146"/>
      <c r="AA111" s="146"/>
      <c r="AB111" s="146"/>
    </row>
    <row r="112" ht="15.75" customHeight="1">
      <c r="A112" s="24"/>
      <c r="B112" s="19" t="s">
        <v>548</v>
      </c>
      <c r="C112" s="111">
        <v>100.0</v>
      </c>
      <c r="D112" s="143">
        <v>100.0</v>
      </c>
      <c r="E112" s="151" t="s">
        <v>549</v>
      </c>
      <c r="F112" s="111">
        <v>100.0</v>
      </c>
      <c r="G112" s="158" t="s">
        <v>377</v>
      </c>
      <c r="H112" s="24"/>
      <c r="I112" s="167"/>
      <c r="J112" s="167" t="s">
        <v>550</v>
      </c>
      <c r="K112" s="146"/>
      <c r="L112" s="146"/>
      <c r="M112" s="146"/>
      <c r="N112" s="146"/>
      <c r="O112" s="146"/>
      <c r="P112" s="146"/>
      <c r="Q112" s="146"/>
      <c r="R112" s="146"/>
      <c r="S112" s="146"/>
      <c r="T112" s="146"/>
      <c r="U112" s="146"/>
      <c r="V112" s="146"/>
      <c r="W112" s="146"/>
      <c r="X112" s="146"/>
      <c r="Y112" s="146"/>
      <c r="Z112" s="146"/>
      <c r="AA112" s="146"/>
      <c r="AB112" s="146"/>
    </row>
    <row r="113" ht="15.75" customHeight="1">
      <c r="A113" s="32"/>
      <c r="B113" s="19" t="s">
        <v>551</v>
      </c>
      <c r="C113" s="111">
        <v>0.0</v>
      </c>
      <c r="D113" s="143"/>
      <c r="E113" s="151" t="s">
        <v>552</v>
      </c>
      <c r="F113" s="111"/>
      <c r="G113" s="86"/>
      <c r="H113" s="32"/>
      <c r="I113" s="167"/>
      <c r="J113" s="167"/>
      <c r="K113" s="146"/>
      <c r="L113" s="146"/>
      <c r="M113" s="146"/>
      <c r="N113" s="146"/>
      <c r="O113" s="146"/>
      <c r="P113" s="146"/>
      <c r="Q113" s="146"/>
      <c r="R113" s="146"/>
      <c r="S113" s="146"/>
      <c r="T113" s="146"/>
      <c r="U113" s="146"/>
      <c r="V113" s="146"/>
      <c r="W113" s="146"/>
      <c r="X113" s="146"/>
      <c r="Y113" s="146"/>
      <c r="Z113" s="146"/>
      <c r="AA113" s="146"/>
      <c r="AB113" s="146"/>
    </row>
    <row r="114" ht="21.0" customHeight="1">
      <c r="A114" s="177"/>
      <c r="B114" s="177" t="s">
        <v>311</v>
      </c>
      <c r="C114" s="123"/>
      <c r="D114" s="178">
        <f>SUM(D10:D113)</f>
        <v>2450</v>
      </c>
      <c r="E114" s="179"/>
      <c r="F114" s="178">
        <f>SUM(F10:F113)</f>
        <v>1200</v>
      </c>
      <c r="G114" s="180"/>
      <c r="H114" s="181"/>
      <c r="I114" s="181"/>
      <c r="J114" s="181"/>
      <c r="K114" s="146"/>
      <c r="L114" s="146"/>
      <c r="M114" s="146"/>
      <c r="N114" s="146"/>
      <c r="O114" s="146"/>
      <c r="P114" s="146"/>
      <c r="Q114" s="146"/>
      <c r="R114" s="146"/>
      <c r="S114" s="146"/>
      <c r="T114" s="146"/>
      <c r="U114" s="146"/>
      <c r="V114" s="146"/>
      <c r="W114" s="146"/>
      <c r="X114" s="146"/>
      <c r="Y114" s="146"/>
      <c r="Z114" s="146"/>
      <c r="AA114" s="146"/>
      <c r="AB114" s="146"/>
    </row>
    <row r="115" ht="15.75" customHeight="1">
      <c r="A115" s="130"/>
      <c r="B115" s="131"/>
      <c r="C115" s="132"/>
      <c r="D115" s="132"/>
      <c r="E115" s="132"/>
      <c r="F115" s="132"/>
      <c r="G115" s="13"/>
      <c r="H115" s="13"/>
      <c r="I115" s="13"/>
      <c r="J115" s="13"/>
      <c r="K115" s="131"/>
      <c r="L115" s="131"/>
      <c r="M115" s="131"/>
      <c r="N115" s="131"/>
      <c r="O115" s="13"/>
      <c r="P115" s="13"/>
      <c r="Q115" s="13"/>
      <c r="R115" s="13"/>
      <c r="S115" s="13"/>
      <c r="T115" s="13"/>
      <c r="U115" s="13"/>
      <c r="V115" s="13"/>
      <c r="W115" s="13"/>
      <c r="X115" s="13"/>
      <c r="Y115" s="13"/>
      <c r="Z115" s="13"/>
      <c r="AA115" s="13"/>
      <c r="AB115" s="13"/>
    </row>
    <row r="116" ht="15.75" customHeight="1">
      <c r="A116" s="130"/>
      <c r="B116" s="131"/>
      <c r="C116" s="132" t="s">
        <v>312</v>
      </c>
      <c r="D116" s="132">
        <f>D114/2600*100</f>
        <v>94.23076923</v>
      </c>
      <c r="E116" s="132"/>
      <c r="F116" s="132">
        <f>F114/2600*100</f>
        <v>46.15384615</v>
      </c>
      <c r="G116" s="6"/>
      <c r="H116" s="6"/>
      <c r="I116" s="6"/>
      <c r="J116" s="6"/>
      <c r="K116" s="131"/>
      <c r="L116" s="131"/>
      <c r="M116" s="131"/>
      <c r="N116" s="131"/>
      <c r="O116" s="6"/>
      <c r="P116" s="6"/>
      <c r="Q116" s="6"/>
      <c r="R116" s="6"/>
      <c r="S116" s="6"/>
      <c r="T116" s="6"/>
      <c r="U116" s="6"/>
      <c r="V116" s="6"/>
      <c r="W116" s="6"/>
      <c r="X116" s="6"/>
      <c r="Y116" s="6"/>
      <c r="Z116" s="6"/>
      <c r="AA116" s="6"/>
      <c r="AB116" s="6"/>
    </row>
    <row r="117" ht="15.75" customHeight="1">
      <c r="A117" s="130"/>
      <c r="B117" s="131"/>
      <c r="C117" s="132"/>
      <c r="D117" s="132"/>
      <c r="E117" s="132"/>
      <c r="F117" s="132"/>
      <c r="G117" s="6"/>
      <c r="H117" s="6"/>
      <c r="I117" s="6"/>
      <c r="J117" s="6"/>
      <c r="K117" s="131"/>
      <c r="L117" s="131"/>
      <c r="M117" s="131"/>
      <c r="N117" s="131"/>
      <c r="O117" s="6"/>
      <c r="P117" s="6"/>
      <c r="Q117" s="6"/>
      <c r="R117" s="6"/>
      <c r="S117" s="6"/>
      <c r="T117" s="6"/>
      <c r="U117" s="6"/>
      <c r="V117" s="6"/>
      <c r="W117" s="6"/>
      <c r="X117" s="6"/>
      <c r="Y117" s="6"/>
      <c r="Z117" s="6"/>
      <c r="AA117" s="6"/>
      <c r="AB117" s="6"/>
    </row>
    <row r="118" ht="15.75" customHeight="1">
      <c r="A118" s="130"/>
      <c r="B118" s="131"/>
      <c r="C118" s="132"/>
      <c r="D118" s="132"/>
      <c r="E118" s="132"/>
      <c r="F118" s="132"/>
      <c r="G118" s="6"/>
      <c r="H118" s="6"/>
      <c r="I118" s="6"/>
      <c r="J118" s="6"/>
      <c r="K118" s="131"/>
      <c r="L118" s="131"/>
      <c r="M118" s="131"/>
      <c r="N118" s="131"/>
      <c r="O118" s="6"/>
      <c r="P118" s="6"/>
      <c r="Q118" s="6"/>
      <c r="R118" s="6"/>
      <c r="S118" s="6"/>
      <c r="T118" s="6"/>
      <c r="U118" s="6"/>
      <c r="V118" s="6"/>
      <c r="W118" s="6"/>
      <c r="X118" s="6"/>
      <c r="Y118" s="6"/>
      <c r="Z118" s="6"/>
      <c r="AA118" s="6"/>
      <c r="AB118" s="6"/>
    </row>
    <row r="119" ht="15.75" customHeight="1">
      <c r="A119" s="130"/>
      <c r="B119" s="131"/>
      <c r="C119" s="132"/>
      <c r="D119" s="132"/>
      <c r="E119" s="132"/>
      <c r="F119" s="132"/>
      <c r="G119" s="6"/>
      <c r="H119" s="6"/>
      <c r="I119" s="6"/>
      <c r="J119" s="6"/>
      <c r="K119" s="131"/>
      <c r="L119" s="131"/>
      <c r="M119" s="131"/>
      <c r="N119" s="131"/>
      <c r="O119" s="6"/>
      <c r="P119" s="6"/>
      <c r="Q119" s="6"/>
      <c r="R119" s="6"/>
      <c r="S119" s="6"/>
      <c r="T119" s="6"/>
      <c r="U119" s="6"/>
      <c r="V119" s="6"/>
      <c r="W119" s="6"/>
      <c r="X119" s="6"/>
      <c r="Y119" s="6"/>
      <c r="Z119" s="6"/>
      <c r="AA119" s="6"/>
      <c r="AB119" s="6"/>
    </row>
    <row r="120" ht="15.75" customHeight="1">
      <c r="A120" s="130"/>
      <c r="B120" s="131"/>
      <c r="C120" s="132"/>
      <c r="D120" s="132"/>
      <c r="E120" s="132"/>
      <c r="F120" s="132"/>
      <c r="G120" s="6"/>
      <c r="H120" s="6"/>
      <c r="I120" s="6"/>
      <c r="J120" s="6"/>
      <c r="K120" s="131"/>
      <c r="L120" s="131"/>
      <c r="M120" s="131"/>
      <c r="N120" s="131"/>
      <c r="O120" s="6"/>
      <c r="P120" s="6"/>
      <c r="Q120" s="6"/>
      <c r="R120" s="6"/>
      <c r="S120" s="6"/>
      <c r="T120" s="6"/>
      <c r="U120" s="6"/>
      <c r="V120" s="6"/>
      <c r="W120" s="6"/>
      <c r="X120" s="6"/>
      <c r="Y120" s="6"/>
      <c r="Z120" s="6"/>
      <c r="AA120" s="6"/>
      <c r="AB120" s="6"/>
    </row>
    <row r="121" ht="15.75" customHeight="1">
      <c r="A121" s="130"/>
      <c r="B121" s="131"/>
      <c r="C121" s="132"/>
      <c r="D121" s="132"/>
      <c r="E121" s="132"/>
      <c r="F121" s="132"/>
      <c r="G121" s="6"/>
      <c r="H121" s="6"/>
      <c r="I121" s="6"/>
      <c r="J121" s="6"/>
      <c r="K121" s="131"/>
      <c r="L121" s="131"/>
      <c r="M121" s="131"/>
      <c r="N121" s="131"/>
      <c r="O121" s="6"/>
      <c r="P121" s="6"/>
      <c r="Q121" s="6"/>
      <c r="R121" s="6"/>
      <c r="S121" s="6"/>
      <c r="T121" s="6"/>
      <c r="U121" s="6"/>
      <c r="V121" s="6"/>
      <c r="W121" s="6"/>
      <c r="X121" s="6"/>
      <c r="Y121" s="6"/>
      <c r="Z121" s="6"/>
      <c r="AA121" s="6"/>
      <c r="AB121" s="6"/>
    </row>
    <row r="122" ht="15.75" customHeight="1">
      <c r="A122" s="130"/>
      <c r="B122" s="131"/>
      <c r="C122" s="132"/>
      <c r="D122" s="132"/>
      <c r="E122" s="132"/>
      <c r="F122" s="132"/>
      <c r="G122" s="6"/>
      <c r="H122" s="6"/>
      <c r="I122" s="6"/>
      <c r="J122" s="6"/>
      <c r="K122" s="131"/>
      <c r="L122" s="131"/>
      <c r="M122" s="131"/>
      <c r="N122" s="131"/>
      <c r="O122" s="6"/>
      <c r="P122" s="6"/>
      <c r="Q122" s="6"/>
      <c r="R122" s="6"/>
      <c r="S122" s="6"/>
      <c r="T122" s="6"/>
      <c r="U122" s="6"/>
      <c r="V122" s="6"/>
      <c r="W122" s="6"/>
      <c r="X122" s="6"/>
      <c r="Y122" s="6"/>
      <c r="Z122" s="6"/>
      <c r="AA122" s="6"/>
      <c r="AB122" s="6"/>
    </row>
    <row r="123" ht="15.75" customHeight="1">
      <c r="A123" s="130"/>
      <c r="B123" s="131"/>
      <c r="C123" s="132"/>
      <c r="D123" s="132"/>
      <c r="E123" s="132"/>
      <c r="F123" s="132"/>
      <c r="G123" s="6"/>
      <c r="H123" s="6"/>
      <c r="I123" s="6"/>
      <c r="J123" s="6"/>
      <c r="K123" s="131"/>
      <c r="L123" s="131"/>
      <c r="M123" s="131"/>
      <c r="N123" s="131"/>
      <c r="O123" s="6"/>
      <c r="P123" s="6"/>
      <c r="Q123" s="6"/>
      <c r="R123" s="6"/>
      <c r="S123" s="6"/>
      <c r="T123" s="6"/>
      <c r="U123" s="6"/>
      <c r="V123" s="6"/>
      <c r="W123" s="6"/>
      <c r="X123" s="6"/>
      <c r="Y123" s="6"/>
      <c r="Z123" s="6"/>
      <c r="AA123" s="6"/>
      <c r="AB123" s="6"/>
    </row>
    <row r="124" ht="15.75" customHeight="1">
      <c r="A124" s="130"/>
      <c r="B124" s="131"/>
      <c r="C124" s="132"/>
      <c r="D124" s="132"/>
      <c r="E124" s="132"/>
      <c r="F124" s="132"/>
      <c r="G124" s="6"/>
      <c r="H124" s="6"/>
      <c r="I124" s="6"/>
      <c r="J124" s="6"/>
      <c r="K124" s="131"/>
      <c r="L124" s="131"/>
      <c r="M124" s="131"/>
      <c r="N124" s="131"/>
      <c r="O124" s="6"/>
      <c r="P124" s="6"/>
      <c r="Q124" s="6"/>
      <c r="R124" s="6"/>
      <c r="S124" s="6"/>
      <c r="T124" s="6"/>
      <c r="U124" s="6"/>
      <c r="V124" s="6"/>
      <c r="W124" s="6"/>
      <c r="X124" s="6"/>
      <c r="Y124" s="6"/>
      <c r="Z124" s="6"/>
      <c r="AA124" s="6"/>
      <c r="AB124" s="6"/>
    </row>
    <row r="125" ht="15.75" customHeight="1">
      <c r="A125" s="130"/>
      <c r="B125" s="131"/>
      <c r="C125" s="132"/>
      <c r="D125" s="132"/>
      <c r="E125" s="132"/>
      <c r="F125" s="132"/>
      <c r="G125" s="6"/>
      <c r="H125" s="6"/>
      <c r="I125" s="6"/>
      <c r="J125" s="6"/>
      <c r="K125" s="131"/>
      <c r="L125" s="131"/>
      <c r="M125" s="131"/>
      <c r="N125" s="131"/>
      <c r="O125" s="6"/>
      <c r="P125" s="6"/>
      <c r="Q125" s="6"/>
      <c r="R125" s="6"/>
      <c r="S125" s="6"/>
      <c r="T125" s="6"/>
      <c r="U125" s="6"/>
      <c r="V125" s="6"/>
      <c r="W125" s="6"/>
      <c r="X125" s="6"/>
      <c r="Y125" s="6"/>
      <c r="Z125" s="6"/>
      <c r="AA125" s="6"/>
      <c r="AB125" s="6"/>
    </row>
    <row r="126" ht="15.75" customHeight="1">
      <c r="A126" s="130"/>
      <c r="B126" s="131"/>
      <c r="C126" s="132"/>
      <c r="D126" s="132"/>
      <c r="E126" s="132"/>
      <c r="F126" s="132"/>
      <c r="G126" s="6"/>
      <c r="H126" s="6"/>
      <c r="I126" s="6"/>
      <c r="J126" s="6"/>
      <c r="K126" s="131"/>
      <c r="L126" s="131"/>
      <c r="M126" s="131"/>
      <c r="N126" s="131"/>
      <c r="O126" s="6"/>
      <c r="P126" s="6"/>
      <c r="Q126" s="6"/>
      <c r="R126" s="6"/>
      <c r="S126" s="6"/>
      <c r="T126" s="6"/>
      <c r="U126" s="6"/>
      <c r="V126" s="6"/>
      <c r="W126" s="6"/>
      <c r="X126" s="6"/>
      <c r="Y126" s="6"/>
      <c r="Z126" s="6"/>
      <c r="AA126" s="6"/>
      <c r="AB126" s="6"/>
    </row>
    <row r="127" ht="15.75" customHeight="1">
      <c r="A127" s="130"/>
      <c r="B127" s="131"/>
      <c r="C127" s="132"/>
      <c r="D127" s="132"/>
      <c r="E127" s="132"/>
      <c r="F127" s="132"/>
      <c r="G127" s="6"/>
      <c r="H127" s="6"/>
      <c r="I127" s="6"/>
      <c r="J127" s="6"/>
      <c r="K127" s="131"/>
      <c r="L127" s="131"/>
      <c r="M127" s="131"/>
      <c r="N127" s="131"/>
      <c r="O127" s="6"/>
      <c r="P127" s="6"/>
      <c r="Q127" s="6"/>
      <c r="R127" s="6"/>
      <c r="S127" s="6"/>
      <c r="T127" s="6"/>
      <c r="U127" s="6"/>
      <c r="V127" s="6"/>
      <c r="W127" s="6"/>
      <c r="X127" s="6"/>
      <c r="Y127" s="6"/>
      <c r="Z127" s="6"/>
      <c r="AA127" s="6"/>
      <c r="AB127" s="6"/>
    </row>
    <row r="128" ht="15.75" customHeight="1">
      <c r="A128" s="130"/>
      <c r="B128" s="131"/>
      <c r="C128" s="132"/>
      <c r="D128" s="132"/>
      <c r="E128" s="132"/>
      <c r="F128" s="132"/>
      <c r="G128" s="6"/>
      <c r="H128" s="6"/>
      <c r="I128" s="6"/>
      <c r="J128" s="6"/>
      <c r="K128" s="131"/>
      <c r="L128" s="131"/>
      <c r="M128" s="131"/>
      <c r="N128" s="131"/>
      <c r="O128" s="6"/>
      <c r="P128" s="6"/>
      <c r="Q128" s="6"/>
      <c r="R128" s="6"/>
      <c r="S128" s="6"/>
      <c r="T128" s="6"/>
      <c r="U128" s="6"/>
      <c r="V128" s="6"/>
      <c r="W128" s="6"/>
      <c r="X128" s="6"/>
      <c r="Y128" s="6"/>
      <c r="Z128" s="6"/>
      <c r="AA128" s="6"/>
      <c r="AB128" s="6"/>
    </row>
    <row r="129" ht="15.75" customHeight="1">
      <c r="A129" s="130"/>
      <c r="B129" s="131"/>
      <c r="C129" s="132"/>
      <c r="D129" s="132"/>
      <c r="E129" s="132"/>
      <c r="F129" s="132"/>
      <c r="G129" s="6"/>
      <c r="H129" s="6"/>
      <c r="I129" s="6"/>
      <c r="J129" s="6"/>
      <c r="K129" s="131"/>
      <c r="L129" s="131"/>
      <c r="M129" s="131"/>
      <c r="N129" s="131"/>
      <c r="O129" s="6"/>
      <c r="P129" s="6"/>
      <c r="Q129" s="6"/>
      <c r="R129" s="6"/>
      <c r="S129" s="6"/>
      <c r="T129" s="6"/>
      <c r="U129" s="6"/>
      <c r="V129" s="6"/>
      <c r="W129" s="6"/>
      <c r="X129" s="6"/>
      <c r="Y129" s="6"/>
      <c r="Z129" s="6"/>
      <c r="AA129" s="6"/>
      <c r="AB129" s="6"/>
    </row>
    <row r="130" ht="15.75" customHeight="1">
      <c r="A130" s="130"/>
      <c r="B130" s="131"/>
      <c r="C130" s="132"/>
      <c r="D130" s="132"/>
      <c r="E130" s="132"/>
      <c r="F130" s="132"/>
      <c r="G130" s="6"/>
      <c r="H130" s="6"/>
      <c r="I130" s="6"/>
      <c r="J130" s="6"/>
      <c r="K130" s="131"/>
      <c r="L130" s="131"/>
      <c r="M130" s="131"/>
      <c r="N130" s="131"/>
      <c r="O130" s="6"/>
      <c r="P130" s="6"/>
      <c r="Q130" s="6"/>
      <c r="R130" s="6"/>
      <c r="S130" s="6"/>
      <c r="T130" s="6"/>
      <c r="U130" s="6"/>
      <c r="V130" s="6"/>
      <c r="W130" s="6"/>
      <c r="X130" s="6"/>
      <c r="Y130" s="6"/>
      <c r="Z130" s="6"/>
      <c r="AA130" s="6"/>
      <c r="AB130" s="6"/>
    </row>
    <row r="131" ht="15.75" customHeight="1">
      <c r="A131" s="130"/>
      <c r="B131" s="131"/>
      <c r="C131" s="132"/>
      <c r="D131" s="132"/>
      <c r="E131" s="132"/>
      <c r="F131" s="132"/>
      <c r="G131" s="6"/>
      <c r="H131" s="6"/>
      <c r="I131" s="6"/>
      <c r="J131" s="6"/>
      <c r="K131" s="131"/>
      <c r="L131" s="131"/>
      <c r="M131" s="131"/>
      <c r="N131" s="131"/>
      <c r="O131" s="6"/>
      <c r="P131" s="6"/>
      <c r="Q131" s="6"/>
      <c r="R131" s="6"/>
      <c r="S131" s="6"/>
      <c r="T131" s="6"/>
      <c r="U131" s="6"/>
      <c r="V131" s="6"/>
      <c r="W131" s="6"/>
      <c r="X131" s="6"/>
      <c r="Y131" s="6"/>
      <c r="Z131" s="6"/>
      <c r="AA131" s="6"/>
      <c r="AB131" s="6"/>
    </row>
    <row r="132" ht="15.75" customHeight="1">
      <c r="A132" s="130"/>
      <c r="B132" s="131"/>
      <c r="C132" s="132"/>
      <c r="D132" s="132"/>
      <c r="E132" s="132"/>
      <c r="F132" s="132"/>
      <c r="G132" s="6"/>
      <c r="H132" s="6"/>
      <c r="I132" s="6"/>
      <c r="J132" s="6"/>
      <c r="K132" s="131"/>
      <c r="L132" s="131"/>
      <c r="M132" s="131"/>
      <c r="N132" s="131"/>
      <c r="O132" s="6"/>
      <c r="P132" s="6"/>
      <c r="Q132" s="6"/>
      <c r="R132" s="6"/>
      <c r="S132" s="6"/>
      <c r="T132" s="6"/>
      <c r="U132" s="6"/>
      <c r="V132" s="6"/>
      <c r="W132" s="6"/>
      <c r="X132" s="6"/>
      <c r="Y132" s="6"/>
      <c r="Z132" s="6"/>
      <c r="AA132" s="6"/>
      <c r="AB132" s="6"/>
    </row>
    <row r="133" ht="15.75" customHeight="1">
      <c r="A133" s="130"/>
      <c r="B133" s="131"/>
      <c r="C133" s="132"/>
      <c r="D133" s="132"/>
      <c r="E133" s="132"/>
      <c r="F133" s="132"/>
      <c r="G133" s="6"/>
      <c r="H133" s="6"/>
      <c r="I133" s="6"/>
      <c r="J133" s="6"/>
      <c r="K133" s="131"/>
      <c r="L133" s="131"/>
      <c r="M133" s="131"/>
      <c r="N133" s="131"/>
      <c r="O133" s="6"/>
      <c r="P133" s="6"/>
      <c r="Q133" s="6"/>
      <c r="R133" s="6"/>
      <c r="S133" s="6"/>
      <c r="T133" s="6"/>
      <c r="U133" s="6"/>
      <c r="V133" s="6"/>
      <c r="W133" s="6"/>
      <c r="X133" s="6"/>
      <c r="Y133" s="6"/>
      <c r="Z133" s="6"/>
      <c r="AA133" s="6"/>
      <c r="AB133" s="6"/>
    </row>
    <row r="134" ht="15.75" customHeight="1">
      <c r="A134" s="130"/>
      <c r="B134" s="131"/>
      <c r="C134" s="132"/>
      <c r="D134" s="132"/>
      <c r="E134" s="132"/>
      <c r="F134" s="132"/>
      <c r="G134" s="6"/>
      <c r="H134" s="6"/>
      <c r="I134" s="6"/>
      <c r="J134" s="6"/>
      <c r="K134" s="131"/>
      <c r="L134" s="131"/>
      <c r="M134" s="131"/>
      <c r="N134" s="131"/>
      <c r="O134" s="6"/>
      <c r="P134" s="6"/>
      <c r="Q134" s="6"/>
      <c r="R134" s="6"/>
      <c r="S134" s="6"/>
      <c r="T134" s="6"/>
      <c r="U134" s="6"/>
      <c r="V134" s="6"/>
      <c r="W134" s="6"/>
      <c r="X134" s="6"/>
      <c r="Y134" s="6"/>
      <c r="Z134" s="6"/>
      <c r="AA134" s="6"/>
      <c r="AB134" s="6"/>
    </row>
    <row r="135" ht="15.75" customHeight="1">
      <c r="A135" s="130"/>
      <c r="B135" s="131"/>
      <c r="C135" s="132"/>
      <c r="D135" s="132"/>
      <c r="E135" s="132"/>
      <c r="F135" s="132"/>
      <c r="G135" s="6"/>
      <c r="H135" s="6"/>
      <c r="I135" s="6"/>
      <c r="J135" s="6"/>
      <c r="K135" s="131"/>
      <c r="L135" s="131"/>
      <c r="M135" s="131"/>
      <c r="N135" s="131"/>
      <c r="O135" s="6"/>
      <c r="P135" s="6"/>
      <c r="Q135" s="6"/>
      <c r="R135" s="6"/>
      <c r="S135" s="6"/>
      <c r="T135" s="6"/>
      <c r="U135" s="6"/>
      <c r="V135" s="6"/>
      <c r="W135" s="6"/>
      <c r="X135" s="6"/>
      <c r="Y135" s="6"/>
      <c r="Z135" s="6"/>
      <c r="AA135" s="6"/>
      <c r="AB135" s="6"/>
    </row>
    <row r="136" ht="15.75" customHeight="1">
      <c r="A136" s="130"/>
      <c r="B136" s="131"/>
      <c r="C136" s="132"/>
      <c r="D136" s="132"/>
      <c r="E136" s="132"/>
      <c r="F136" s="132"/>
      <c r="G136" s="6"/>
      <c r="H136" s="6"/>
      <c r="I136" s="6"/>
      <c r="J136" s="6"/>
      <c r="K136" s="131"/>
      <c r="L136" s="131"/>
      <c r="M136" s="131"/>
      <c r="N136" s="131"/>
      <c r="O136" s="6"/>
      <c r="P136" s="6"/>
      <c r="Q136" s="6"/>
      <c r="R136" s="6"/>
      <c r="S136" s="6"/>
      <c r="T136" s="6"/>
      <c r="U136" s="6"/>
      <c r="V136" s="6"/>
      <c r="W136" s="6"/>
      <c r="X136" s="6"/>
      <c r="Y136" s="6"/>
      <c r="Z136" s="6"/>
      <c r="AA136" s="6"/>
      <c r="AB136" s="6"/>
    </row>
    <row r="137" ht="15.75" customHeight="1">
      <c r="A137" s="130"/>
      <c r="B137" s="131"/>
      <c r="C137" s="132"/>
      <c r="D137" s="132"/>
      <c r="E137" s="132"/>
      <c r="F137" s="132"/>
      <c r="G137" s="6"/>
      <c r="H137" s="6"/>
      <c r="I137" s="6"/>
      <c r="J137" s="6"/>
      <c r="K137" s="131"/>
      <c r="L137" s="131"/>
      <c r="M137" s="131"/>
      <c r="N137" s="131"/>
      <c r="O137" s="6"/>
      <c r="P137" s="6"/>
      <c r="Q137" s="6"/>
      <c r="R137" s="6"/>
      <c r="S137" s="6"/>
      <c r="T137" s="6"/>
      <c r="U137" s="6"/>
      <c r="V137" s="6"/>
      <c r="W137" s="6"/>
      <c r="X137" s="6"/>
      <c r="Y137" s="6"/>
      <c r="Z137" s="6"/>
      <c r="AA137" s="6"/>
      <c r="AB137" s="6"/>
    </row>
    <row r="138" ht="15.75" customHeight="1">
      <c r="A138" s="130"/>
      <c r="B138" s="131"/>
      <c r="C138" s="132"/>
      <c r="D138" s="132"/>
      <c r="E138" s="132"/>
      <c r="F138" s="132"/>
      <c r="G138" s="6"/>
      <c r="H138" s="6"/>
      <c r="I138" s="6"/>
      <c r="J138" s="6"/>
      <c r="K138" s="131"/>
      <c r="L138" s="131"/>
      <c r="M138" s="131"/>
      <c r="N138" s="131"/>
      <c r="O138" s="6"/>
      <c r="P138" s="6"/>
      <c r="Q138" s="6"/>
      <c r="R138" s="6"/>
      <c r="S138" s="6"/>
      <c r="T138" s="6"/>
      <c r="U138" s="6"/>
      <c r="V138" s="6"/>
      <c r="W138" s="6"/>
      <c r="X138" s="6"/>
      <c r="Y138" s="6"/>
      <c r="Z138" s="6"/>
      <c r="AA138" s="6"/>
      <c r="AB138" s="6"/>
    </row>
    <row r="139" ht="15.75" customHeight="1">
      <c r="A139" s="130"/>
      <c r="B139" s="131"/>
      <c r="C139" s="132"/>
      <c r="D139" s="132"/>
      <c r="E139" s="132"/>
      <c r="F139" s="132"/>
      <c r="G139" s="6"/>
      <c r="H139" s="6"/>
      <c r="I139" s="6"/>
      <c r="J139" s="6"/>
      <c r="K139" s="131"/>
      <c r="L139" s="131"/>
      <c r="M139" s="131"/>
      <c r="N139" s="131"/>
      <c r="O139" s="6"/>
      <c r="P139" s="6"/>
      <c r="Q139" s="6"/>
      <c r="R139" s="6"/>
      <c r="S139" s="6"/>
      <c r="T139" s="6"/>
      <c r="U139" s="6"/>
      <c r="V139" s="6"/>
      <c r="W139" s="6"/>
      <c r="X139" s="6"/>
      <c r="Y139" s="6"/>
      <c r="Z139" s="6"/>
      <c r="AA139" s="6"/>
      <c r="AB139" s="6"/>
    </row>
    <row r="140" ht="15.75" customHeight="1">
      <c r="A140" s="130"/>
      <c r="B140" s="131"/>
      <c r="C140" s="132"/>
      <c r="D140" s="132"/>
      <c r="E140" s="132"/>
      <c r="F140" s="132"/>
      <c r="G140" s="6"/>
      <c r="H140" s="6"/>
      <c r="I140" s="6"/>
      <c r="J140" s="6"/>
      <c r="K140" s="131"/>
      <c r="L140" s="131"/>
      <c r="M140" s="131"/>
      <c r="N140" s="131"/>
      <c r="O140" s="6"/>
      <c r="P140" s="6"/>
      <c r="Q140" s="6"/>
      <c r="R140" s="6"/>
      <c r="S140" s="6"/>
      <c r="T140" s="6"/>
      <c r="U140" s="6"/>
      <c r="V140" s="6"/>
      <c r="W140" s="6"/>
      <c r="X140" s="6"/>
      <c r="Y140" s="6"/>
      <c r="Z140" s="6"/>
      <c r="AA140" s="6"/>
      <c r="AB140" s="6"/>
    </row>
    <row r="141" ht="15.75" customHeight="1">
      <c r="A141" s="130"/>
      <c r="B141" s="131"/>
      <c r="C141" s="132"/>
      <c r="D141" s="132"/>
      <c r="E141" s="132"/>
      <c r="F141" s="132"/>
      <c r="G141" s="6"/>
      <c r="H141" s="6"/>
      <c r="I141" s="6"/>
      <c r="J141" s="6"/>
      <c r="K141" s="131"/>
      <c r="L141" s="131"/>
      <c r="M141" s="131"/>
      <c r="N141" s="131"/>
      <c r="O141" s="6"/>
      <c r="P141" s="6"/>
      <c r="Q141" s="6"/>
      <c r="R141" s="6"/>
      <c r="S141" s="6"/>
      <c r="T141" s="6"/>
      <c r="U141" s="6"/>
      <c r="V141" s="6"/>
      <c r="W141" s="6"/>
      <c r="X141" s="6"/>
      <c r="Y141" s="6"/>
      <c r="Z141" s="6"/>
      <c r="AA141" s="6"/>
      <c r="AB141" s="6"/>
    </row>
    <row r="142" ht="15.75" customHeight="1">
      <c r="A142" s="130"/>
      <c r="B142" s="131"/>
      <c r="C142" s="132"/>
      <c r="D142" s="132"/>
      <c r="E142" s="132"/>
      <c r="F142" s="132"/>
      <c r="G142" s="6"/>
      <c r="H142" s="6"/>
      <c r="I142" s="6"/>
      <c r="J142" s="6"/>
      <c r="K142" s="131"/>
      <c r="L142" s="131"/>
      <c r="M142" s="131"/>
      <c r="N142" s="131"/>
      <c r="O142" s="6"/>
      <c r="P142" s="6"/>
      <c r="Q142" s="6"/>
      <c r="R142" s="6"/>
      <c r="S142" s="6"/>
      <c r="T142" s="6"/>
      <c r="U142" s="6"/>
      <c r="V142" s="6"/>
      <c r="W142" s="6"/>
      <c r="X142" s="6"/>
      <c r="Y142" s="6"/>
      <c r="Z142" s="6"/>
      <c r="AA142" s="6"/>
      <c r="AB142" s="6"/>
    </row>
    <row r="143" ht="15.75" customHeight="1">
      <c r="A143" s="130"/>
      <c r="B143" s="131"/>
      <c r="C143" s="132"/>
      <c r="D143" s="132"/>
      <c r="E143" s="132"/>
      <c r="F143" s="132"/>
      <c r="G143" s="6"/>
      <c r="H143" s="6"/>
      <c r="I143" s="6"/>
      <c r="J143" s="6"/>
      <c r="K143" s="131"/>
      <c r="L143" s="131"/>
      <c r="M143" s="131"/>
      <c r="N143" s="131"/>
      <c r="O143" s="6"/>
      <c r="P143" s="6"/>
      <c r="Q143" s="6"/>
      <c r="R143" s="6"/>
      <c r="S143" s="6"/>
      <c r="T143" s="6"/>
      <c r="U143" s="6"/>
      <c r="V143" s="6"/>
      <c r="W143" s="6"/>
      <c r="X143" s="6"/>
      <c r="Y143" s="6"/>
      <c r="Z143" s="6"/>
      <c r="AA143" s="6"/>
      <c r="AB143" s="6"/>
    </row>
    <row r="144" ht="15.75" customHeight="1">
      <c r="A144" s="130"/>
      <c r="B144" s="131"/>
      <c r="C144" s="132"/>
      <c r="D144" s="132"/>
      <c r="E144" s="132"/>
      <c r="F144" s="132"/>
      <c r="G144" s="6"/>
      <c r="H144" s="6"/>
      <c r="I144" s="6"/>
      <c r="J144" s="6"/>
      <c r="K144" s="131"/>
      <c r="L144" s="131"/>
      <c r="M144" s="131"/>
      <c r="N144" s="131"/>
      <c r="O144" s="6"/>
      <c r="P144" s="6"/>
      <c r="Q144" s="6"/>
      <c r="R144" s="6"/>
      <c r="S144" s="6"/>
      <c r="T144" s="6"/>
      <c r="U144" s="6"/>
      <c r="V144" s="6"/>
      <c r="W144" s="6"/>
      <c r="X144" s="6"/>
      <c r="Y144" s="6"/>
      <c r="Z144" s="6"/>
      <c r="AA144" s="6"/>
      <c r="AB144" s="6"/>
    </row>
    <row r="145" ht="15.75" customHeight="1">
      <c r="A145" s="130"/>
      <c r="B145" s="131"/>
      <c r="C145" s="132"/>
      <c r="D145" s="132"/>
      <c r="E145" s="132"/>
      <c r="F145" s="132"/>
      <c r="G145" s="6"/>
      <c r="H145" s="6"/>
      <c r="I145" s="6"/>
      <c r="J145" s="6"/>
      <c r="K145" s="131"/>
      <c r="L145" s="131"/>
      <c r="M145" s="131"/>
      <c r="N145" s="131"/>
      <c r="O145" s="6"/>
      <c r="P145" s="6"/>
      <c r="Q145" s="6"/>
      <c r="R145" s="6"/>
      <c r="S145" s="6"/>
      <c r="T145" s="6"/>
      <c r="U145" s="6"/>
      <c r="V145" s="6"/>
      <c r="W145" s="6"/>
      <c r="X145" s="6"/>
      <c r="Y145" s="6"/>
      <c r="Z145" s="6"/>
      <c r="AA145" s="6"/>
      <c r="AB145" s="6"/>
    </row>
    <row r="146" ht="15.75" customHeight="1">
      <c r="A146" s="130"/>
      <c r="B146" s="131"/>
      <c r="C146" s="132"/>
      <c r="D146" s="132"/>
      <c r="E146" s="132"/>
      <c r="F146" s="132"/>
      <c r="G146" s="6"/>
      <c r="H146" s="6"/>
      <c r="I146" s="6"/>
      <c r="J146" s="6"/>
      <c r="K146" s="131"/>
      <c r="L146" s="131"/>
      <c r="M146" s="131"/>
      <c r="N146" s="131"/>
      <c r="O146" s="6"/>
      <c r="P146" s="6"/>
      <c r="Q146" s="6"/>
      <c r="R146" s="6"/>
      <c r="S146" s="6"/>
      <c r="T146" s="6"/>
      <c r="U146" s="6"/>
      <c r="V146" s="6"/>
      <c r="W146" s="6"/>
      <c r="X146" s="6"/>
      <c r="Y146" s="6"/>
      <c r="Z146" s="6"/>
      <c r="AA146" s="6"/>
      <c r="AB146" s="6"/>
    </row>
    <row r="147" ht="15.75" customHeight="1">
      <c r="A147" s="130"/>
      <c r="B147" s="131"/>
      <c r="C147" s="132"/>
      <c r="D147" s="132"/>
      <c r="E147" s="132"/>
      <c r="F147" s="132"/>
      <c r="G147" s="6"/>
      <c r="H147" s="6"/>
      <c r="I147" s="6"/>
      <c r="J147" s="6"/>
      <c r="K147" s="131"/>
      <c r="L147" s="131"/>
      <c r="M147" s="131"/>
      <c r="N147" s="131"/>
      <c r="O147" s="6"/>
      <c r="P147" s="6"/>
      <c r="Q147" s="6"/>
      <c r="R147" s="6"/>
      <c r="S147" s="6"/>
      <c r="T147" s="6"/>
      <c r="U147" s="6"/>
      <c r="V147" s="6"/>
      <c r="W147" s="6"/>
      <c r="X147" s="6"/>
      <c r="Y147" s="6"/>
      <c r="Z147" s="6"/>
      <c r="AA147" s="6"/>
      <c r="AB147" s="6"/>
    </row>
    <row r="148" ht="15.75" customHeight="1">
      <c r="A148" s="130"/>
      <c r="B148" s="131"/>
      <c r="C148" s="132"/>
      <c r="D148" s="132"/>
      <c r="E148" s="132"/>
      <c r="F148" s="132"/>
      <c r="G148" s="6"/>
      <c r="H148" s="6"/>
      <c r="I148" s="6"/>
      <c r="J148" s="6"/>
      <c r="K148" s="131"/>
      <c r="L148" s="131"/>
      <c r="M148" s="131"/>
      <c r="N148" s="131"/>
      <c r="O148" s="6"/>
      <c r="P148" s="6"/>
      <c r="Q148" s="6"/>
      <c r="R148" s="6"/>
      <c r="S148" s="6"/>
      <c r="T148" s="6"/>
      <c r="U148" s="6"/>
      <c r="V148" s="6"/>
      <c r="W148" s="6"/>
      <c r="X148" s="6"/>
      <c r="Y148" s="6"/>
      <c r="Z148" s="6"/>
      <c r="AA148" s="6"/>
      <c r="AB148" s="6"/>
    </row>
    <row r="149" ht="15.75" customHeight="1">
      <c r="A149" s="130"/>
      <c r="B149" s="131"/>
      <c r="C149" s="132"/>
      <c r="D149" s="132"/>
      <c r="E149" s="132"/>
      <c r="F149" s="132"/>
      <c r="G149" s="6"/>
      <c r="H149" s="6"/>
      <c r="I149" s="6"/>
      <c r="J149" s="6"/>
      <c r="K149" s="131"/>
      <c r="L149" s="131"/>
      <c r="M149" s="131"/>
      <c r="N149" s="131"/>
      <c r="O149" s="6"/>
      <c r="P149" s="6"/>
      <c r="Q149" s="6"/>
      <c r="R149" s="6"/>
      <c r="S149" s="6"/>
      <c r="T149" s="6"/>
      <c r="U149" s="6"/>
      <c r="V149" s="6"/>
      <c r="W149" s="6"/>
      <c r="X149" s="6"/>
      <c r="Y149" s="6"/>
      <c r="Z149" s="6"/>
      <c r="AA149" s="6"/>
      <c r="AB149" s="6"/>
    </row>
    <row r="150" ht="15.75" customHeight="1">
      <c r="A150" s="130"/>
      <c r="B150" s="131"/>
      <c r="C150" s="132"/>
      <c r="D150" s="132"/>
      <c r="E150" s="132"/>
      <c r="F150" s="132"/>
      <c r="G150" s="6"/>
      <c r="H150" s="6"/>
      <c r="I150" s="6"/>
      <c r="J150" s="6"/>
      <c r="K150" s="131"/>
      <c r="L150" s="131"/>
      <c r="M150" s="131"/>
      <c r="N150" s="131"/>
      <c r="O150" s="6"/>
      <c r="P150" s="6"/>
      <c r="Q150" s="6"/>
      <c r="R150" s="6"/>
      <c r="S150" s="6"/>
      <c r="T150" s="6"/>
      <c r="U150" s="6"/>
      <c r="V150" s="6"/>
      <c r="W150" s="6"/>
      <c r="X150" s="6"/>
      <c r="Y150" s="6"/>
      <c r="Z150" s="6"/>
      <c r="AA150" s="6"/>
      <c r="AB150" s="6"/>
    </row>
    <row r="151" ht="15.75" customHeight="1">
      <c r="A151" s="130"/>
      <c r="B151" s="131"/>
      <c r="C151" s="132"/>
      <c r="D151" s="132"/>
      <c r="E151" s="132"/>
      <c r="F151" s="132"/>
      <c r="G151" s="6"/>
      <c r="H151" s="6"/>
      <c r="I151" s="6"/>
      <c r="J151" s="6"/>
      <c r="K151" s="131"/>
      <c r="L151" s="131"/>
      <c r="M151" s="131"/>
      <c r="N151" s="131"/>
      <c r="O151" s="6"/>
      <c r="P151" s="6"/>
      <c r="Q151" s="6"/>
      <c r="R151" s="6"/>
      <c r="S151" s="6"/>
      <c r="T151" s="6"/>
      <c r="U151" s="6"/>
      <c r="V151" s="6"/>
      <c r="W151" s="6"/>
      <c r="X151" s="6"/>
      <c r="Y151" s="6"/>
      <c r="Z151" s="6"/>
      <c r="AA151" s="6"/>
      <c r="AB151" s="6"/>
    </row>
    <row r="152" ht="15.75" customHeight="1">
      <c r="A152" s="130"/>
      <c r="B152" s="131"/>
      <c r="C152" s="132"/>
      <c r="D152" s="132"/>
      <c r="E152" s="132"/>
      <c r="F152" s="132"/>
      <c r="G152" s="6"/>
      <c r="H152" s="6"/>
      <c r="I152" s="6"/>
      <c r="J152" s="6"/>
      <c r="K152" s="131"/>
      <c r="L152" s="131"/>
      <c r="M152" s="131"/>
      <c r="N152" s="131"/>
      <c r="O152" s="6"/>
      <c r="P152" s="6"/>
      <c r="Q152" s="6"/>
      <c r="R152" s="6"/>
      <c r="S152" s="6"/>
      <c r="T152" s="6"/>
      <c r="U152" s="6"/>
      <c r="V152" s="6"/>
      <c r="W152" s="6"/>
      <c r="X152" s="6"/>
      <c r="Y152" s="6"/>
      <c r="Z152" s="6"/>
      <c r="AA152" s="6"/>
      <c r="AB152" s="6"/>
    </row>
    <row r="153" ht="15.75" customHeight="1">
      <c r="A153" s="130"/>
      <c r="B153" s="131"/>
      <c r="C153" s="132"/>
      <c r="D153" s="132"/>
      <c r="E153" s="132"/>
      <c r="F153" s="132"/>
      <c r="G153" s="6"/>
      <c r="H153" s="6"/>
      <c r="I153" s="6"/>
      <c r="J153" s="6"/>
      <c r="K153" s="131"/>
      <c r="L153" s="131"/>
      <c r="M153" s="131"/>
      <c r="N153" s="131"/>
      <c r="O153" s="6"/>
      <c r="P153" s="6"/>
      <c r="Q153" s="6"/>
      <c r="R153" s="6"/>
      <c r="S153" s="6"/>
      <c r="T153" s="6"/>
      <c r="U153" s="6"/>
      <c r="V153" s="6"/>
      <c r="W153" s="6"/>
      <c r="X153" s="6"/>
      <c r="Y153" s="6"/>
      <c r="Z153" s="6"/>
      <c r="AA153" s="6"/>
      <c r="AB153" s="6"/>
    </row>
    <row r="154" ht="15.75" customHeight="1">
      <c r="A154" s="130"/>
      <c r="B154" s="131"/>
      <c r="C154" s="132"/>
      <c r="D154" s="132"/>
      <c r="E154" s="132"/>
      <c r="F154" s="132"/>
      <c r="G154" s="6"/>
      <c r="H154" s="6"/>
      <c r="I154" s="6"/>
      <c r="J154" s="6"/>
      <c r="K154" s="131"/>
      <c r="L154" s="131"/>
      <c r="M154" s="131"/>
      <c r="N154" s="131"/>
      <c r="O154" s="6"/>
      <c r="P154" s="6"/>
      <c r="Q154" s="6"/>
      <c r="R154" s="6"/>
      <c r="S154" s="6"/>
      <c r="T154" s="6"/>
      <c r="U154" s="6"/>
      <c r="V154" s="6"/>
      <c r="W154" s="6"/>
      <c r="X154" s="6"/>
      <c r="Y154" s="6"/>
      <c r="Z154" s="6"/>
      <c r="AA154" s="6"/>
      <c r="AB154" s="6"/>
    </row>
    <row r="155" ht="15.75" customHeight="1">
      <c r="A155" s="130"/>
      <c r="B155" s="131"/>
      <c r="C155" s="132"/>
      <c r="D155" s="132"/>
      <c r="E155" s="132"/>
      <c r="F155" s="132"/>
      <c r="G155" s="6"/>
      <c r="H155" s="6"/>
      <c r="I155" s="6"/>
      <c r="J155" s="6"/>
      <c r="K155" s="131"/>
      <c r="L155" s="131"/>
      <c r="M155" s="131"/>
      <c r="N155" s="131"/>
      <c r="O155" s="6"/>
      <c r="P155" s="6"/>
      <c r="Q155" s="6"/>
      <c r="R155" s="6"/>
      <c r="S155" s="6"/>
      <c r="T155" s="6"/>
      <c r="U155" s="6"/>
      <c r="V155" s="6"/>
      <c r="W155" s="6"/>
      <c r="X155" s="6"/>
      <c r="Y155" s="6"/>
      <c r="Z155" s="6"/>
      <c r="AA155" s="6"/>
      <c r="AB155" s="6"/>
    </row>
    <row r="156" ht="15.75" customHeight="1">
      <c r="A156" s="130"/>
      <c r="B156" s="131"/>
      <c r="C156" s="132"/>
      <c r="D156" s="132"/>
      <c r="E156" s="132"/>
      <c r="F156" s="132"/>
      <c r="G156" s="6"/>
      <c r="H156" s="6"/>
      <c r="I156" s="6"/>
      <c r="J156" s="6"/>
      <c r="K156" s="131"/>
      <c r="L156" s="131"/>
      <c r="M156" s="131"/>
      <c r="N156" s="131"/>
      <c r="O156" s="6"/>
      <c r="P156" s="6"/>
      <c r="Q156" s="6"/>
      <c r="R156" s="6"/>
      <c r="S156" s="6"/>
      <c r="T156" s="6"/>
      <c r="U156" s="6"/>
      <c r="V156" s="6"/>
      <c r="W156" s="6"/>
      <c r="X156" s="6"/>
      <c r="Y156" s="6"/>
      <c r="Z156" s="6"/>
      <c r="AA156" s="6"/>
      <c r="AB156" s="6"/>
    </row>
    <row r="157" ht="15.75" customHeight="1">
      <c r="A157" s="130"/>
      <c r="B157" s="131"/>
      <c r="C157" s="132"/>
      <c r="D157" s="132"/>
      <c r="E157" s="132"/>
      <c r="F157" s="132"/>
      <c r="G157" s="6"/>
      <c r="H157" s="6"/>
      <c r="I157" s="6"/>
      <c r="J157" s="6"/>
      <c r="K157" s="131"/>
      <c r="L157" s="131"/>
      <c r="M157" s="131"/>
      <c r="N157" s="131"/>
      <c r="O157" s="6"/>
      <c r="P157" s="6"/>
      <c r="Q157" s="6"/>
      <c r="R157" s="6"/>
      <c r="S157" s="6"/>
      <c r="T157" s="6"/>
      <c r="U157" s="6"/>
      <c r="V157" s="6"/>
      <c r="W157" s="6"/>
      <c r="X157" s="6"/>
      <c r="Y157" s="6"/>
      <c r="Z157" s="6"/>
      <c r="AA157" s="6"/>
      <c r="AB157" s="6"/>
    </row>
    <row r="158" ht="15.75" customHeight="1">
      <c r="A158" s="130"/>
      <c r="B158" s="131"/>
      <c r="C158" s="132"/>
      <c r="D158" s="132"/>
      <c r="E158" s="132"/>
      <c r="F158" s="132"/>
      <c r="G158" s="6"/>
      <c r="H158" s="6"/>
      <c r="I158" s="6"/>
      <c r="J158" s="6"/>
      <c r="K158" s="131"/>
      <c r="L158" s="131"/>
      <c r="M158" s="131"/>
      <c r="N158" s="131"/>
      <c r="O158" s="6"/>
      <c r="P158" s="6"/>
      <c r="Q158" s="6"/>
      <c r="R158" s="6"/>
      <c r="S158" s="6"/>
      <c r="T158" s="6"/>
      <c r="U158" s="6"/>
      <c r="V158" s="6"/>
      <c r="W158" s="6"/>
      <c r="X158" s="6"/>
      <c r="Y158" s="6"/>
      <c r="Z158" s="6"/>
      <c r="AA158" s="6"/>
      <c r="AB158" s="6"/>
    </row>
    <row r="159" ht="15.75" customHeight="1">
      <c r="A159" s="130"/>
      <c r="B159" s="131"/>
      <c r="C159" s="132"/>
      <c r="D159" s="132"/>
      <c r="E159" s="132"/>
      <c r="F159" s="132"/>
      <c r="G159" s="6"/>
      <c r="H159" s="6"/>
      <c r="I159" s="6"/>
      <c r="J159" s="6"/>
      <c r="K159" s="131"/>
      <c r="L159" s="131"/>
      <c r="M159" s="131"/>
      <c r="N159" s="131"/>
      <c r="O159" s="6"/>
      <c r="P159" s="6"/>
      <c r="Q159" s="6"/>
      <c r="R159" s="6"/>
      <c r="S159" s="6"/>
      <c r="T159" s="6"/>
      <c r="U159" s="6"/>
      <c r="V159" s="6"/>
      <c r="W159" s="6"/>
      <c r="X159" s="6"/>
      <c r="Y159" s="6"/>
      <c r="Z159" s="6"/>
      <c r="AA159" s="6"/>
      <c r="AB159" s="6"/>
    </row>
    <row r="160" ht="15.75" customHeight="1">
      <c r="A160" s="130"/>
      <c r="B160" s="131"/>
      <c r="C160" s="132"/>
      <c r="D160" s="132"/>
      <c r="E160" s="132"/>
      <c r="F160" s="132"/>
      <c r="G160" s="6"/>
      <c r="H160" s="6"/>
      <c r="I160" s="6"/>
      <c r="J160" s="6"/>
      <c r="K160" s="131"/>
      <c r="L160" s="131"/>
      <c r="M160" s="131"/>
      <c r="N160" s="131"/>
      <c r="O160" s="6"/>
      <c r="P160" s="6"/>
      <c r="Q160" s="6"/>
      <c r="R160" s="6"/>
      <c r="S160" s="6"/>
      <c r="T160" s="6"/>
      <c r="U160" s="6"/>
      <c r="V160" s="6"/>
      <c r="W160" s="6"/>
      <c r="X160" s="6"/>
      <c r="Y160" s="6"/>
      <c r="Z160" s="6"/>
      <c r="AA160" s="6"/>
      <c r="AB160" s="6"/>
    </row>
    <row r="161" ht="15.75" customHeight="1">
      <c r="A161" s="130"/>
      <c r="B161" s="131"/>
      <c r="C161" s="132"/>
      <c r="D161" s="132"/>
      <c r="E161" s="132"/>
      <c r="F161" s="132"/>
      <c r="G161" s="6"/>
      <c r="H161" s="6"/>
      <c r="I161" s="6"/>
      <c r="J161" s="6"/>
      <c r="K161" s="131"/>
      <c r="L161" s="131"/>
      <c r="M161" s="131"/>
      <c r="N161" s="131"/>
      <c r="O161" s="6"/>
      <c r="P161" s="6"/>
      <c r="Q161" s="6"/>
      <c r="R161" s="6"/>
      <c r="S161" s="6"/>
      <c r="T161" s="6"/>
      <c r="U161" s="6"/>
      <c r="V161" s="6"/>
      <c r="W161" s="6"/>
      <c r="X161" s="6"/>
      <c r="Y161" s="6"/>
      <c r="Z161" s="6"/>
      <c r="AA161" s="6"/>
      <c r="AB161" s="6"/>
    </row>
    <row r="162" ht="15.75" customHeight="1">
      <c r="A162" s="130"/>
      <c r="B162" s="131"/>
      <c r="C162" s="132"/>
      <c r="D162" s="132"/>
      <c r="E162" s="132"/>
      <c r="F162" s="132"/>
      <c r="G162" s="6"/>
      <c r="H162" s="6"/>
      <c r="I162" s="6"/>
      <c r="J162" s="6"/>
      <c r="K162" s="131"/>
      <c r="L162" s="131"/>
      <c r="M162" s="131"/>
      <c r="N162" s="131"/>
      <c r="O162" s="6"/>
      <c r="P162" s="6"/>
      <c r="Q162" s="6"/>
      <c r="R162" s="6"/>
      <c r="S162" s="6"/>
      <c r="T162" s="6"/>
      <c r="U162" s="6"/>
      <c r="V162" s="6"/>
      <c r="W162" s="6"/>
      <c r="X162" s="6"/>
      <c r="Y162" s="6"/>
      <c r="Z162" s="6"/>
      <c r="AA162" s="6"/>
      <c r="AB162" s="6"/>
    </row>
    <row r="163" ht="15.75" customHeight="1">
      <c r="A163" s="130"/>
      <c r="B163" s="131"/>
      <c r="C163" s="132"/>
      <c r="D163" s="132"/>
      <c r="E163" s="132"/>
      <c r="F163" s="132"/>
      <c r="G163" s="6"/>
      <c r="H163" s="6"/>
      <c r="I163" s="6"/>
      <c r="J163" s="6"/>
      <c r="K163" s="131"/>
      <c r="L163" s="131"/>
      <c r="M163" s="131"/>
      <c r="N163" s="131"/>
      <c r="O163" s="6"/>
      <c r="P163" s="6"/>
      <c r="Q163" s="6"/>
      <c r="R163" s="6"/>
      <c r="S163" s="6"/>
      <c r="T163" s="6"/>
      <c r="U163" s="6"/>
      <c r="V163" s="6"/>
      <c r="W163" s="6"/>
      <c r="X163" s="6"/>
      <c r="Y163" s="6"/>
      <c r="Z163" s="6"/>
      <c r="AA163" s="6"/>
      <c r="AB163" s="6"/>
    </row>
    <row r="164" ht="15.75" customHeight="1">
      <c r="A164" s="130"/>
      <c r="B164" s="131"/>
      <c r="C164" s="132"/>
      <c r="D164" s="132"/>
      <c r="E164" s="132"/>
      <c r="F164" s="132"/>
      <c r="G164" s="6"/>
      <c r="H164" s="6"/>
      <c r="I164" s="6"/>
      <c r="J164" s="6"/>
      <c r="K164" s="131"/>
      <c r="L164" s="131"/>
      <c r="M164" s="131"/>
      <c r="N164" s="131"/>
      <c r="O164" s="6"/>
      <c r="P164" s="6"/>
      <c r="Q164" s="6"/>
      <c r="R164" s="6"/>
      <c r="S164" s="6"/>
      <c r="T164" s="6"/>
      <c r="U164" s="6"/>
      <c r="V164" s="6"/>
      <c r="W164" s="6"/>
      <c r="X164" s="6"/>
      <c r="Y164" s="6"/>
      <c r="Z164" s="6"/>
      <c r="AA164" s="6"/>
      <c r="AB164" s="6"/>
    </row>
    <row r="165" ht="15.75" customHeight="1">
      <c r="A165" s="130"/>
      <c r="B165" s="131"/>
      <c r="C165" s="132"/>
      <c r="D165" s="132"/>
      <c r="E165" s="132"/>
      <c r="F165" s="132"/>
      <c r="G165" s="6"/>
      <c r="H165" s="6"/>
      <c r="I165" s="6"/>
      <c r="J165" s="6"/>
      <c r="K165" s="131"/>
      <c r="L165" s="131"/>
      <c r="M165" s="131"/>
      <c r="N165" s="131"/>
      <c r="O165" s="6"/>
      <c r="P165" s="6"/>
      <c r="Q165" s="6"/>
      <c r="R165" s="6"/>
      <c r="S165" s="6"/>
      <c r="T165" s="6"/>
      <c r="U165" s="6"/>
      <c r="V165" s="6"/>
      <c r="W165" s="6"/>
      <c r="X165" s="6"/>
      <c r="Y165" s="6"/>
      <c r="Z165" s="6"/>
      <c r="AA165" s="6"/>
      <c r="AB165" s="6"/>
    </row>
    <row r="166" ht="15.75" customHeight="1">
      <c r="A166" s="130"/>
      <c r="B166" s="131"/>
      <c r="C166" s="132"/>
      <c r="D166" s="132"/>
      <c r="E166" s="132"/>
      <c r="F166" s="132"/>
      <c r="G166" s="6"/>
      <c r="H166" s="6"/>
      <c r="I166" s="6"/>
      <c r="J166" s="6"/>
      <c r="K166" s="131"/>
      <c r="L166" s="131"/>
      <c r="M166" s="131"/>
      <c r="N166" s="131"/>
      <c r="O166" s="6"/>
      <c r="P166" s="6"/>
      <c r="Q166" s="6"/>
      <c r="R166" s="6"/>
      <c r="S166" s="6"/>
      <c r="T166" s="6"/>
      <c r="U166" s="6"/>
      <c r="V166" s="6"/>
      <c r="W166" s="6"/>
      <c r="X166" s="6"/>
      <c r="Y166" s="6"/>
      <c r="Z166" s="6"/>
      <c r="AA166" s="6"/>
      <c r="AB166" s="6"/>
    </row>
    <row r="167" ht="15.75" customHeight="1">
      <c r="A167" s="130"/>
      <c r="B167" s="131"/>
      <c r="C167" s="132"/>
      <c r="D167" s="132"/>
      <c r="E167" s="132"/>
      <c r="F167" s="132"/>
      <c r="G167" s="6"/>
      <c r="H167" s="6"/>
      <c r="I167" s="6"/>
      <c r="J167" s="6"/>
      <c r="K167" s="131"/>
      <c r="L167" s="131"/>
      <c r="M167" s="131"/>
      <c r="N167" s="131"/>
      <c r="O167" s="6"/>
      <c r="P167" s="6"/>
      <c r="Q167" s="6"/>
      <c r="R167" s="6"/>
      <c r="S167" s="6"/>
      <c r="T167" s="6"/>
      <c r="U167" s="6"/>
      <c r="V167" s="6"/>
      <c r="W167" s="6"/>
      <c r="X167" s="6"/>
      <c r="Y167" s="6"/>
      <c r="Z167" s="6"/>
      <c r="AA167" s="6"/>
      <c r="AB167" s="6"/>
    </row>
    <row r="168" ht="15.75" customHeight="1">
      <c r="A168" s="130"/>
      <c r="B168" s="131"/>
      <c r="C168" s="132"/>
      <c r="D168" s="132"/>
      <c r="E168" s="132"/>
      <c r="F168" s="132"/>
      <c r="G168" s="6"/>
      <c r="H168" s="6"/>
      <c r="I168" s="6"/>
      <c r="J168" s="6"/>
      <c r="K168" s="131"/>
      <c r="L168" s="131"/>
      <c r="M168" s="131"/>
      <c r="N168" s="131"/>
      <c r="O168" s="6"/>
      <c r="P168" s="6"/>
      <c r="Q168" s="6"/>
      <c r="R168" s="6"/>
      <c r="S168" s="6"/>
      <c r="T168" s="6"/>
      <c r="U168" s="6"/>
      <c r="V168" s="6"/>
      <c r="W168" s="6"/>
      <c r="X168" s="6"/>
      <c r="Y168" s="6"/>
      <c r="Z168" s="6"/>
      <c r="AA168" s="6"/>
      <c r="AB168" s="6"/>
    </row>
    <row r="169" ht="15.75" customHeight="1">
      <c r="A169" s="130"/>
      <c r="B169" s="131"/>
      <c r="C169" s="132"/>
      <c r="D169" s="132"/>
      <c r="E169" s="132"/>
      <c r="F169" s="132"/>
      <c r="G169" s="6"/>
      <c r="H169" s="6"/>
      <c r="I169" s="6"/>
      <c r="J169" s="6"/>
      <c r="K169" s="131"/>
      <c r="L169" s="131"/>
      <c r="M169" s="131"/>
      <c r="N169" s="131"/>
      <c r="O169" s="6"/>
      <c r="P169" s="6"/>
      <c r="Q169" s="6"/>
      <c r="R169" s="6"/>
      <c r="S169" s="6"/>
      <c r="T169" s="6"/>
      <c r="U169" s="6"/>
      <c r="V169" s="6"/>
      <c r="W169" s="6"/>
      <c r="X169" s="6"/>
      <c r="Y169" s="6"/>
      <c r="Z169" s="6"/>
      <c r="AA169" s="6"/>
      <c r="AB169" s="6"/>
    </row>
    <row r="170" ht="15.75" customHeight="1">
      <c r="A170" s="130"/>
      <c r="B170" s="131"/>
      <c r="C170" s="132"/>
      <c r="D170" s="132"/>
      <c r="E170" s="132"/>
      <c r="F170" s="132"/>
      <c r="G170" s="6"/>
      <c r="H170" s="6"/>
      <c r="I170" s="6"/>
      <c r="J170" s="6"/>
      <c r="K170" s="131"/>
      <c r="L170" s="131"/>
      <c r="M170" s="131"/>
      <c r="N170" s="131"/>
      <c r="O170" s="6"/>
      <c r="P170" s="6"/>
      <c r="Q170" s="6"/>
      <c r="R170" s="6"/>
      <c r="S170" s="6"/>
      <c r="T170" s="6"/>
      <c r="U170" s="6"/>
      <c r="V170" s="6"/>
      <c r="W170" s="6"/>
      <c r="X170" s="6"/>
      <c r="Y170" s="6"/>
      <c r="Z170" s="6"/>
      <c r="AA170" s="6"/>
      <c r="AB170" s="6"/>
    </row>
    <row r="171" ht="15.75" customHeight="1">
      <c r="A171" s="130"/>
      <c r="B171" s="131"/>
      <c r="C171" s="132"/>
      <c r="D171" s="132"/>
      <c r="E171" s="132"/>
      <c r="F171" s="132"/>
      <c r="G171" s="6"/>
      <c r="H171" s="6"/>
      <c r="I171" s="6"/>
      <c r="J171" s="6"/>
      <c r="K171" s="131"/>
      <c r="L171" s="131"/>
      <c r="M171" s="131"/>
      <c r="N171" s="131"/>
      <c r="O171" s="6"/>
      <c r="P171" s="6"/>
      <c r="Q171" s="6"/>
      <c r="R171" s="6"/>
      <c r="S171" s="6"/>
      <c r="T171" s="6"/>
      <c r="U171" s="6"/>
      <c r="V171" s="6"/>
      <c r="W171" s="6"/>
      <c r="X171" s="6"/>
      <c r="Y171" s="6"/>
      <c r="Z171" s="6"/>
      <c r="AA171" s="6"/>
      <c r="AB171" s="6"/>
    </row>
    <row r="172" ht="15.75" customHeight="1">
      <c r="A172" s="130"/>
      <c r="B172" s="131"/>
      <c r="C172" s="132"/>
      <c r="D172" s="132"/>
      <c r="E172" s="132"/>
      <c r="F172" s="132"/>
      <c r="G172" s="6"/>
      <c r="H172" s="6"/>
      <c r="I172" s="6"/>
      <c r="J172" s="6"/>
      <c r="K172" s="131"/>
      <c r="L172" s="131"/>
      <c r="M172" s="131"/>
      <c r="N172" s="131"/>
      <c r="O172" s="6"/>
      <c r="P172" s="6"/>
      <c r="Q172" s="6"/>
      <c r="R172" s="6"/>
      <c r="S172" s="6"/>
      <c r="T172" s="6"/>
      <c r="U172" s="6"/>
      <c r="V172" s="6"/>
      <c r="W172" s="6"/>
      <c r="X172" s="6"/>
      <c r="Y172" s="6"/>
      <c r="Z172" s="6"/>
      <c r="AA172" s="6"/>
      <c r="AB172" s="6"/>
    </row>
    <row r="173" ht="15.75" customHeight="1">
      <c r="A173" s="130"/>
      <c r="B173" s="131"/>
      <c r="C173" s="132"/>
      <c r="D173" s="132"/>
      <c r="E173" s="132"/>
      <c r="F173" s="132"/>
      <c r="G173" s="6"/>
      <c r="H173" s="6"/>
      <c r="I173" s="6"/>
      <c r="J173" s="6"/>
      <c r="K173" s="131"/>
      <c r="L173" s="131"/>
      <c r="M173" s="131"/>
      <c r="N173" s="131"/>
      <c r="O173" s="6"/>
      <c r="P173" s="6"/>
      <c r="Q173" s="6"/>
      <c r="R173" s="6"/>
      <c r="S173" s="6"/>
      <c r="T173" s="6"/>
      <c r="U173" s="6"/>
      <c r="V173" s="6"/>
      <c r="W173" s="6"/>
      <c r="X173" s="6"/>
      <c r="Y173" s="6"/>
      <c r="Z173" s="6"/>
      <c r="AA173" s="6"/>
      <c r="AB173" s="6"/>
    </row>
    <row r="174" ht="15.75" customHeight="1">
      <c r="A174" s="130"/>
      <c r="B174" s="131"/>
      <c r="C174" s="132"/>
      <c r="D174" s="132"/>
      <c r="E174" s="132"/>
      <c r="F174" s="132"/>
      <c r="G174" s="6"/>
      <c r="H174" s="6"/>
      <c r="I174" s="6"/>
      <c r="J174" s="6"/>
      <c r="K174" s="131"/>
      <c r="L174" s="131"/>
      <c r="M174" s="131"/>
      <c r="N174" s="131"/>
      <c r="O174" s="6"/>
      <c r="P174" s="6"/>
      <c r="Q174" s="6"/>
      <c r="R174" s="6"/>
      <c r="S174" s="6"/>
      <c r="T174" s="6"/>
      <c r="U174" s="6"/>
      <c r="V174" s="6"/>
      <c r="W174" s="6"/>
      <c r="X174" s="6"/>
      <c r="Y174" s="6"/>
      <c r="Z174" s="6"/>
      <c r="AA174" s="6"/>
      <c r="AB174" s="6"/>
    </row>
    <row r="175" ht="15.75" customHeight="1">
      <c r="A175" s="130"/>
      <c r="B175" s="131"/>
      <c r="C175" s="132"/>
      <c r="D175" s="132"/>
      <c r="E175" s="132"/>
      <c r="F175" s="132"/>
      <c r="G175" s="6"/>
      <c r="H175" s="6"/>
      <c r="I175" s="6"/>
      <c r="J175" s="6"/>
      <c r="K175" s="131"/>
      <c r="L175" s="131"/>
      <c r="M175" s="131"/>
      <c r="N175" s="131"/>
      <c r="O175" s="6"/>
      <c r="P175" s="6"/>
      <c r="Q175" s="6"/>
      <c r="R175" s="6"/>
      <c r="S175" s="6"/>
      <c r="T175" s="6"/>
      <c r="U175" s="6"/>
      <c r="V175" s="6"/>
      <c r="W175" s="6"/>
      <c r="X175" s="6"/>
      <c r="Y175" s="6"/>
      <c r="Z175" s="6"/>
      <c r="AA175" s="6"/>
      <c r="AB175" s="6"/>
    </row>
    <row r="176" ht="15.75" customHeight="1">
      <c r="A176" s="130"/>
      <c r="B176" s="131"/>
      <c r="C176" s="132"/>
      <c r="D176" s="132"/>
      <c r="E176" s="132"/>
      <c r="F176" s="132"/>
      <c r="G176" s="6"/>
      <c r="H176" s="6"/>
      <c r="I176" s="6"/>
      <c r="J176" s="6"/>
      <c r="K176" s="131"/>
      <c r="L176" s="131"/>
      <c r="M176" s="131"/>
      <c r="N176" s="131"/>
      <c r="O176" s="6"/>
      <c r="P176" s="6"/>
      <c r="Q176" s="6"/>
      <c r="R176" s="6"/>
      <c r="S176" s="6"/>
      <c r="T176" s="6"/>
      <c r="U176" s="6"/>
      <c r="V176" s="6"/>
      <c r="W176" s="6"/>
      <c r="X176" s="6"/>
      <c r="Y176" s="6"/>
      <c r="Z176" s="6"/>
      <c r="AA176" s="6"/>
      <c r="AB176" s="6"/>
    </row>
    <row r="177" ht="15.75" customHeight="1">
      <c r="A177" s="130"/>
      <c r="B177" s="131"/>
      <c r="C177" s="132"/>
      <c r="D177" s="132"/>
      <c r="E177" s="132"/>
      <c r="F177" s="132"/>
      <c r="G177" s="6"/>
      <c r="H177" s="6"/>
      <c r="I177" s="6"/>
      <c r="J177" s="6"/>
      <c r="K177" s="131"/>
      <c r="L177" s="131"/>
      <c r="M177" s="131"/>
      <c r="N177" s="131"/>
      <c r="O177" s="6"/>
      <c r="P177" s="6"/>
      <c r="Q177" s="6"/>
      <c r="R177" s="6"/>
      <c r="S177" s="6"/>
      <c r="T177" s="6"/>
      <c r="U177" s="6"/>
      <c r="V177" s="6"/>
      <c r="W177" s="6"/>
      <c r="X177" s="6"/>
      <c r="Y177" s="6"/>
      <c r="Z177" s="6"/>
      <c r="AA177" s="6"/>
      <c r="AB177" s="6"/>
    </row>
    <row r="178" ht="15.75" customHeight="1">
      <c r="A178" s="130"/>
      <c r="B178" s="131"/>
      <c r="C178" s="132"/>
      <c r="D178" s="132"/>
      <c r="E178" s="132"/>
      <c r="F178" s="132"/>
      <c r="G178" s="6"/>
      <c r="H178" s="6"/>
      <c r="I178" s="6"/>
      <c r="J178" s="6"/>
      <c r="K178" s="131"/>
      <c r="L178" s="131"/>
      <c r="M178" s="131"/>
      <c r="N178" s="131"/>
      <c r="O178" s="6"/>
      <c r="P178" s="6"/>
      <c r="Q178" s="6"/>
      <c r="R178" s="6"/>
      <c r="S178" s="6"/>
      <c r="T178" s="6"/>
      <c r="U178" s="6"/>
      <c r="V178" s="6"/>
      <c r="W178" s="6"/>
      <c r="X178" s="6"/>
      <c r="Y178" s="6"/>
      <c r="Z178" s="6"/>
      <c r="AA178" s="6"/>
      <c r="AB178" s="6"/>
    </row>
    <row r="179" ht="15.75" customHeight="1">
      <c r="A179" s="130"/>
      <c r="B179" s="131"/>
      <c r="C179" s="132"/>
      <c r="D179" s="132"/>
      <c r="E179" s="132"/>
      <c r="F179" s="132"/>
      <c r="G179" s="6"/>
      <c r="H179" s="6"/>
      <c r="I179" s="6"/>
      <c r="J179" s="6"/>
      <c r="K179" s="131"/>
      <c r="L179" s="131"/>
      <c r="M179" s="131"/>
      <c r="N179" s="131"/>
      <c r="O179" s="6"/>
      <c r="P179" s="6"/>
      <c r="Q179" s="6"/>
      <c r="R179" s="6"/>
      <c r="S179" s="6"/>
      <c r="T179" s="6"/>
      <c r="U179" s="6"/>
      <c r="V179" s="6"/>
      <c r="W179" s="6"/>
      <c r="X179" s="6"/>
      <c r="Y179" s="6"/>
      <c r="Z179" s="6"/>
      <c r="AA179" s="6"/>
      <c r="AB179" s="6"/>
    </row>
    <row r="180" ht="15.75" customHeight="1">
      <c r="A180" s="130"/>
      <c r="B180" s="131"/>
      <c r="C180" s="132"/>
      <c r="D180" s="132"/>
      <c r="E180" s="132"/>
      <c r="F180" s="132"/>
      <c r="G180" s="6"/>
      <c r="H180" s="6"/>
      <c r="I180" s="6"/>
      <c r="J180" s="6"/>
      <c r="K180" s="131"/>
      <c r="L180" s="131"/>
      <c r="M180" s="131"/>
      <c r="N180" s="131"/>
      <c r="O180" s="6"/>
      <c r="P180" s="6"/>
      <c r="Q180" s="6"/>
      <c r="R180" s="6"/>
      <c r="S180" s="6"/>
      <c r="T180" s="6"/>
      <c r="U180" s="6"/>
      <c r="V180" s="6"/>
      <c r="W180" s="6"/>
      <c r="X180" s="6"/>
      <c r="Y180" s="6"/>
      <c r="Z180" s="6"/>
      <c r="AA180" s="6"/>
      <c r="AB180" s="6"/>
    </row>
    <row r="181" ht="15.75" customHeight="1">
      <c r="A181" s="130"/>
      <c r="B181" s="131"/>
      <c r="C181" s="132"/>
      <c r="D181" s="132"/>
      <c r="E181" s="132"/>
      <c r="F181" s="132"/>
      <c r="G181" s="6"/>
      <c r="H181" s="6"/>
      <c r="I181" s="6"/>
      <c r="J181" s="6"/>
      <c r="K181" s="131"/>
      <c r="L181" s="131"/>
      <c r="M181" s="131"/>
      <c r="N181" s="131"/>
      <c r="O181" s="6"/>
      <c r="P181" s="6"/>
      <c r="Q181" s="6"/>
      <c r="R181" s="6"/>
      <c r="S181" s="6"/>
      <c r="T181" s="6"/>
      <c r="U181" s="6"/>
      <c r="V181" s="6"/>
      <c r="W181" s="6"/>
      <c r="X181" s="6"/>
      <c r="Y181" s="6"/>
      <c r="Z181" s="6"/>
      <c r="AA181" s="6"/>
      <c r="AB181" s="6"/>
    </row>
    <row r="182" ht="15.75" customHeight="1">
      <c r="A182" s="130"/>
      <c r="B182" s="131"/>
      <c r="C182" s="132"/>
      <c r="D182" s="132"/>
      <c r="E182" s="132"/>
      <c r="F182" s="132"/>
      <c r="G182" s="6"/>
      <c r="H182" s="6"/>
      <c r="I182" s="6"/>
      <c r="J182" s="6"/>
      <c r="K182" s="131"/>
      <c r="L182" s="131"/>
      <c r="M182" s="131"/>
      <c r="N182" s="131"/>
      <c r="O182" s="6"/>
      <c r="P182" s="6"/>
      <c r="Q182" s="6"/>
      <c r="R182" s="6"/>
      <c r="S182" s="6"/>
      <c r="T182" s="6"/>
      <c r="U182" s="6"/>
      <c r="V182" s="6"/>
      <c r="W182" s="6"/>
      <c r="X182" s="6"/>
      <c r="Y182" s="6"/>
      <c r="Z182" s="6"/>
      <c r="AA182" s="6"/>
      <c r="AB182" s="6"/>
    </row>
    <row r="183" ht="15.75" customHeight="1">
      <c r="A183" s="130"/>
      <c r="B183" s="131"/>
      <c r="C183" s="132"/>
      <c r="D183" s="132"/>
      <c r="E183" s="132"/>
      <c r="F183" s="132"/>
      <c r="G183" s="6"/>
      <c r="H183" s="6"/>
      <c r="I183" s="6"/>
      <c r="J183" s="6"/>
      <c r="K183" s="131"/>
      <c r="L183" s="131"/>
      <c r="M183" s="131"/>
      <c r="N183" s="131"/>
      <c r="O183" s="6"/>
      <c r="P183" s="6"/>
      <c r="Q183" s="6"/>
      <c r="R183" s="6"/>
      <c r="S183" s="6"/>
      <c r="T183" s="6"/>
      <c r="U183" s="6"/>
      <c r="V183" s="6"/>
      <c r="W183" s="6"/>
      <c r="X183" s="6"/>
      <c r="Y183" s="6"/>
      <c r="Z183" s="6"/>
      <c r="AA183" s="6"/>
      <c r="AB183" s="6"/>
    </row>
    <row r="184" ht="15.75" customHeight="1">
      <c r="A184" s="130"/>
      <c r="B184" s="131"/>
      <c r="C184" s="132"/>
      <c r="D184" s="132"/>
      <c r="E184" s="132"/>
      <c r="F184" s="132"/>
      <c r="G184" s="6"/>
      <c r="H184" s="6"/>
      <c r="I184" s="6"/>
      <c r="J184" s="6"/>
      <c r="K184" s="131"/>
      <c r="L184" s="131"/>
      <c r="M184" s="131"/>
      <c r="N184" s="131"/>
      <c r="O184" s="6"/>
      <c r="P184" s="6"/>
      <c r="Q184" s="6"/>
      <c r="R184" s="6"/>
      <c r="S184" s="6"/>
      <c r="T184" s="6"/>
      <c r="U184" s="6"/>
      <c r="V184" s="6"/>
      <c r="W184" s="6"/>
      <c r="X184" s="6"/>
      <c r="Y184" s="6"/>
      <c r="Z184" s="6"/>
      <c r="AA184" s="6"/>
      <c r="AB184" s="6"/>
    </row>
    <row r="185" ht="15.75" customHeight="1">
      <c r="A185" s="130"/>
      <c r="B185" s="131"/>
      <c r="C185" s="132"/>
      <c r="D185" s="132"/>
      <c r="E185" s="132"/>
      <c r="F185" s="132"/>
      <c r="G185" s="6"/>
      <c r="H185" s="6"/>
      <c r="I185" s="6"/>
      <c r="J185" s="6"/>
      <c r="K185" s="131"/>
      <c r="L185" s="131"/>
      <c r="M185" s="131"/>
      <c r="N185" s="131"/>
      <c r="O185" s="6"/>
      <c r="P185" s="6"/>
      <c r="Q185" s="6"/>
      <c r="R185" s="6"/>
      <c r="S185" s="6"/>
      <c r="T185" s="6"/>
      <c r="U185" s="6"/>
      <c r="V185" s="6"/>
      <c r="W185" s="6"/>
      <c r="X185" s="6"/>
      <c r="Y185" s="6"/>
      <c r="Z185" s="6"/>
      <c r="AA185" s="6"/>
      <c r="AB185" s="6"/>
    </row>
    <row r="186" ht="15.75" customHeight="1">
      <c r="A186" s="130"/>
      <c r="B186" s="131"/>
      <c r="C186" s="132"/>
      <c r="D186" s="132"/>
      <c r="E186" s="132"/>
      <c r="F186" s="132"/>
      <c r="G186" s="6"/>
      <c r="H186" s="6"/>
      <c r="I186" s="6"/>
      <c r="J186" s="6"/>
      <c r="K186" s="131"/>
      <c r="L186" s="131"/>
      <c r="M186" s="131"/>
      <c r="N186" s="131"/>
      <c r="O186" s="6"/>
      <c r="P186" s="6"/>
      <c r="Q186" s="6"/>
      <c r="R186" s="6"/>
      <c r="S186" s="6"/>
      <c r="T186" s="6"/>
      <c r="U186" s="6"/>
      <c r="V186" s="6"/>
      <c r="W186" s="6"/>
      <c r="X186" s="6"/>
      <c r="Y186" s="6"/>
      <c r="Z186" s="6"/>
      <c r="AA186" s="6"/>
      <c r="AB186" s="6"/>
    </row>
    <row r="187" ht="15.75" customHeight="1">
      <c r="A187" s="130"/>
      <c r="B187" s="131"/>
      <c r="C187" s="132"/>
      <c r="D187" s="132"/>
      <c r="E187" s="132"/>
      <c r="F187" s="132"/>
      <c r="G187" s="6"/>
      <c r="H187" s="6"/>
      <c r="I187" s="6"/>
      <c r="J187" s="6"/>
      <c r="K187" s="131"/>
      <c r="L187" s="131"/>
      <c r="M187" s="131"/>
      <c r="N187" s="131"/>
      <c r="O187" s="6"/>
      <c r="P187" s="6"/>
      <c r="Q187" s="6"/>
      <c r="R187" s="6"/>
      <c r="S187" s="6"/>
      <c r="T187" s="6"/>
      <c r="U187" s="6"/>
      <c r="V187" s="6"/>
      <c r="W187" s="6"/>
      <c r="X187" s="6"/>
      <c r="Y187" s="6"/>
      <c r="Z187" s="6"/>
      <c r="AA187" s="6"/>
      <c r="AB187" s="6"/>
    </row>
    <row r="188" ht="15.75" customHeight="1">
      <c r="A188" s="130"/>
      <c r="B188" s="131"/>
      <c r="C188" s="132"/>
      <c r="D188" s="132"/>
      <c r="E188" s="132"/>
      <c r="F188" s="132"/>
      <c r="G188" s="6"/>
      <c r="H188" s="6"/>
      <c r="I188" s="6"/>
      <c r="J188" s="6"/>
      <c r="K188" s="131"/>
      <c r="L188" s="131"/>
      <c r="M188" s="131"/>
      <c r="N188" s="131"/>
      <c r="O188" s="6"/>
      <c r="P188" s="6"/>
      <c r="Q188" s="6"/>
      <c r="R188" s="6"/>
      <c r="S188" s="6"/>
      <c r="T188" s="6"/>
      <c r="U188" s="6"/>
      <c r="V188" s="6"/>
      <c r="W188" s="6"/>
      <c r="X188" s="6"/>
      <c r="Y188" s="6"/>
      <c r="Z188" s="6"/>
      <c r="AA188" s="6"/>
      <c r="AB188" s="6"/>
    </row>
    <row r="189" ht="15.75" customHeight="1">
      <c r="A189" s="130"/>
      <c r="B189" s="131"/>
      <c r="C189" s="132"/>
      <c r="D189" s="132"/>
      <c r="E189" s="132"/>
      <c r="F189" s="132"/>
      <c r="G189" s="6"/>
      <c r="H189" s="6"/>
      <c r="I189" s="6"/>
      <c r="J189" s="6"/>
      <c r="K189" s="131"/>
      <c r="L189" s="131"/>
      <c r="M189" s="131"/>
      <c r="N189" s="131"/>
      <c r="O189" s="6"/>
      <c r="P189" s="6"/>
      <c r="Q189" s="6"/>
      <c r="R189" s="6"/>
      <c r="S189" s="6"/>
      <c r="T189" s="6"/>
      <c r="U189" s="6"/>
      <c r="V189" s="6"/>
      <c r="W189" s="6"/>
      <c r="X189" s="6"/>
      <c r="Y189" s="6"/>
      <c r="Z189" s="6"/>
      <c r="AA189" s="6"/>
      <c r="AB189" s="6"/>
    </row>
    <row r="190" ht="15.75" customHeight="1">
      <c r="A190" s="130"/>
      <c r="B190" s="131"/>
      <c r="C190" s="132"/>
      <c r="D190" s="132"/>
      <c r="E190" s="132"/>
      <c r="F190" s="132"/>
      <c r="G190" s="6"/>
      <c r="H190" s="6"/>
      <c r="I190" s="6"/>
      <c r="J190" s="6"/>
      <c r="K190" s="131"/>
      <c r="L190" s="131"/>
      <c r="M190" s="131"/>
      <c r="N190" s="131"/>
      <c r="O190" s="6"/>
      <c r="P190" s="6"/>
      <c r="Q190" s="6"/>
      <c r="R190" s="6"/>
      <c r="S190" s="6"/>
      <c r="T190" s="6"/>
      <c r="U190" s="6"/>
      <c r="V190" s="6"/>
      <c r="W190" s="6"/>
      <c r="X190" s="6"/>
      <c r="Y190" s="6"/>
      <c r="Z190" s="6"/>
      <c r="AA190" s="6"/>
      <c r="AB190" s="6"/>
    </row>
    <row r="191" ht="15.75" customHeight="1">
      <c r="A191" s="130"/>
      <c r="B191" s="131"/>
      <c r="C191" s="132"/>
      <c r="D191" s="132"/>
      <c r="E191" s="132"/>
      <c r="F191" s="132"/>
      <c r="G191" s="6"/>
      <c r="H191" s="6"/>
      <c r="I191" s="6"/>
      <c r="J191" s="6"/>
      <c r="K191" s="131"/>
      <c r="L191" s="131"/>
      <c r="M191" s="131"/>
      <c r="N191" s="131"/>
      <c r="O191" s="6"/>
      <c r="P191" s="6"/>
      <c r="Q191" s="6"/>
      <c r="R191" s="6"/>
      <c r="S191" s="6"/>
      <c r="T191" s="6"/>
      <c r="U191" s="6"/>
      <c r="V191" s="6"/>
      <c r="W191" s="6"/>
      <c r="X191" s="6"/>
      <c r="Y191" s="6"/>
      <c r="Z191" s="6"/>
      <c r="AA191" s="6"/>
      <c r="AB191" s="6"/>
    </row>
    <row r="192" ht="15.75" customHeight="1">
      <c r="A192" s="130"/>
      <c r="B192" s="131"/>
      <c r="C192" s="132"/>
      <c r="D192" s="132"/>
      <c r="E192" s="132"/>
      <c r="F192" s="132"/>
      <c r="G192" s="6"/>
      <c r="H192" s="6"/>
      <c r="I192" s="6"/>
      <c r="J192" s="6"/>
      <c r="K192" s="131"/>
      <c r="L192" s="131"/>
      <c r="M192" s="131"/>
      <c r="N192" s="131"/>
      <c r="O192" s="6"/>
      <c r="P192" s="6"/>
      <c r="Q192" s="6"/>
      <c r="R192" s="6"/>
      <c r="S192" s="6"/>
      <c r="T192" s="6"/>
      <c r="U192" s="6"/>
      <c r="V192" s="6"/>
      <c r="W192" s="6"/>
      <c r="X192" s="6"/>
      <c r="Y192" s="6"/>
      <c r="Z192" s="6"/>
      <c r="AA192" s="6"/>
      <c r="AB192" s="6"/>
    </row>
    <row r="193" ht="15.75" customHeight="1">
      <c r="A193" s="130"/>
      <c r="B193" s="131"/>
      <c r="C193" s="132"/>
      <c r="D193" s="132"/>
      <c r="E193" s="132"/>
      <c r="F193" s="132"/>
      <c r="G193" s="6"/>
      <c r="H193" s="6"/>
      <c r="I193" s="6"/>
      <c r="J193" s="6"/>
      <c r="K193" s="131"/>
      <c r="L193" s="131"/>
      <c r="M193" s="131"/>
      <c r="N193" s="131"/>
      <c r="O193" s="6"/>
      <c r="P193" s="6"/>
      <c r="Q193" s="6"/>
      <c r="R193" s="6"/>
      <c r="S193" s="6"/>
      <c r="T193" s="6"/>
      <c r="U193" s="6"/>
      <c r="V193" s="6"/>
      <c r="W193" s="6"/>
      <c r="X193" s="6"/>
      <c r="Y193" s="6"/>
      <c r="Z193" s="6"/>
      <c r="AA193" s="6"/>
      <c r="AB193" s="6"/>
    </row>
    <row r="194" ht="15.75" customHeight="1">
      <c r="A194" s="130"/>
      <c r="B194" s="131"/>
      <c r="C194" s="132"/>
      <c r="D194" s="132"/>
      <c r="E194" s="132"/>
      <c r="F194" s="132"/>
      <c r="G194" s="6"/>
      <c r="H194" s="6"/>
      <c r="I194" s="6"/>
      <c r="J194" s="6"/>
      <c r="K194" s="131"/>
      <c r="L194" s="131"/>
      <c r="M194" s="131"/>
      <c r="N194" s="131"/>
      <c r="O194" s="6"/>
      <c r="P194" s="6"/>
      <c r="Q194" s="6"/>
      <c r="R194" s="6"/>
      <c r="S194" s="6"/>
      <c r="T194" s="6"/>
      <c r="U194" s="6"/>
      <c r="V194" s="6"/>
      <c r="W194" s="6"/>
      <c r="X194" s="6"/>
      <c r="Y194" s="6"/>
      <c r="Z194" s="6"/>
      <c r="AA194" s="6"/>
      <c r="AB194" s="6"/>
    </row>
    <row r="195" ht="15.75" customHeight="1">
      <c r="A195" s="130"/>
      <c r="B195" s="131"/>
      <c r="C195" s="132"/>
      <c r="D195" s="132"/>
      <c r="E195" s="132"/>
      <c r="F195" s="132"/>
      <c r="G195" s="6"/>
      <c r="H195" s="6"/>
      <c r="I195" s="6"/>
      <c r="J195" s="6"/>
      <c r="K195" s="131"/>
      <c r="L195" s="131"/>
      <c r="M195" s="131"/>
      <c r="N195" s="131"/>
      <c r="O195" s="6"/>
      <c r="P195" s="6"/>
      <c r="Q195" s="6"/>
      <c r="R195" s="6"/>
      <c r="S195" s="6"/>
      <c r="T195" s="6"/>
      <c r="U195" s="6"/>
      <c r="V195" s="6"/>
      <c r="W195" s="6"/>
      <c r="X195" s="6"/>
      <c r="Y195" s="6"/>
      <c r="Z195" s="6"/>
      <c r="AA195" s="6"/>
      <c r="AB195" s="6"/>
    </row>
    <row r="196" ht="15.75" customHeight="1">
      <c r="A196" s="130"/>
      <c r="B196" s="131"/>
      <c r="C196" s="132"/>
      <c r="D196" s="132"/>
      <c r="E196" s="132"/>
      <c r="F196" s="132"/>
      <c r="G196" s="6"/>
      <c r="H196" s="6"/>
      <c r="I196" s="6"/>
      <c r="J196" s="6"/>
      <c r="K196" s="131"/>
      <c r="L196" s="131"/>
      <c r="M196" s="131"/>
      <c r="N196" s="131"/>
      <c r="O196" s="6"/>
      <c r="P196" s="6"/>
      <c r="Q196" s="6"/>
      <c r="R196" s="6"/>
      <c r="S196" s="6"/>
      <c r="T196" s="6"/>
      <c r="U196" s="6"/>
      <c r="V196" s="6"/>
      <c r="W196" s="6"/>
      <c r="X196" s="6"/>
      <c r="Y196" s="6"/>
      <c r="Z196" s="6"/>
      <c r="AA196" s="6"/>
      <c r="AB196" s="6"/>
    </row>
    <row r="197" ht="15.75" customHeight="1">
      <c r="A197" s="130"/>
      <c r="B197" s="131"/>
      <c r="C197" s="132"/>
      <c r="D197" s="132"/>
      <c r="E197" s="132"/>
      <c r="F197" s="132"/>
      <c r="G197" s="6"/>
      <c r="H197" s="6"/>
      <c r="I197" s="6"/>
      <c r="J197" s="6"/>
      <c r="K197" s="131"/>
      <c r="L197" s="131"/>
      <c r="M197" s="131"/>
      <c r="N197" s="131"/>
      <c r="O197" s="6"/>
      <c r="P197" s="6"/>
      <c r="Q197" s="6"/>
      <c r="R197" s="6"/>
      <c r="S197" s="6"/>
      <c r="T197" s="6"/>
      <c r="U197" s="6"/>
      <c r="V197" s="6"/>
      <c r="W197" s="6"/>
      <c r="X197" s="6"/>
      <c r="Y197" s="6"/>
      <c r="Z197" s="6"/>
      <c r="AA197" s="6"/>
      <c r="AB197" s="6"/>
    </row>
    <row r="198" ht="15.75" customHeight="1">
      <c r="A198" s="130"/>
      <c r="B198" s="131"/>
      <c r="C198" s="132"/>
      <c r="D198" s="132"/>
      <c r="E198" s="132"/>
      <c r="F198" s="132"/>
      <c r="G198" s="6"/>
      <c r="H198" s="6"/>
      <c r="I198" s="6"/>
      <c r="J198" s="6"/>
      <c r="K198" s="131"/>
      <c r="L198" s="131"/>
      <c r="M198" s="131"/>
      <c r="N198" s="131"/>
      <c r="O198" s="6"/>
      <c r="P198" s="6"/>
      <c r="Q198" s="6"/>
      <c r="R198" s="6"/>
      <c r="S198" s="6"/>
      <c r="T198" s="6"/>
      <c r="U198" s="6"/>
      <c r="V198" s="6"/>
      <c r="W198" s="6"/>
      <c r="X198" s="6"/>
      <c r="Y198" s="6"/>
      <c r="Z198" s="6"/>
      <c r="AA198" s="6"/>
      <c r="AB198" s="6"/>
    </row>
    <row r="199" ht="15.75" customHeight="1">
      <c r="A199" s="130"/>
      <c r="B199" s="131"/>
      <c r="C199" s="132"/>
      <c r="D199" s="132"/>
      <c r="E199" s="132"/>
      <c r="F199" s="132"/>
      <c r="G199" s="6"/>
      <c r="H199" s="6"/>
      <c r="I199" s="6"/>
      <c r="J199" s="6"/>
      <c r="K199" s="131"/>
      <c r="L199" s="131"/>
      <c r="M199" s="131"/>
      <c r="N199" s="131"/>
      <c r="O199" s="6"/>
      <c r="P199" s="6"/>
      <c r="Q199" s="6"/>
      <c r="R199" s="6"/>
      <c r="S199" s="6"/>
      <c r="T199" s="6"/>
      <c r="U199" s="6"/>
      <c r="V199" s="6"/>
      <c r="W199" s="6"/>
      <c r="X199" s="6"/>
      <c r="Y199" s="6"/>
      <c r="Z199" s="6"/>
      <c r="AA199" s="6"/>
      <c r="AB199" s="6"/>
    </row>
    <row r="200" ht="15.75" customHeight="1">
      <c r="A200" s="130"/>
      <c r="B200" s="131"/>
      <c r="C200" s="132"/>
      <c r="D200" s="132"/>
      <c r="E200" s="132"/>
      <c r="F200" s="132"/>
      <c r="G200" s="6"/>
      <c r="H200" s="6"/>
      <c r="I200" s="6"/>
      <c r="J200" s="6"/>
      <c r="K200" s="131"/>
      <c r="L200" s="131"/>
      <c r="M200" s="131"/>
      <c r="N200" s="131"/>
      <c r="O200" s="6"/>
      <c r="P200" s="6"/>
      <c r="Q200" s="6"/>
      <c r="R200" s="6"/>
      <c r="S200" s="6"/>
      <c r="T200" s="6"/>
      <c r="U200" s="6"/>
      <c r="V200" s="6"/>
      <c r="W200" s="6"/>
      <c r="X200" s="6"/>
      <c r="Y200" s="6"/>
      <c r="Z200" s="6"/>
      <c r="AA200" s="6"/>
      <c r="AB200" s="6"/>
    </row>
    <row r="201" ht="15.75" customHeight="1">
      <c r="A201" s="130"/>
      <c r="B201" s="131"/>
      <c r="C201" s="132"/>
      <c r="D201" s="132"/>
      <c r="E201" s="132"/>
      <c r="F201" s="132"/>
      <c r="G201" s="6"/>
      <c r="H201" s="6"/>
      <c r="I201" s="6"/>
      <c r="J201" s="6"/>
      <c r="K201" s="131"/>
      <c r="L201" s="131"/>
      <c r="M201" s="131"/>
      <c r="N201" s="131"/>
      <c r="O201" s="6"/>
      <c r="P201" s="6"/>
      <c r="Q201" s="6"/>
      <c r="R201" s="6"/>
      <c r="S201" s="6"/>
      <c r="T201" s="6"/>
      <c r="U201" s="6"/>
      <c r="V201" s="6"/>
      <c r="W201" s="6"/>
      <c r="X201" s="6"/>
      <c r="Y201" s="6"/>
      <c r="Z201" s="6"/>
      <c r="AA201" s="6"/>
      <c r="AB201" s="6"/>
    </row>
    <row r="202" ht="15.75" customHeight="1">
      <c r="A202" s="130"/>
      <c r="B202" s="131"/>
      <c r="C202" s="132"/>
      <c r="D202" s="132"/>
      <c r="E202" s="132"/>
      <c r="F202" s="132"/>
      <c r="G202" s="6"/>
      <c r="H202" s="6"/>
      <c r="I202" s="6"/>
      <c r="J202" s="6"/>
      <c r="K202" s="131"/>
      <c r="L202" s="131"/>
      <c r="M202" s="131"/>
      <c r="N202" s="131"/>
      <c r="O202" s="6"/>
      <c r="P202" s="6"/>
      <c r="Q202" s="6"/>
      <c r="R202" s="6"/>
      <c r="S202" s="6"/>
      <c r="T202" s="6"/>
      <c r="U202" s="6"/>
      <c r="V202" s="6"/>
      <c r="W202" s="6"/>
      <c r="X202" s="6"/>
      <c r="Y202" s="6"/>
      <c r="Z202" s="6"/>
      <c r="AA202" s="6"/>
      <c r="AB202" s="6"/>
    </row>
    <row r="203" ht="15.75" customHeight="1">
      <c r="A203" s="130"/>
      <c r="B203" s="131"/>
      <c r="C203" s="132"/>
      <c r="D203" s="132"/>
      <c r="E203" s="132"/>
      <c r="F203" s="132"/>
      <c r="G203" s="6"/>
      <c r="H203" s="6"/>
      <c r="I203" s="6"/>
      <c r="J203" s="6"/>
      <c r="K203" s="131"/>
      <c r="L203" s="131"/>
      <c r="M203" s="131"/>
      <c r="N203" s="131"/>
      <c r="O203" s="6"/>
      <c r="P203" s="6"/>
      <c r="Q203" s="6"/>
      <c r="R203" s="6"/>
      <c r="S203" s="6"/>
      <c r="T203" s="6"/>
      <c r="U203" s="6"/>
      <c r="V203" s="6"/>
      <c r="W203" s="6"/>
      <c r="X203" s="6"/>
      <c r="Y203" s="6"/>
      <c r="Z203" s="6"/>
      <c r="AA203" s="6"/>
      <c r="AB203" s="6"/>
    </row>
    <row r="204" ht="15.75" customHeight="1">
      <c r="A204" s="130"/>
      <c r="B204" s="131"/>
      <c r="C204" s="132"/>
      <c r="D204" s="132"/>
      <c r="E204" s="132"/>
      <c r="F204" s="132"/>
      <c r="G204" s="6"/>
      <c r="H204" s="6"/>
      <c r="I204" s="6"/>
      <c r="J204" s="6"/>
      <c r="K204" s="131"/>
      <c r="L204" s="131"/>
      <c r="M204" s="131"/>
      <c r="N204" s="131"/>
      <c r="O204" s="6"/>
      <c r="P204" s="6"/>
      <c r="Q204" s="6"/>
      <c r="R204" s="6"/>
      <c r="S204" s="6"/>
      <c r="T204" s="6"/>
      <c r="U204" s="6"/>
      <c r="V204" s="6"/>
      <c r="W204" s="6"/>
      <c r="X204" s="6"/>
      <c r="Y204" s="6"/>
      <c r="Z204" s="6"/>
      <c r="AA204" s="6"/>
      <c r="AB204" s="6"/>
    </row>
    <row r="205" ht="15.75" customHeight="1">
      <c r="A205" s="130"/>
      <c r="B205" s="131"/>
      <c r="C205" s="132"/>
      <c r="D205" s="132"/>
      <c r="E205" s="132"/>
      <c r="F205" s="132"/>
      <c r="G205" s="6"/>
      <c r="H205" s="6"/>
      <c r="I205" s="6"/>
      <c r="J205" s="6"/>
      <c r="K205" s="131"/>
      <c r="L205" s="131"/>
      <c r="M205" s="131"/>
      <c r="N205" s="131"/>
      <c r="O205" s="6"/>
      <c r="P205" s="6"/>
      <c r="Q205" s="6"/>
      <c r="R205" s="6"/>
      <c r="S205" s="6"/>
      <c r="T205" s="6"/>
      <c r="U205" s="6"/>
      <c r="V205" s="6"/>
      <c r="W205" s="6"/>
      <c r="X205" s="6"/>
      <c r="Y205" s="6"/>
      <c r="Z205" s="6"/>
      <c r="AA205" s="6"/>
      <c r="AB205" s="6"/>
    </row>
    <row r="206" ht="15.75" customHeight="1">
      <c r="A206" s="130"/>
      <c r="B206" s="131"/>
      <c r="C206" s="132"/>
      <c r="D206" s="132"/>
      <c r="E206" s="132"/>
      <c r="F206" s="132"/>
      <c r="G206" s="6"/>
      <c r="H206" s="6"/>
      <c r="I206" s="6"/>
      <c r="J206" s="6"/>
      <c r="K206" s="131"/>
      <c r="L206" s="131"/>
      <c r="M206" s="131"/>
      <c r="N206" s="131"/>
      <c r="O206" s="6"/>
      <c r="P206" s="6"/>
      <c r="Q206" s="6"/>
      <c r="R206" s="6"/>
      <c r="S206" s="6"/>
      <c r="T206" s="6"/>
      <c r="U206" s="6"/>
      <c r="V206" s="6"/>
      <c r="W206" s="6"/>
      <c r="X206" s="6"/>
      <c r="Y206" s="6"/>
      <c r="Z206" s="6"/>
      <c r="AA206" s="6"/>
      <c r="AB206" s="6"/>
    </row>
    <row r="207" ht="15.75" customHeight="1">
      <c r="A207" s="130"/>
      <c r="B207" s="131"/>
      <c r="C207" s="132"/>
      <c r="D207" s="132"/>
      <c r="E207" s="132"/>
      <c r="F207" s="132"/>
      <c r="G207" s="6"/>
      <c r="H207" s="6"/>
      <c r="I207" s="6"/>
      <c r="J207" s="6"/>
      <c r="K207" s="131"/>
      <c r="L207" s="131"/>
      <c r="M207" s="131"/>
      <c r="N207" s="131"/>
      <c r="O207" s="6"/>
      <c r="P207" s="6"/>
      <c r="Q207" s="6"/>
      <c r="R207" s="6"/>
      <c r="S207" s="6"/>
      <c r="T207" s="6"/>
      <c r="U207" s="6"/>
      <c r="V207" s="6"/>
      <c r="W207" s="6"/>
      <c r="X207" s="6"/>
      <c r="Y207" s="6"/>
      <c r="Z207" s="6"/>
      <c r="AA207" s="6"/>
      <c r="AB207" s="6"/>
    </row>
    <row r="208" ht="15.75" customHeight="1">
      <c r="A208" s="130"/>
      <c r="B208" s="131"/>
      <c r="C208" s="132"/>
      <c r="D208" s="132"/>
      <c r="E208" s="132"/>
      <c r="F208" s="132"/>
      <c r="G208" s="6"/>
      <c r="H208" s="6"/>
      <c r="I208" s="6"/>
      <c r="J208" s="6"/>
      <c r="K208" s="131"/>
      <c r="L208" s="131"/>
      <c r="M208" s="131"/>
      <c r="N208" s="131"/>
      <c r="O208" s="6"/>
      <c r="P208" s="6"/>
      <c r="Q208" s="6"/>
      <c r="R208" s="6"/>
      <c r="S208" s="6"/>
      <c r="T208" s="6"/>
      <c r="U208" s="6"/>
      <c r="V208" s="6"/>
      <c r="W208" s="6"/>
      <c r="X208" s="6"/>
      <c r="Y208" s="6"/>
      <c r="Z208" s="6"/>
      <c r="AA208" s="6"/>
      <c r="AB208" s="6"/>
    </row>
    <row r="209" ht="15.75" customHeight="1">
      <c r="A209" s="130"/>
      <c r="B209" s="131"/>
      <c r="C209" s="132"/>
      <c r="D209" s="132"/>
      <c r="E209" s="132"/>
      <c r="F209" s="132"/>
      <c r="G209" s="6"/>
      <c r="H209" s="6"/>
      <c r="I209" s="6"/>
      <c r="J209" s="6"/>
      <c r="K209" s="131"/>
      <c r="L209" s="131"/>
      <c r="M209" s="131"/>
      <c r="N209" s="131"/>
      <c r="O209" s="6"/>
      <c r="P209" s="6"/>
      <c r="Q209" s="6"/>
      <c r="R209" s="6"/>
      <c r="S209" s="6"/>
      <c r="T209" s="6"/>
      <c r="U209" s="6"/>
      <c r="V209" s="6"/>
      <c r="W209" s="6"/>
      <c r="X209" s="6"/>
      <c r="Y209" s="6"/>
      <c r="Z209" s="6"/>
      <c r="AA209" s="6"/>
      <c r="AB209" s="6"/>
    </row>
    <row r="210" ht="15.75" customHeight="1">
      <c r="A210" s="130"/>
      <c r="B210" s="131"/>
      <c r="C210" s="132"/>
      <c r="D210" s="132"/>
      <c r="E210" s="132"/>
      <c r="F210" s="132"/>
      <c r="G210" s="6"/>
      <c r="H210" s="6"/>
      <c r="I210" s="6"/>
      <c r="J210" s="6"/>
      <c r="K210" s="131"/>
      <c r="L210" s="131"/>
      <c r="M210" s="131"/>
      <c r="N210" s="131"/>
      <c r="O210" s="6"/>
      <c r="P210" s="6"/>
      <c r="Q210" s="6"/>
      <c r="R210" s="6"/>
      <c r="S210" s="6"/>
      <c r="T210" s="6"/>
      <c r="U210" s="6"/>
      <c r="V210" s="6"/>
      <c r="W210" s="6"/>
      <c r="X210" s="6"/>
      <c r="Y210" s="6"/>
      <c r="Z210" s="6"/>
      <c r="AA210" s="6"/>
      <c r="AB210" s="6"/>
    </row>
    <row r="211" ht="15.75" customHeight="1">
      <c r="A211" s="130"/>
      <c r="B211" s="131"/>
      <c r="C211" s="132"/>
      <c r="D211" s="132"/>
      <c r="E211" s="132"/>
      <c r="F211" s="132"/>
      <c r="G211" s="6"/>
      <c r="H211" s="6"/>
      <c r="I211" s="6"/>
      <c r="J211" s="6"/>
      <c r="K211" s="131"/>
      <c r="L211" s="131"/>
      <c r="M211" s="131"/>
      <c r="N211" s="131"/>
      <c r="O211" s="6"/>
      <c r="P211" s="6"/>
      <c r="Q211" s="6"/>
      <c r="R211" s="6"/>
      <c r="S211" s="6"/>
      <c r="T211" s="6"/>
      <c r="U211" s="6"/>
      <c r="V211" s="6"/>
      <c r="W211" s="6"/>
      <c r="X211" s="6"/>
      <c r="Y211" s="6"/>
      <c r="Z211" s="6"/>
      <c r="AA211" s="6"/>
      <c r="AB211" s="6"/>
    </row>
    <row r="212" ht="15.75" customHeight="1">
      <c r="A212" s="130"/>
      <c r="B212" s="131"/>
      <c r="C212" s="132"/>
      <c r="D212" s="132"/>
      <c r="E212" s="132"/>
      <c r="F212" s="132"/>
      <c r="G212" s="6"/>
      <c r="H212" s="6"/>
      <c r="I212" s="6"/>
      <c r="J212" s="6"/>
      <c r="K212" s="131"/>
      <c r="L212" s="131"/>
      <c r="M212" s="131"/>
      <c r="N212" s="131"/>
      <c r="O212" s="6"/>
      <c r="P212" s="6"/>
      <c r="Q212" s="6"/>
      <c r="R212" s="6"/>
      <c r="S212" s="6"/>
      <c r="T212" s="6"/>
      <c r="U212" s="6"/>
      <c r="V212" s="6"/>
      <c r="W212" s="6"/>
      <c r="X212" s="6"/>
      <c r="Y212" s="6"/>
      <c r="Z212" s="6"/>
      <c r="AA212" s="6"/>
      <c r="AB212" s="6"/>
    </row>
    <row r="213" ht="15.75" customHeight="1">
      <c r="A213" s="130"/>
      <c r="B213" s="131"/>
      <c r="C213" s="132"/>
      <c r="D213" s="132"/>
      <c r="E213" s="132"/>
      <c r="F213" s="132"/>
      <c r="G213" s="6"/>
      <c r="H213" s="6"/>
      <c r="I213" s="6"/>
      <c r="J213" s="6"/>
      <c r="K213" s="131"/>
      <c r="L213" s="131"/>
      <c r="M213" s="131"/>
      <c r="N213" s="131"/>
      <c r="O213" s="6"/>
      <c r="P213" s="6"/>
      <c r="Q213" s="6"/>
      <c r="R213" s="6"/>
      <c r="S213" s="6"/>
      <c r="T213" s="6"/>
      <c r="U213" s="6"/>
      <c r="V213" s="6"/>
      <c r="W213" s="6"/>
      <c r="X213" s="6"/>
      <c r="Y213" s="6"/>
      <c r="Z213" s="6"/>
      <c r="AA213" s="6"/>
      <c r="AB213" s="6"/>
    </row>
    <row r="214" ht="15.75" customHeight="1">
      <c r="A214" s="130"/>
      <c r="B214" s="131"/>
      <c r="C214" s="132"/>
      <c r="D214" s="132"/>
      <c r="E214" s="132"/>
      <c r="F214" s="132"/>
      <c r="G214" s="6"/>
      <c r="H214" s="6"/>
      <c r="I214" s="6"/>
      <c r="J214" s="6"/>
      <c r="K214" s="131"/>
      <c r="L214" s="131"/>
      <c r="M214" s="131"/>
      <c r="N214" s="131"/>
      <c r="O214" s="6"/>
      <c r="P214" s="6"/>
      <c r="Q214" s="6"/>
      <c r="R214" s="6"/>
      <c r="S214" s="6"/>
      <c r="T214" s="6"/>
      <c r="U214" s="6"/>
      <c r="V214" s="6"/>
      <c r="W214" s="6"/>
      <c r="X214" s="6"/>
      <c r="Y214" s="6"/>
      <c r="Z214" s="6"/>
      <c r="AA214" s="6"/>
      <c r="AB214" s="6"/>
    </row>
    <row r="215" ht="15.75" customHeight="1">
      <c r="A215" s="130"/>
      <c r="B215" s="131"/>
      <c r="C215" s="132"/>
      <c r="D215" s="132"/>
      <c r="E215" s="132"/>
      <c r="F215" s="132"/>
      <c r="G215" s="6"/>
      <c r="H215" s="6"/>
      <c r="I215" s="6"/>
      <c r="J215" s="6"/>
      <c r="K215" s="131"/>
      <c r="L215" s="131"/>
      <c r="M215" s="131"/>
      <c r="N215" s="131"/>
      <c r="O215" s="6"/>
      <c r="P215" s="6"/>
      <c r="Q215" s="6"/>
      <c r="R215" s="6"/>
      <c r="S215" s="6"/>
      <c r="T215" s="6"/>
      <c r="U215" s="6"/>
      <c r="V215" s="6"/>
      <c r="W215" s="6"/>
      <c r="X215" s="6"/>
      <c r="Y215" s="6"/>
      <c r="Z215" s="6"/>
      <c r="AA215" s="6"/>
      <c r="AB215" s="6"/>
    </row>
    <row r="216" ht="15.75" customHeight="1">
      <c r="A216" s="130"/>
      <c r="B216" s="131"/>
      <c r="C216" s="132"/>
      <c r="D216" s="132"/>
      <c r="E216" s="132"/>
      <c r="F216" s="132"/>
      <c r="G216" s="6"/>
      <c r="H216" s="6"/>
      <c r="I216" s="6"/>
      <c r="J216" s="6"/>
      <c r="K216" s="131"/>
      <c r="L216" s="131"/>
      <c r="M216" s="131"/>
      <c r="N216" s="131"/>
      <c r="O216" s="6"/>
      <c r="P216" s="6"/>
      <c r="Q216" s="6"/>
      <c r="R216" s="6"/>
      <c r="S216" s="6"/>
      <c r="T216" s="6"/>
      <c r="U216" s="6"/>
      <c r="V216" s="6"/>
      <c r="W216" s="6"/>
      <c r="X216" s="6"/>
      <c r="Y216" s="6"/>
      <c r="Z216" s="6"/>
      <c r="AA216" s="6"/>
      <c r="AB216" s="6"/>
    </row>
    <row r="217" ht="15.75" customHeight="1">
      <c r="A217" s="130"/>
      <c r="B217" s="131"/>
      <c r="C217" s="132"/>
      <c r="D217" s="132"/>
      <c r="E217" s="132"/>
      <c r="F217" s="132"/>
      <c r="G217" s="6"/>
      <c r="H217" s="6"/>
      <c r="I217" s="6"/>
      <c r="J217" s="6"/>
      <c r="K217" s="131"/>
      <c r="L217" s="131"/>
      <c r="M217" s="131"/>
      <c r="N217" s="131"/>
      <c r="O217" s="6"/>
      <c r="P217" s="6"/>
      <c r="Q217" s="6"/>
      <c r="R217" s="6"/>
      <c r="S217" s="6"/>
      <c r="T217" s="6"/>
      <c r="U217" s="6"/>
      <c r="V217" s="6"/>
      <c r="W217" s="6"/>
      <c r="X217" s="6"/>
      <c r="Y217" s="6"/>
      <c r="Z217" s="6"/>
      <c r="AA217" s="6"/>
      <c r="AB217" s="6"/>
    </row>
    <row r="218" ht="15.75" customHeight="1">
      <c r="A218" s="130"/>
      <c r="B218" s="131"/>
      <c r="C218" s="132"/>
      <c r="D218" s="132"/>
      <c r="E218" s="132"/>
      <c r="F218" s="132"/>
      <c r="G218" s="6"/>
      <c r="H218" s="6"/>
      <c r="I218" s="6"/>
      <c r="J218" s="6"/>
      <c r="K218" s="131"/>
      <c r="L218" s="131"/>
      <c r="M218" s="131"/>
      <c r="N218" s="131"/>
      <c r="O218" s="6"/>
      <c r="P218" s="6"/>
      <c r="Q218" s="6"/>
      <c r="R218" s="6"/>
      <c r="S218" s="6"/>
      <c r="T218" s="6"/>
      <c r="U218" s="6"/>
      <c r="V218" s="6"/>
      <c r="W218" s="6"/>
      <c r="X218" s="6"/>
      <c r="Y218" s="6"/>
      <c r="Z218" s="6"/>
      <c r="AA218" s="6"/>
      <c r="AB218" s="6"/>
    </row>
    <row r="219" ht="15.75" customHeight="1">
      <c r="A219" s="130"/>
      <c r="B219" s="131"/>
      <c r="C219" s="132"/>
      <c r="D219" s="132"/>
      <c r="E219" s="132"/>
      <c r="F219" s="132"/>
      <c r="G219" s="6"/>
      <c r="H219" s="6"/>
      <c r="I219" s="6"/>
      <c r="J219" s="6"/>
      <c r="K219" s="131"/>
      <c r="L219" s="131"/>
      <c r="M219" s="131"/>
      <c r="N219" s="131"/>
      <c r="O219" s="6"/>
      <c r="P219" s="6"/>
      <c r="Q219" s="6"/>
      <c r="R219" s="6"/>
      <c r="S219" s="6"/>
      <c r="T219" s="6"/>
      <c r="U219" s="6"/>
      <c r="V219" s="6"/>
      <c r="W219" s="6"/>
      <c r="X219" s="6"/>
      <c r="Y219" s="6"/>
      <c r="Z219" s="6"/>
      <c r="AA219" s="6"/>
      <c r="AB219" s="6"/>
    </row>
    <row r="220" ht="15.75" customHeight="1">
      <c r="A220" s="130"/>
      <c r="B220" s="131"/>
      <c r="C220" s="132"/>
      <c r="D220" s="132"/>
      <c r="E220" s="132"/>
      <c r="F220" s="132"/>
      <c r="G220" s="6"/>
      <c r="H220" s="6"/>
      <c r="I220" s="6"/>
      <c r="J220" s="6"/>
      <c r="K220" s="131"/>
      <c r="L220" s="131"/>
      <c r="M220" s="131"/>
      <c r="N220" s="131"/>
      <c r="O220" s="6"/>
      <c r="P220" s="6"/>
      <c r="Q220" s="6"/>
      <c r="R220" s="6"/>
      <c r="S220" s="6"/>
      <c r="T220" s="6"/>
      <c r="U220" s="6"/>
      <c r="V220" s="6"/>
      <c r="W220" s="6"/>
      <c r="X220" s="6"/>
      <c r="Y220" s="6"/>
      <c r="Z220" s="6"/>
      <c r="AA220" s="6"/>
      <c r="AB220" s="6"/>
    </row>
    <row r="221" ht="15.75" customHeight="1">
      <c r="A221" s="130"/>
      <c r="B221" s="131"/>
      <c r="C221" s="132"/>
      <c r="D221" s="132"/>
      <c r="E221" s="132"/>
      <c r="F221" s="132"/>
      <c r="G221" s="6"/>
      <c r="H221" s="6"/>
      <c r="I221" s="6"/>
      <c r="J221" s="6"/>
      <c r="K221" s="131"/>
      <c r="L221" s="131"/>
      <c r="M221" s="131"/>
      <c r="N221" s="131"/>
      <c r="O221" s="6"/>
      <c r="P221" s="6"/>
      <c r="Q221" s="6"/>
      <c r="R221" s="6"/>
      <c r="S221" s="6"/>
      <c r="T221" s="6"/>
      <c r="U221" s="6"/>
      <c r="V221" s="6"/>
      <c r="W221" s="6"/>
      <c r="X221" s="6"/>
      <c r="Y221" s="6"/>
      <c r="Z221" s="6"/>
      <c r="AA221" s="6"/>
      <c r="AB221" s="6"/>
    </row>
    <row r="222" ht="15.75" customHeight="1">
      <c r="A222" s="130"/>
      <c r="B222" s="131"/>
      <c r="C222" s="132"/>
      <c r="D222" s="132"/>
      <c r="E222" s="132"/>
      <c r="F222" s="132"/>
      <c r="G222" s="6"/>
      <c r="H222" s="6"/>
      <c r="I222" s="6"/>
      <c r="J222" s="6"/>
      <c r="K222" s="131"/>
      <c r="L222" s="131"/>
      <c r="M222" s="131"/>
      <c r="N222" s="131"/>
      <c r="O222" s="6"/>
      <c r="P222" s="6"/>
      <c r="Q222" s="6"/>
      <c r="R222" s="6"/>
      <c r="S222" s="6"/>
      <c r="T222" s="6"/>
      <c r="U222" s="6"/>
      <c r="V222" s="6"/>
      <c r="W222" s="6"/>
      <c r="X222" s="6"/>
      <c r="Y222" s="6"/>
      <c r="Z222" s="6"/>
      <c r="AA222" s="6"/>
      <c r="AB222" s="6"/>
    </row>
    <row r="223" ht="15.75" customHeight="1">
      <c r="A223" s="130"/>
      <c r="B223" s="131"/>
      <c r="C223" s="132"/>
      <c r="D223" s="132"/>
      <c r="E223" s="132"/>
      <c r="F223" s="132"/>
      <c r="G223" s="6"/>
      <c r="H223" s="6"/>
      <c r="I223" s="6"/>
      <c r="J223" s="6"/>
      <c r="K223" s="131"/>
      <c r="L223" s="131"/>
      <c r="M223" s="131"/>
      <c r="N223" s="131"/>
      <c r="O223" s="6"/>
      <c r="P223" s="6"/>
      <c r="Q223" s="6"/>
      <c r="R223" s="6"/>
      <c r="S223" s="6"/>
      <c r="T223" s="6"/>
      <c r="U223" s="6"/>
      <c r="V223" s="6"/>
      <c r="W223" s="6"/>
      <c r="X223" s="6"/>
      <c r="Y223" s="6"/>
      <c r="Z223" s="6"/>
      <c r="AA223" s="6"/>
      <c r="AB223" s="6"/>
    </row>
    <row r="224" ht="15.75" customHeight="1">
      <c r="A224" s="130"/>
      <c r="B224" s="131"/>
      <c r="C224" s="132"/>
      <c r="D224" s="132"/>
      <c r="E224" s="132"/>
      <c r="F224" s="132"/>
      <c r="G224" s="6"/>
      <c r="H224" s="6"/>
      <c r="I224" s="6"/>
      <c r="J224" s="6"/>
      <c r="K224" s="131"/>
      <c r="L224" s="131"/>
      <c r="M224" s="131"/>
      <c r="N224" s="131"/>
      <c r="O224" s="6"/>
      <c r="P224" s="6"/>
      <c r="Q224" s="6"/>
      <c r="R224" s="6"/>
      <c r="S224" s="6"/>
      <c r="T224" s="6"/>
      <c r="U224" s="6"/>
      <c r="V224" s="6"/>
      <c r="W224" s="6"/>
      <c r="X224" s="6"/>
      <c r="Y224" s="6"/>
      <c r="Z224" s="6"/>
      <c r="AA224" s="6"/>
      <c r="AB224" s="6"/>
    </row>
    <row r="225" ht="15.75" customHeight="1">
      <c r="A225" s="130"/>
      <c r="B225" s="131"/>
      <c r="C225" s="132"/>
      <c r="D225" s="132"/>
      <c r="E225" s="132"/>
      <c r="F225" s="132"/>
      <c r="G225" s="6"/>
      <c r="H225" s="6"/>
      <c r="I225" s="6"/>
      <c r="J225" s="6"/>
      <c r="K225" s="131"/>
      <c r="L225" s="131"/>
      <c r="M225" s="131"/>
      <c r="N225" s="131"/>
      <c r="O225" s="6"/>
      <c r="P225" s="6"/>
      <c r="Q225" s="6"/>
      <c r="R225" s="6"/>
      <c r="S225" s="6"/>
      <c r="T225" s="6"/>
      <c r="U225" s="6"/>
      <c r="V225" s="6"/>
      <c r="W225" s="6"/>
      <c r="X225" s="6"/>
      <c r="Y225" s="6"/>
      <c r="Z225" s="6"/>
      <c r="AA225" s="6"/>
      <c r="AB225" s="6"/>
    </row>
    <row r="226" ht="15.75" customHeight="1">
      <c r="A226" s="130"/>
      <c r="B226" s="131"/>
      <c r="C226" s="132"/>
      <c r="D226" s="132"/>
      <c r="E226" s="132"/>
      <c r="F226" s="132"/>
      <c r="G226" s="6"/>
      <c r="H226" s="6"/>
      <c r="I226" s="6"/>
      <c r="J226" s="6"/>
      <c r="K226" s="131"/>
      <c r="L226" s="131"/>
      <c r="M226" s="131"/>
      <c r="N226" s="131"/>
      <c r="O226" s="6"/>
      <c r="P226" s="6"/>
      <c r="Q226" s="6"/>
      <c r="R226" s="6"/>
      <c r="S226" s="6"/>
      <c r="T226" s="6"/>
      <c r="U226" s="6"/>
      <c r="V226" s="6"/>
      <c r="W226" s="6"/>
      <c r="X226" s="6"/>
      <c r="Y226" s="6"/>
      <c r="Z226" s="6"/>
      <c r="AA226" s="6"/>
      <c r="AB226" s="6"/>
    </row>
    <row r="227" ht="15.75" customHeight="1">
      <c r="A227" s="130"/>
      <c r="B227" s="131"/>
      <c r="C227" s="132"/>
      <c r="D227" s="132"/>
      <c r="E227" s="132"/>
      <c r="F227" s="132"/>
      <c r="G227" s="6"/>
      <c r="H227" s="6"/>
      <c r="I227" s="6"/>
      <c r="J227" s="6"/>
      <c r="K227" s="131"/>
      <c r="L227" s="131"/>
      <c r="M227" s="131"/>
      <c r="N227" s="131"/>
      <c r="O227" s="6"/>
      <c r="P227" s="6"/>
      <c r="Q227" s="6"/>
      <c r="R227" s="6"/>
      <c r="S227" s="6"/>
      <c r="T227" s="6"/>
      <c r="U227" s="6"/>
      <c r="V227" s="6"/>
      <c r="W227" s="6"/>
      <c r="X227" s="6"/>
      <c r="Y227" s="6"/>
      <c r="Z227" s="6"/>
      <c r="AA227" s="6"/>
      <c r="AB227" s="6"/>
    </row>
    <row r="228" ht="15.75" customHeight="1">
      <c r="A228" s="130"/>
      <c r="B228" s="131"/>
      <c r="C228" s="132"/>
      <c r="D228" s="132"/>
      <c r="E228" s="132"/>
      <c r="F228" s="132"/>
      <c r="G228" s="6"/>
      <c r="H228" s="6"/>
      <c r="I228" s="6"/>
      <c r="J228" s="6"/>
      <c r="K228" s="131"/>
      <c r="L228" s="131"/>
      <c r="M228" s="131"/>
      <c r="N228" s="131"/>
      <c r="O228" s="6"/>
      <c r="P228" s="6"/>
      <c r="Q228" s="6"/>
      <c r="R228" s="6"/>
      <c r="S228" s="6"/>
      <c r="T228" s="6"/>
      <c r="U228" s="6"/>
      <c r="V228" s="6"/>
      <c r="W228" s="6"/>
      <c r="X228" s="6"/>
      <c r="Y228" s="6"/>
      <c r="Z228" s="6"/>
      <c r="AA228" s="6"/>
      <c r="AB228" s="6"/>
    </row>
    <row r="229" ht="15.75" customHeight="1">
      <c r="A229" s="130"/>
      <c r="B229" s="131"/>
      <c r="C229" s="132"/>
      <c r="D229" s="132"/>
      <c r="E229" s="132"/>
      <c r="F229" s="132"/>
      <c r="G229" s="6"/>
      <c r="H229" s="6"/>
      <c r="I229" s="6"/>
      <c r="J229" s="6"/>
      <c r="K229" s="131"/>
      <c r="L229" s="131"/>
      <c r="M229" s="131"/>
      <c r="N229" s="131"/>
      <c r="O229" s="6"/>
      <c r="P229" s="6"/>
      <c r="Q229" s="6"/>
      <c r="R229" s="6"/>
      <c r="S229" s="6"/>
      <c r="T229" s="6"/>
      <c r="U229" s="6"/>
      <c r="V229" s="6"/>
      <c r="W229" s="6"/>
      <c r="X229" s="6"/>
      <c r="Y229" s="6"/>
      <c r="Z229" s="6"/>
      <c r="AA229" s="6"/>
      <c r="AB229" s="6"/>
    </row>
    <row r="230" ht="15.75" customHeight="1">
      <c r="A230" s="130"/>
      <c r="B230" s="131"/>
      <c r="C230" s="132"/>
      <c r="D230" s="132"/>
      <c r="E230" s="132"/>
      <c r="F230" s="132"/>
      <c r="G230" s="6"/>
      <c r="H230" s="6"/>
      <c r="I230" s="6"/>
      <c r="J230" s="6"/>
      <c r="K230" s="131"/>
      <c r="L230" s="131"/>
      <c r="M230" s="131"/>
      <c r="N230" s="131"/>
      <c r="O230" s="6"/>
      <c r="P230" s="6"/>
      <c r="Q230" s="6"/>
      <c r="R230" s="6"/>
      <c r="S230" s="6"/>
      <c r="T230" s="6"/>
      <c r="U230" s="6"/>
      <c r="V230" s="6"/>
      <c r="W230" s="6"/>
      <c r="X230" s="6"/>
      <c r="Y230" s="6"/>
      <c r="Z230" s="6"/>
      <c r="AA230" s="6"/>
      <c r="AB230" s="6"/>
    </row>
    <row r="231" ht="15.75" customHeight="1">
      <c r="A231" s="130"/>
      <c r="B231" s="131"/>
      <c r="C231" s="132"/>
      <c r="D231" s="132"/>
      <c r="E231" s="132"/>
      <c r="F231" s="132"/>
      <c r="G231" s="6"/>
      <c r="H231" s="6"/>
      <c r="I231" s="6"/>
      <c r="J231" s="6"/>
      <c r="K231" s="131"/>
      <c r="L231" s="131"/>
      <c r="M231" s="131"/>
      <c r="N231" s="131"/>
      <c r="O231" s="6"/>
      <c r="P231" s="6"/>
      <c r="Q231" s="6"/>
      <c r="R231" s="6"/>
      <c r="S231" s="6"/>
      <c r="T231" s="6"/>
      <c r="U231" s="6"/>
      <c r="V231" s="6"/>
      <c r="W231" s="6"/>
      <c r="X231" s="6"/>
      <c r="Y231" s="6"/>
      <c r="Z231" s="6"/>
      <c r="AA231" s="6"/>
      <c r="AB231" s="6"/>
    </row>
    <row r="232" ht="15.75" customHeight="1">
      <c r="A232" s="130"/>
      <c r="B232" s="131"/>
      <c r="C232" s="132"/>
      <c r="D232" s="132"/>
      <c r="E232" s="132"/>
      <c r="F232" s="132"/>
      <c r="G232" s="6"/>
      <c r="H232" s="6"/>
      <c r="I232" s="6"/>
      <c r="J232" s="6"/>
      <c r="K232" s="131"/>
      <c r="L232" s="131"/>
      <c r="M232" s="131"/>
      <c r="N232" s="131"/>
      <c r="O232" s="6"/>
      <c r="P232" s="6"/>
      <c r="Q232" s="6"/>
      <c r="R232" s="6"/>
      <c r="S232" s="6"/>
      <c r="T232" s="6"/>
      <c r="U232" s="6"/>
      <c r="V232" s="6"/>
      <c r="W232" s="6"/>
      <c r="X232" s="6"/>
      <c r="Y232" s="6"/>
      <c r="Z232" s="6"/>
      <c r="AA232" s="6"/>
      <c r="AB232" s="6"/>
    </row>
    <row r="233" ht="15.75" customHeight="1">
      <c r="A233" s="130"/>
      <c r="B233" s="131"/>
      <c r="C233" s="132"/>
      <c r="D233" s="132"/>
      <c r="E233" s="132"/>
      <c r="F233" s="132"/>
      <c r="G233" s="6"/>
      <c r="H233" s="6"/>
      <c r="I233" s="6"/>
      <c r="J233" s="6"/>
      <c r="K233" s="131"/>
      <c r="L233" s="131"/>
      <c r="M233" s="131"/>
      <c r="N233" s="131"/>
      <c r="O233" s="6"/>
      <c r="P233" s="6"/>
      <c r="Q233" s="6"/>
      <c r="R233" s="6"/>
      <c r="S233" s="6"/>
      <c r="T233" s="6"/>
      <c r="U233" s="6"/>
      <c r="V233" s="6"/>
      <c r="W233" s="6"/>
      <c r="X233" s="6"/>
      <c r="Y233" s="6"/>
      <c r="Z233" s="6"/>
      <c r="AA233" s="6"/>
      <c r="AB233" s="6"/>
    </row>
    <row r="234" ht="15.75" customHeight="1">
      <c r="A234" s="130"/>
      <c r="B234" s="131"/>
      <c r="C234" s="132"/>
      <c r="D234" s="132"/>
      <c r="E234" s="132"/>
      <c r="F234" s="132"/>
      <c r="G234" s="6"/>
      <c r="H234" s="6"/>
      <c r="I234" s="6"/>
      <c r="J234" s="6"/>
      <c r="K234" s="131"/>
      <c r="L234" s="131"/>
      <c r="M234" s="131"/>
      <c r="N234" s="131"/>
      <c r="O234" s="6"/>
      <c r="P234" s="6"/>
      <c r="Q234" s="6"/>
      <c r="R234" s="6"/>
      <c r="S234" s="6"/>
      <c r="T234" s="6"/>
      <c r="U234" s="6"/>
      <c r="V234" s="6"/>
      <c r="W234" s="6"/>
      <c r="X234" s="6"/>
      <c r="Y234" s="6"/>
      <c r="Z234" s="6"/>
      <c r="AA234" s="6"/>
      <c r="AB234" s="6"/>
    </row>
    <row r="235" ht="15.75" customHeight="1">
      <c r="A235" s="130"/>
      <c r="B235" s="131"/>
      <c r="C235" s="132"/>
      <c r="D235" s="132"/>
      <c r="E235" s="132"/>
      <c r="F235" s="132"/>
      <c r="G235" s="6"/>
      <c r="H235" s="6"/>
      <c r="I235" s="6"/>
      <c r="J235" s="6"/>
      <c r="K235" s="131"/>
      <c r="L235" s="131"/>
      <c r="M235" s="131"/>
      <c r="N235" s="131"/>
      <c r="O235" s="6"/>
      <c r="P235" s="6"/>
      <c r="Q235" s="6"/>
      <c r="R235" s="6"/>
      <c r="S235" s="6"/>
      <c r="T235" s="6"/>
      <c r="U235" s="6"/>
      <c r="V235" s="6"/>
      <c r="W235" s="6"/>
      <c r="X235" s="6"/>
      <c r="Y235" s="6"/>
      <c r="Z235" s="6"/>
      <c r="AA235" s="6"/>
      <c r="AB235" s="6"/>
    </row>
    <row r="236" ht="15.75" customHeight="1">
      <c r="A236" s="130"/>
      <c r="B236" s="131"/>
      <c r="C236" s="132"/>
      <c r="D236" s="132"/>
      <c r="E236" s="132"/>
      <c r="F236" s="132"/>
      <c r="G236" s="6"/>
      <c r="H236" s="6"/>
      <c r="I236" s="6"/>
      <c r="J236" s="6"/>
      <c r="K236" s="131"/>
      <c r="L236" s="131"/>
      <c r="M236" s="131"/>
      <c r="N236" s="131"/>
      <c r="O236" s="6"/>
      <c r="P236" s="6"/>
      <c r="Q236" s="6"/>
      <c r="R236" s="6"/>
      <c r="S236" s="6"/>
      <c r="T236" s="6"/>
      <c r="U236" s="6"/>
      <c r="V236" s="6"/>
      <c r="W236" s="6"/>
      <c r="X236" s="6"/>
      <c r="Y236" s="6"/>
      <c r="Z236" s="6"/>
      <c r="AA236" s="6"/>
      <c r="AB236" s="6"/>
    </row>
    <row r="237" ht="15.75" customHeight="1">
      <c r="A237" s="130"/>
      <c r="B237" s="131"/>
      <c r="C237" s="132"/>
      <c r="D237" s="132"/>
      <c r="E237" s="132"/>
      <c r="F237" s="132"/>
      <c r="G237" s="6"/>
      <c r="H237" s="6"/>
      <c r="I237" s="6"/>
      <c r="J237" s="6"/>
      <c r="K237" s="131"/>
      <c r="L237" s="131"/>
      <c r="M237" s="131"/>
      <c r="N237" s="131"/>
      <c r="O237" s="6"/>
      <c r="P237" s="6"/>
      <c r="Q237" s="6"/>
      <c r="R237" s="6"/>
      <c r="S237" s="6"/>
      <c r="T237" s="6"/>
      <c r="U237" s="6"/>
      <c r="V237" s="6"/>
      <c r="W237" s="6"/>
      <c r="X237" s="6"/>
      <c r="Y237" s="6"/>
      <c r="Z237" s="6"/>
      <c r="AA237" s="6"/>
      <c r="AB237" s="6"/>
    </row>
    <row r="238" ht="15.75" customHeight="1">
      <c r="A238" s="130"/>
      <c r="B238" s="131"/>
      <c r="C238" s="132"/>
      <c r="D238" s="132"/>
      <c r="E238" s="132"/>
      <c r="F238" s="132"/>
      <c r="G238" s="6"/>
      <c r="H238" s="6"/>
      <c r="I238" s="6"/>
      <c r="J238" s="6"/>
      <c r="K238" s="131"/>
      <c r="L238" s="131"/>
      <c r="M238" s="131"/>
      <c r="N238" s="131"/>
      <c r="O238" s="6"/>
      <c r="P238" s="6"/>
      <c r="Q238" s="6"/>
      <c r="R238" s="6"/>
      <c r="S238" s="6"/>
      <c r="T238" s="6"/>
      <c r="U238" s="6"/>
      <c r="V238" s="6"/>
      <c r="W238" s="6"/>
      <c r="X238" s="6"/>
      <c r="Y238" s="6"/>
      <c r="Z238" s="6"/>
      <c r="AA238" s="6"/>
      <c r="AB238" s="6"/>
    </row>
    <row r="239" ht="15.75" customHeight="1">
      <c r="A239" s="130"/>
      <c r="B239" s="131"/>
      <c r="C239" s="132"/>
      <c r="D239" s="132"/>
      <c r="E239" s="132"/>
      <c r="F239" s="132"/>
      <c r="G239" s="6"/>
      <c r="H239" s="6"/>
      <c r="I239" s="6"/>
      <c r="J239" s="6"/>
      <c r="K239" s="131"/>
      <c r="L239" s="131"/>
      <c r="M239" s="131"/>
      <c r="N239" s="131"/>
      <c r="O239" s="6"/>
      <c r="P239" s="6"/>
      <c r="Q239" s="6"/>
      <c r="R239" s="6"/>
      <c r="S239" s="6"/>
      <c r="T239" s="6"/>
      <c r="U239" s="6"/>
      <c r="V239" s="6"/>
      <c r="W239" s="6"/>
      <c r="X239" s="6"/>
      <c r="Y239" s="6"/>
      <c r="Z239" s="6"/>
      <c r="AA239" s="6"/>
      <c r="AB239" s="6"/>
    </row>
    <row r="240" ht="15.75" customHeight="1">
      <c r="A240" s="130"/>
      <c r="B240" s="131"/>
      <c r="C240" s="132"/>
      <c r="D240" s="132"/>
      <c r="E240" s="132"/>
      <c r="F240" s="132"/>
      <c r="G240" s="6"/>
      <c r="H240" s="6"/>
      <c r="I240" s="6"/>
      <c r="J240" s="6"/>
      <c r="K240" s="131"/>
      <c r="L240" s="131"/>
      <c r="M240" s="131"/>
      <c r="N240" s="131"/>
      <c r="O240" s="6"/>
      <c r="P240" s="6"/>
      <c r="Q240" s="6"/>
      <c r="R240" s="6"/>
      <c r="S240" s="6"/>
      <c r="T240" s="6"/>
      <c r="U240" s="6"/>
      <c r="V240" s="6"/>
      <c r="W240" s="6"/>
      <c r="X240" s="6"/>
      <c r="Y240" s="6"/>
      <c r="Z240" s="6"/>
      <c r="AA240" s="6"/>
      <c r="AB240" s="6"/>
    </row>
    <row r="241" ht="15.75" customHeight="1">
      <c r="A241" s="130"/>
      <c r="B241" s="131"/>
      <c r="C241" s="132"/>
      <c r="D241" s="132"/>
      <c r="E241" s="132"/>
      <c r="F241" s="132"/>
      <c r="G241" s="6"/>
      <c r="H241" s="6"/>
      <c r="I241" s="6"/>
      <c r="J241" s="6"/>
      <c r="K241" s="131"/>
      <c r="L241" s="131"/>
      <c r="M241" s="131"/>
      <c r="N241" s="131"/>
      <c r="O241" s="6"/>
      <c r="P241" s="6"/>
      <c r="Q241" s="6"/>
      <c r="R241" s="6"/>
      <c r="S241" s="6"/>
      <c r="T241" s="6"/>
      <c r="U241" s="6"/>
      <c r="V241" s="6"/>
      <c r="W241" s="6"/>
      <c r="X241" s="6"/>
      <c r="Y241" s="6"/>
      <c r="Z241" s="6"/>
      <c r="AA241" s="6"/>
      <c r="AB241" s="6"/>
    </row>
    <row r="242" ht="15.75" customHeight="1">
      <c r="A242" s="130"/>
      <c r="B242" s="131"/>
      <c r="C242" s="132"/>
      <c r="D242" s="132"/>
      <c r="E242" s="132"/>
      <c r="F242" s="132"/>
      <c r="G242" s="6"/>
      <c r="H242" s="6"/>
      <c r="I242" s="6"/>
      <c r="J242" s="6"/>
      <c r="K242" s="131"/>
      <c r="L242" s="131"/>
      <c r="M242" s="131"/>
      <c r="N242" s="131"/>
      <c r="O242" s="6"/>
      <c r="P242" s="6"/>
      <c r="Q242" s="6"/>
      <c r="R242" s="6"/>
      <c r="S242" s="6"/>
      <c r="T242" s="6"/>
      <c r="U242" s="6"/>
      <c r="V242" s="6"/>
      <c r="W242" s="6"/>
      <c r="X242" s="6"/>
      <c r="Y242" s="6"/>
      <c r="Z242" s="6"/>
      <c r="AA242" s="6"/>
      <c r="AB242" s="6"/>
    </row>
    <row r="243" ht="15.75" customHeight="1">
      <c r="A243" s="130"/>
      <c r="B243" s="131"/>
      <c r="C243" s="132"/>
      <c r="D243" s="132"/>
      <c r="E243" s="132"/>
      <c r="F243" s="132"/>
      <c r="G243" s="6"/>
      <c r="H243" s="6"/>
      <c r="I243" s="6"/>
      <c r="J243" s="6"/>
      <c r="K243" s="131"/>
      <c r="L243" s="131"/>
      <c r="M243" s="131"/>
      <c r="N243" s="131"/>
      <c r="O243" s="6"/>
      <c r="P243" s="6"/>
      <c r="Q243" s="6"/>
      <c r="R243" s="6"/>
      <c r="S243" s="6"/>
      <c r="T243" s="6"/>
      <c r="U243" s="6"/>
      <c r="V243" s="6"/>
      <c r="W243" s="6"/>
      <c r="X243" s="6"/>
      <c r="Y243" s="6"/>
      <c r="Z243" s="6"/>
      <c r="AA243" s="6"/>
      <c r="AB243" s="6"/>
    </row>
    <row r="244" ht="15.75" customHeight="1">
      <c r="A244" s="130"/>
      <c r="B244" s="131"/>
      <c r="C244" s="132"/>
      <c r="D244" s="132"/>
      <c r="E244" s="132"/>
      <c r="F244" s="132"/>
      <c r="G244" s="6"/>
      <c r="H244" s="6"/>
      <c r="I244" s="6"/>
      <c r="J244" s="6"/>
      <c r="K244" s="131"/>
      <c r="L244" s="131"/>
      <c r="M244" s="131"/>
      <c r="N244" s="131"/>
      <c r="O244" s="6"/>
      <c r="P244" s="6"/>
      <c r="Q244" s="6"/>
      <c r="R244" s="6"/>
      <c r="S244" s="6"/>
      <c r="T244" s="6"/>
      <c r="U244" s="6"/>
      <c r="V244" s="6"/>
      <c r="W244" s="6"/>
      <c r="X244" s="6"/>
      <c r="Y244" s="6"/>
      <c r="Z244" s="6"/>
      <c r="AA244" s="6"/>
      <c r="AB244" s="6"/>
    </row>
    <row r="245" ht="15.75" customHeight="1">
      <c r="A245" s="130"/>
      <c r="B245" s="131"/>
      <c r="C245" s="132"/>
      <c r="D245" s="132"/>
      <c r="E245" s="132"/>
      <c r="F245" s="132"/>
      <c r="G245" s="6"/>
      <c r="H245" s="6"/>
      <c r="I245" s="6"/>
      <c r="J245" s="6"/>
      <c r="K245" s="131"/>
      <c r="L245" s="131"/>
      <c r="M245" s="131"/>
      <c r="N245" s="131"/>
      <c r="O245" s="6"/>
      <c r="P245" s="6"/>
      <c r="Q245" s="6"/>
      <c r="R245" s="6"/>
      <c r="S245" s="6"/>
      <c r="T245" s="6"/>
      <c r="U245" s="6"/>
      <c r="V245" s="6"/>
      <c r="W245" s="6"/>
      <c r="X245" s="6"/>
      <c r="Y245" s="6"/>
      <c r="Z245" s="6"/>
      <c r="AA245" s="6"/>
      <c r="AB245" s="6"/>
    </row>
    <row r="246" ht="15.75" customHeight="1">
      <c r="A246" s="130"/>
      <c r="B246" s="131"/>
      <c r="C246" s="132"/>
      <c r="D246" s="132"/>
      <c r="E246" s="132"/>
      <c r="F246" s="132"/>
      <c r="G246" s="6"/>
      <c r="H246" s="6"/>
      <c r="I246" s="6"/>
      <c r="J246" s="6"/>
      <c r="K246" s="131"/>
      <c r="L246" s="131"/>
      <c r="M246" s="131"/>
      <c r="N246" s="131"/>
      <c r="O246" s="6"/>
      <c r="P246" s="6"/>
      <c r="Q246" s="6"/>
      <c r="R246" s="6"/>
      <c r="S246" s="6"/>
      <c r="T246" s="6"/>
      <c r="U246" s="6"/>
      <c r="V246" s="6"/>
      <c r="W246" s="6"/>
      <c r="X246" s="6"/>
      <c r="Y246" s="6"/>
      <c r="Z246" s="6"/>
      <c r="AA246" s="6"/>
      <c r="AB246" s="6"/>
    </row>
    <row r="247" ht="15.75" customHeight="1">
      <c r="A247" s="130"/>
      <c r="B247" s="131"/>
      <c r="C247" s="132"/>
      <c r="D247" s="132"/>
      <c r="E247" s="132"/>
      <c r="F247" s="132"/>
      <c r="G247" s="6"/>
      <c r="H247" s="6"/>
      <c r="I247" s="6"/>
      <c r="J247" s="6"/>
      <c r="K247" s="131"/>
      <c r="L247" s="131"/>
      <c r="M247" s="131"/>
      <c r="N247" s="131"/>
      <c r="O247" s="6"/>
      <c r="P247" s="6"/>
      <c r="Q247" s="6"/>
      <c r="R247" s="6"/>
      <c r="S247" s="6"/>
      <c r="T247" s="6"/>
      <c r="U247" s="6"/>
      <c r="V247" s="6"/>
      <c r="W247" s="6"/>
      <c r="X247" s="6"/>
      <c r="Y247" s="6"/>
      <c r="Z247" s="6"/>
      <c r="AA247" s="6"/>
      <c r="AB247" s="6"/>
    </row>
    <row r="248" ht="15.75" customHeight="1">
      <c r="A248" s="130"/>
      <c r="B248" s="131"/>
      <c r="C248" s="132"/>
      <c r="D248" s="132"/>
      <c r="E248" s="132"/>
      <c r="F248" s="132"/>
      <c r="G248" s="6"/>
      <c r="H248" s="6"/>
      <c r="I248" s="6"/>
      <c r="J248" s="6"/>
      <c r="K248" s="131"/>
      <c r="L248" s="131"/>
      <c r="M248" s="131"/>
      <c r="N248" s="131"/>
      <c r="O248" s="6"/>
      <c r="P248" s="6"/>
      <c r="Q248" s="6"/>
      <c r="R248" s="6"/>
      <c r="S248" s="6"/>
      <c r="T248" s="6"/>
      <c r="U248" s="6"/>
      <c r="V248" s="6"/>
      <c r="W248" s="6"/>
      <c r="X248" s="6"/>
      <c r="Y248" s="6"/>
      <c r="Z248" s="6"/>
      <c r="AA248" s="6"/>
      <c r="AB248" s="6"/>
    </row>
    <row r="249" ht="15.75" customHeight="1">
      <c r="A249" s="130"/>
      <c r="B249" s="131"/>
      <c r="C249" s="132"/>
      <c r="D249" s="132"/>
      <c r="E249" s="132"/>
      <c r="F249" s="132"/>
      <c r="G249" s="6"/>
      <c r="H249" s="6"/>
      <c r="I249" s="6"/>
      <c r="J249" s="6"/>
      <c r="K249" s="131"/>
      <c r="L249" s="131"/>
      <c r="M249" s="131"/>
      <c r="N249" s="131"/>
      <c r="O249" s="6"/>
      <c r="P249" s="6"/>
      <c r="Q249" s="6"/>
      <c r="R249" s="6"/>
      <c r="S249" s="6"/>
      <c r="T249" s="6"/>
      <c r="U249" s="6"/>
      <c r="V249" s="6"/>
      <c r="W249" s="6"/>
      <c r="X249" s="6"/>
      <c r="Y249" s="6"/>
      <c r="Z249" s="6"/>
      <c r="AA249" s="6"/>
      <c r="AB249" s="6"/>
    </row>
    <row r="250" ht="15.75" customHeight="1">
      <c r="A250" s="130"/>
      <c r="B250" s="131"/>
      <c r="C250" s="132"/>
      <c r="D250" s="132"/>
      <c r="E250" s="132"/>
      <c r="F250" s="132"/>
      <c r="G250" s="6"/>
      <c r="H250" s="6"/>
      <c r="I250" s="6"/>
      <c r="J250" s="6"/>
      <c r="K250" s="131"/>
      <c r="L250" s="131"/>
      <c r="M250" s="131"/>
      <c r="N250" s="131"/>
      <c r="O250" s="6"/>
      <c r="P250" s="6"/>
      <c r="Q250" s="6"/>
      <c r="R250" s="6"/>
      <c r="S250" s="6"/>
      <c r="T250" s="6"/>
      <c r="U250" s="6"/>
      <c r="V250" s="6"/>
      <c r="W250" s="6"/>
      <c r="X250" s="6"/>
      <c r="Y250" s="6"/>
      <c r="Z250" s="6"/>
      <c r="AA250" s="6"/>
      <c r="AB250" s="6"/>
    </row>
    <row r="251" ht="15.75" customHeight="1">
      <c r="A251" s="130"/>
      <c r="B251" s="131"/>
      <c r="C251" s="132"/>
      <c r="D251" s="132"/>
      <c r="E251" s="132"/>
      <c r="F251" s="132"/>
      <c r="G251" s="6"/>
      <c r="H251" s="6"/>
      <c r="I251" s="6"/>
      <c r="J251" s="6"/>
      <c r="K251" s="131"/>
      <c r="L251" s="131"/>
      <c r="M251" s="131"/>
      <c r="N251" s="131"/>
      <c r="O251" s="6"/>
      <c r="P251" s="6"/>
      <c r="Q251" s="6"/>
      <c r="R251" s="6"/>
      <c r="S251" s="6"/>
      <c r="T251" s="6"/>
      <c r="U251" s="6"/>
      <c r="V251" s="6"/>
      <c r="W251" s="6"/>
      <c r="X251" s="6"/>
      <c r="Y251" s="6"/>
      <c r="Z251" s="6"/>
      <c r="AA251" s="6"/>
      <c r="AB251" s="6"/>
    </row>
    <row r="252" ht="15.75" customHeight="1">
      <c r="A252" s="130"/>
      <c r="B252" s="131"/>
      <c r="C252" s="132"/>
      <c r="D252" s="132"/>
      <c r="E252" s="132"/>
      <c r="F252" s="132"/>
      <c r="G252" s="6"/>
      <c r="H252" s="6"/>
      <c r="I252" s="6"/>
      <c r="J252" s="6"/>
      <c r="K252" s="131"/>
      <c r="L252" s="131"/>
      <c r="M252" s="131"/>
      <c r="N252" s="131"/>
      <c r="O252" s="6"/>
      <c r="P252" s="6"/>
      <c r="Q252" s="6"/>
      <c r="R252" s="6"/>
      <c r="S252" s="6"/>
      <c r="T252" s="6"/>
      <c r="U252" s="6"/>
      <c r="V252" s="6"/>
      <c r="W252" s="6"/>
      <c r="X252" s="6"/>
      <c r="Y252" s="6"/>
      <c r="Z252" s="6"/>
      <c r="AA252" s="6"/>
      <c r="AB252" s="6"/>
    </row>
    <row r="253" ht="15.75" customHeight="1">
      <c r="A253" s="130"/>
      <c r="B253" s="131"/>
      <c r="C253" s="132"/>
      <c r="D253" s="132"/>
      <c r="E253" s="132"/>
      <c r="F253" s="132"/>
      <c r="G253" s="6"/>
      <c r="H253" s="6"/>
      <c r="I253" s="6"/>
      <c r="J253" s="6"/>
      <c r="K253" s="131"/>
      <c r="L253" s="131"/>
      <c r="M253" s="131"/>
      <c r="N253" s="131"/>
      <c r="O253" s="6"/>
      <c r="P253" s="6"/>
      <c r="Q253" s="6"/>
      <c r="R253" s="6"/>
      <c r="S253" s="6"/>
      <c r="T253" s="6"/>
      <c r="U253" s="6"/>
      <c r="V253" s="6"/>
      <c r="W253" s="6"/>
      <c r="X253" s="6"/>
      <c r="Y253" s="6"/>
      <c r="Z253" s="6"/>
      <c r="AA253" s="6"/>
      <c r="AB253" s="6"/>
    </row>
    <row r="254" ht="15.75" customHeight="1">
      <c r="A254" s="130"/>
      <c r="B254" s="131"/>
      <c r="C254" s="132"/>
      <c r="D254" s="132"/>
      <c r="E254" s="132"/>
      <c r="F254" s="132"/>
      <c r="G254" s="6"/>
      <c r="H254" s="6"/>
      <c r="I254" s="6"/>
      <c r="J254" s="6"/>
      <c r="K254" s="131"/>
      <c r="L254" s="131"/>
      <c r="M254" s="131"/>
      <c r="N254" s="131"/>
      <c r="O254" s="6"/>
      <c r="P254" s="6"/>
      <c r="Q254" s="6"/>
      <c r="R254" s="6"/>
      <c r="S254" s="6"/>
      <c r="T254" s="6"/>
      <c r="U254" s="6"/>
      <c r="V254" s="6"/>
      <c r="W254" s="6"/>
      <c r="X254" s="6"/>
      <c r="Y254" s="6"/>
      <c r="Z254" s="6"/>
      <c r="AA254" s="6"/>
      <c r="AB254" s="6"/>
    </row>
    <row r="255" ht="15.75" customHeight="1">
      <c r="A255" s="130"/>
      <c r="B255" s="131"/>
      <c r="C255" s="132"/>
      <c r="D255" s="132"/>
      <c r="E255" s="132"/>
      <c r="F255" s="132"/>
      <c r="G255" s="6"/>
      <c r="H255" s="6"/>
      <c r="I255" s="6"/>
      <c r="J255" s="6"/>
      <c r="K255" s="131"/>
      <c r="L255" s="131"/>
      <c r="M255" s="131"/>
      <c r="N255" s="131"/>
      <c r="O255" s="6"/>
      <c r="P255" s="6"/>
      <c r="Q255" s="6"/>
      <c r="R255" s="6"/>
      <c r="S255" s="6"/>
      <c r="T255" s="6"/>
      <c r="U255" s="6"/>
      <c r="V255" s="6"/>
      <c r="W255" s="6"/>
      <c r="X255" s="6"/>
      <c r="Y255" s="6"/>
      <c r="Z255" s="6"/>
      <c r="AA255" s="6"/>
      <c r="AB255" s="6"/>
    </row>
    <row r="256" ht="15.75" customHeight="1">
      <c r="A256" s="130"/>
      <c r="B256" s="131"/>
      <c r="C256" s="132"/>
      <c r="D256" s="132"/>
      <c r="E256" s="132"/>
      <c r="F256" s="132"/>
      <c r="G256" s="6"/>
      <c r="H256" s="6"/>
      <c r="I256" s="6"/>
      <c r="J256" s="6"/>
      <c r="K256" s="131"/>
      <c r="L256" s="131"/>
      <c r="M256" s="131"/>
      <c r="N256" s="131"/>
      <c r="O256" s="6"/>
      <c r="P256" s="6"/>
      <c r="Q256" s="6"/>
      <c r="R256" s="6"/>
      <c r="S256" s="6"/>
      <c r="T256" s="6"/>
      <c r="U256" s="6"/>
      <c r="V256" s="6"/>
      <c r="W256" s="6"/>
      <c r="X256" s="6"/>
      <c r="Y256" s="6"/>
      <c r="Z256" s="6"/>
      <c r="AA256" s="6"/>
      <c r="AB256" s="6"/>
    </row>
    <row r="257" ht="15.75" customHeight="1">
      <c r="A257" s="130"/>
      <c r="B257" s="131"/>
      <c r="C257" s="132"/>
      <c r="D257" s="132"/>
      <c r="E257" s="132"/>
      <c r="F257" s="132"/>
      <c r="G257" s="6"/>
      <c r="H257" s="6"/>
      <c r="I257" s="6"/>
      <c r="J257" s="6"/>
      <c r="K257" s="131"/>
      <c r="L257" s="131"/>
      <c r="M257" s="131"/>
      <c r="N257" s="131"/>
      <c r="O257" s="6"/>
      <c r="P257" s="6"/>
      <c r="Q257" s="6"/>
      <c r="R257" s="6"/>
      <c r="S257" s="6"/>
      <c r="T257" s="6"/>
      <c r="U257" s="6"/>
      <c r="V257" s="6"/>
      <c r="W257" s="6"/>
      <c r="X257" s="6"/>
      <c r="Y257" s="6"/>
      <c r="Z257" s="6"/>
      <c r="AA257" s="6"/>
      <c r="AB257" s="6"/>
    </row>
    <row r="258" ht="15.75" customHeight="1">
      <c r="A258" s="130"/>
      <c r="B258" s="131"/>
      <c r="C258" s="132"/>
      <c r="D258" s="132"/>
      <c r="E258" s="132"/>
      <c r="F258" s="132"/>
      <c r="G258" s="6"/>
      <c r="H258" s="6"/>
      <c r="I258" s="6"/>
      <c r="J258" s="6"/>
      <c r="K258" s="131"/>
      <c r="L258" s="131"/>
      <c r="M258" s="131"/>
      <c r="N258" s="131"/>
      <c r="O258" s="6"/>
      <c r="P258" s="6"/>
      <c r="Q258" s="6"/>
      <c r="R258" s="6"/>
      <c r="S258" s="6"/>
      <c r="T258" s="6"/>
      <c r="U258" s="6"/>
      <c r="V258" s="6"/>
      <c r="W258" s="6"/>
      <c r="X258" s="6"/>
      <c r="Y258" s="6"/>
      <c r="Z258" s="6"/>
      <c r="AA258" s="6"/>
      <c r="AB258" s="6"/>
    </row>
    <row r="259" ht="15.75" customHeight="1">
      <c r="A259" s="130"/>
      <c r="B259" s="131"/>
      <c r="C259" s="132"/>
      <c r="D259" s="132"/>
      <c r="E259" s="132"/>
      <c r="F259" s="132"/>
      <c r="G259" s="6"/>
      <c r="H259" s="6"/>
      <c r="I259" s="6"/>
      <c r="J259" s="6"/>
      <c r="K259" s="131"/>
      <c r="L259" s="131"/>
      <c r="M259" s="131"/>
      <c r="N259" s="131"/>
      <c r="O259" s="6"/>
      <c r="P259" s="6"/>
      <c r="Q259" s="6"/>
      <c r="R259" s="6"/>
      <c r="S259" s="6"/>
      <c r="T259" s="6"/>
      <c r="U259" s="6"/>
      <c r="V259" s="6"/>
      <c r="W259" s="6"/>
      <c r="X259" s="6"/>
      <c r="Y259" s="6"/>
      <c r="Z259" s="6"/>
      <c r="AA259" s="6"/>
      <c r="AB259" s="6"/>
    </row>
    <row r="260" ht="15.75" customHeight="1">
      <c r="A260" s="130"/>
      <c r="B260" s="131"/>
      <c r="C260" s="132"/>
      <c r="D260" s="132"/>
      <c r="E260" s="132"/>
      <c r="F260" s="132"/>
      <c r="G260" s="6"/>
      <c r="H260" s="6"/>
      <c r="I260" s="6"/>
      <c r="J260" s="6"/>
      <c r="K260" s="131"/>
      <c r="L260" s="131"/>
      <c r="M260" s="131"/>
      <c r="N260" s="131"/>
      <c r="O260" s="6"/>
      <c r="P260" s="6"/>
      <c r="Q260" s="6"/>
      <c r="R260" s="6"/>
      <c r="S260" s="6"/>
      <c r="T260" s="6"/>
      <c r="U260" s="6"/>
      <c r="V260" s="6"/>
      <c r="W260" s="6"/>
      <c r="X260" s="6"/>
      <c r="Y260" s="6"/>
      <c r="Z260" s="6"/>
      <c r="AA260" s="6"/>
      <c r="AB260" s="6"/>
    </row>
    <row r="261" ht="15.75" customHeight="1">
      <c r="A261" s="130"/>
      <c r="B261" s="131"/>
      <c r="C261" s="132"/>
      <c r="D261" s="132"/>
      <c r="E261" s="132"/>
      <c r="F261" s="132"/>
      <c r="G261" s="6"/>
      <c r="H261" s="6"/>
      <c r="I261" s="6"/>
      <c r="J261" s="6"/>
      <c r="K261" s="131"/>
      <c r="L261" s="131"/>
      <c r="M261" s="131"/>
      <c r="N261" s="131"/>
      <c r="O261" s="6"/>
      <c r="P261" s="6"/>
      <c r="Q261" s="6"/>
      <c r="R261" s="6"/>
      <c r="S261" s="6"/>
      <c r="T261" s="6"/>
      <c r="U261" s="6"/>
      <c r="V261" s="6"/>
      <c r="W261" s="6"/>
      <c r="X261" s="6"/>
      <c r="Y261" s="6"/>
      <c r="Z261" s="6"/>
      <c r="AA261" s="6"/>
      <c r="AB261" s="6"/>
    </row>
    <row r="262" ht="15.75" customHeight="1">
      <c r="A262" s="130"/>
      <c r="B262" s="131"/>
      <c r="C262" s="132"/>
      <c r="D262" s="132"/>
      <c r="E262" s="132"/>
      <c r="F262" s="132"/>
      <c r="G262" s="6"/>
      <c r="H262" s="6"/>
      <c r="I262" s="6"/>
      <c r="J262" s="6"/>
      <c r="K262" s="131"/>
      <c r="L262" s="131"/>
      <c r="M262" s="131"/>
      <c r="N262" s="131"/>
      <c r="O262" s="6"/>
      <c r="P262" s="6"/>
      <c r="Q262" s="6"/>
      <c r="R262" s="6"/>
      <c r="S262" s="6"/>
      <c r="T262" s="6"/>
      <c r="U262" s="6"/>
      <c r="V262" s="6"/>
      <c r="W262" s="6"/>
      <c r="X262" s="6"/>
      <c r="Y262" s="6"/>
      <c r="Z262" s="6"/>
      <c r="AA262" s="6"/>
      <c r="AB262" s="6"/>
    </row>
    <row r="263" ht="15.75" customHeight="1">
      <c r="A263" s="130"/>
      <c r="B263" s="131"/>
      <c r="C263" s="132"/>
      <c r="D263" s="132"/>
      <c r="E263" s="132"/>
      <c r="F263" s="132"/>
      <c r="G263" s="6"/>
      <c r="H263" s="6"/>
      <c r="I263" s="6"/>
      <c r="J263" s="6"/>
      <c r="K263" s="131"/>
      <c r="L263" s="131"/>
      <c r="M263" s="131"/>
      <c r="N263" s="131"/>
      <c r="O263" s="6"/>
      <c r="P263" s="6"/>
      <c r="Q263" s="6"/>
      <c r="R263" s="6"/>
      <c r="S263" s="6"/>
      <c r="T263" s="6"/>
      <c r="U263" s="6"/>
      <c r="V263" s="6"/>
      <c r="W263" s="6"/>
      <c r="X263" s="6"/>
      <c r="Y263" s="6"/>
      <c r="Z263" s="6"/>
      <c r="AA263" s="6"/>
      <c r="AB263" s="6"/>
    </row>
    <row r="264" ht="15.75" customHeight="1">
      <c r="A264" s="130"/>
      <c r="B264" s="131"/>
      <c r="C264" s="132"/>
      <c r="D264" s="132"/>
      <c r="E264" s="132"/>
      <c r="F264" s="132"/>
      <c r="G264" s="6"/>
      <c r="H264" s="6"/>
      <c r="I264" s="6"/>
      <c r="J264" s="6"/>
      <c r="K264" s="131"/>
      <c r="L264" s="131"/>
      <c r="M264" s="131"/>
      <c r="N264" s="131"/>
      <c r="O264" s="6"/>
      <c r="P264" s="6"/>
      <c r="Q264" s="6"/>
      <c r="R264" s="6"/>
      <c r="S264" s="6"/>
      <c r="T264" s="6"/>
      <c r="U264" s="6"/>
      <c r="V264" s="6"/>
      <c r="W264" s="6"/>
      <c r="X264" s="6"/>
      <c r="Y264" s="6"/>
      <c r="Z264" s="6"/>
      <c r="AA264" s="6"/>
      <c r="AB264" s="6"/>
    </row>
    <row r="265" ht="15.75" customHeight="1">
      <c r="A265" s="130"/>
      <c r="B265" s="131"/>
      <c r="C265" s="132"/>
      <c r="D265" s="132"/>
      <c r="E265" s="132"/>
      <c r="F265" s="132"/>
      <c r="G265" s="6"/>
      <c r="H265" s="6"/>
      <c r="I265" s="6"/>
      <c r="J265" s="6"/>
      <c r="K265" s="131"/>
      <c r="L265" s="131"/>
      <c r="M265" s="131"/>
      <c r="N265" s="131"/>
      <c r="O265" s="6"/>
      <c r="P265" s="6"/>
      <c r="Q265" s="6"/>
      <c r="R265" s="6"/>
      <c r="S265" s="6"/>
      <c r="T265" s="6"/>
      <c r="U265" s="6"/>
      <c r="V265" s="6"/>
      <c r="W265" s="6"/>
      <c r="X265" s="6"/>
      <c r="Y265" s="6"/>
      <c r="Z265" s="6"/>
      <c r="AA265" s="6"/>
      <c r="AB265" s="6"/>
    </row>
    <row r="266" ht="15.75" customHeight="1">
      <c r="A266" s="130"/>
      <c r="B266" s="131"/>
      <c r="C266" s="132"/>
      <c r="D266" s="132"/>
      <c r="E266" s="132"/>
      <c r="F266" s="132"/>
      <c r="G266" s="6"/>
      <c r="H266" s="6"/>
      <c r="I266" s="6"/>
      <c r="J266" s="6"/>
      <c r="K266" s="131"/>
      <c r="L266" s="131"/>
      <c r="M266" s="131"/>
      <c r="N266" s="131"/>
      <c r="O266" s="6"/>
      <c r="P266" s="6"/>
      <c r="Q266" s="6"/>
      <c r="R266" s="6"/>
      <c r="S266" s="6"/>
      <c r="T266" s="6"/>
      <c r="U266" s="6"/>
      <c r="V266" s="6"/>
      <c r="W266" s="6"/>
      <c r="X266" s="6"/>
      <c r="Y266" s="6"/>
      <c r="Z266" s="6"/>
      <c r="AA266" s="6"/>
      <c r="AB266" s="6"/>
    </row>
    <row r="267" ht="15.75" customHeight="1">
      <c r="A267" s="130"/>
      <c r="B267" s="131"/>
      <c r="C267" s="132"/>
      <c r="D267" s="132"/>
      <c r="E267" s="132"/>
      <c r="F267" s="132"/>
      <c r="G267" s="6"/>
      <c r="H267" s="6"/>
      <c r="I267" s="6"/>
      <c r="J267" s="6"/>
      <c r="K267" s="131"/>
      <c r="L267" s="131"/>
      <c r="M267" s="131"/>
      <c r="N267" s="131"/>
      <c r="O267" s="6"/>
      <c r="P267" s="6"/>
      <c r="Q267" s="6"/>
      <c r="R267" s="6"/>
      <c r="S267" s="6"/>
      <c r="T267" s="6"/>
      <c r="U267" s="6"/>
      <c r="V267" s="6"/>
      <c r="W267" s="6"/>
      <c r="X267" s="6"/>
      <c r="Y267" s="6"/>
      <c r="Z267" s="6"/>
      <c r="AA267" s="6"/>
      <c r="AB267" s="6"/>
    </row>
    <row r="268" ht="15.75" customHeight="1">
      <c r="A268" s="130"/>
      <c r="B268" s="131"/>
      <c r="C268" s="132"/>
      <c r="D268" s="132"/>
      <c r="E268" s="132"/>
      <c r="F268" s="132"/>
      <c r="G268" s="6"/>
      <c r="H268" s="6"/>
      <c r="I268" s="6"/>
      <c r="J268" s="6"/>
      <c r="K268" s="131"/>
      <c r="L268" s="131"/>
      <c r="M268" s="131"/>
      <c r="N268" s="131"/>
      <c r="O268" s="6"/>
      <c r="P268" s="6"/>
      <c r="Q268" s="6"/>
      <c r="R268" s="6"/>
      <c r="S268" s="6"/>
      <c r="T268" s="6"/>
      <c r="U268" s="6"/>
      <c r="V268" s="6"/>
      <c r="W268" s="6"/>
      <c r="X268" s="6"/>
      <c r="Y268" s="6"/>
      <c r="Z268" s="6"/>
      <c r="AA268" s="6"/>
      <c r="AB268" s="6"/>
    </row>
    <row r="269" ht="15.75" customHeight="1">
      <c r="A269" s="130"/>
      <c r="B269" s="131"/>
      <c r="C269" s="132"/>
      <c r="D269" s="132"/>
      <c r="E269" s="132"/>
      <c r="F269" s="132"/>
      <c r="G269" s="6"/>
      <c r="H269" s="6"/>
      <c r="I269" s="6"/>
      <c r="J269" s="6"/>
      <c r="K269" s="131"/>
      <c r="L269" s="131"/>
      <c r="M269" s="131"/>
      <c r="N269" s="131"/>
      <c r="O269" s="6"/>
      <c r="P269" s="6"/>
      <c r="Q269" s="6"/>
      <c r="R269" s="6"/>
      <c r="S269" s="6"/>
      <c r="T269" s="6"/>
      <c r="U269" s="6"/>
      <c r="V269" s="6"/>
      <c r="W269" s="6"/>
      <c r="X269" s="6"/>
      <c r="Y269" s="6"/>
      <c r="Z269" s="6"/>
      <c r="AA269" s="6"/>
      <c r="AB269" s="6"/>
    </row>
    <row r="270" ht="15.75" customHeight="1">
      <c r="A270" s="130"/>
      <c r="B270" s="131"/>
      <c r="C270" s="132"/>
      <c r="D270" s="132"/>
      <c r="E270" s="132"/>
      <c r="F270" s="132"/>
      <c r="G270" s="6"/>
      <c r="H270" s="6"/>
      <c r="I270" s="6"/>
      <c r="J270" s="6"/>
      <c r="K270" s="131"/>
      <c r="L270" s="131"/>
      <c r="M270" s="131"/>
      <c r="N270" s="131"/>
      <c r="O270" s="6"/>
      <c r="P270" s="6"/>
      <c r="Q270" s="6"/>
      <c r="R270" s="6"/>
      <c r="S270" s="6"/>
      <c r="T270" s="6"/>
      <c r="U270" s="6"/>
      <c r="V270" s="6"/>
      <c r="W270" s="6"/>
      <c r="X270" s="6"/>
      <c r="Y270" s="6"/>
      <c r="Z270" s="6"/>
      <c r="AA270" s="6"/>
      <c r="AB270" s="6"/>
    </row>
    <row r="271" ht="15.75" customHeight="1">
      <c r="A271" s="130"/>
      <c r="B271" s="131"/>
      <c r="C271" s="132"/>
      <c r="D271" s="132"/>
      <c r="E271" s="132"/>
      <c r="F271" s="132"/>
      <c r="G271" s="6"/>
      <c r="H271" s="6"/>
      <c r="I271" s="6"/>
      <c r="J271" s="6"/>
      <c r="K271" s="131"/>
      <c r="L271" s="131"/>
      <c r="M271" s="131"/>
      <c r="N271" s="131"/>
      <c r="O271" s="6"/>
      <c r="P271" s="6"/>
      <c r="Q271" s="6"/>
      <c r="R271" s="6"/>
      <c r="S271" s="6"/>
      <c r="T271" s="6"/>
      <c r="U271" s="6"/>
      <c r="V271" s="6"/>
      <c r="W271" s="6"/>
      <c r="X271" s="6"/>
      <c r="Y271" s="6"/>
      <c r="Z271" s="6"/>
      <c r="AA271" s="6"/>
      <c r="AB271" s="6"/>
    </row>
    <row r="272" ht="15.75" customHeight="1">
      <c r="A272" s="130"/>
      <c r="B272" s="131"/>
      <c r="C272" s="132"/>
      <c r="D272" s="132"/>
      <c r="E272" s="132"/>
      <c r="F272" s="132"/>
      <c r="G272" s="6"/>
      <c r="H272" s="6"/>
      <c r="I272" s="6"/>
      <c r="J272" s="6"/>
      <c r="K272" s="131"/>
      <c r="L272" s="131"/>
      <c r="M272" s="131"/>
      <c r="N272" s="131"/>
      <c r="O272" s="6"/>
      <c r="P272" s="6"/>
      <c r="Q272" s="6"/>
      <c r="R272" s="6"/>
      <c r="S272" s="6"/>
      <c r="T272" s="6"/>
      <c r="U272" s="6"/>
      <c r="V272" s="6"/>
      <c r="W272" s="6"/>
      <c r="X272" s="6"/>
      <c r="Y272" s="6"/>
      <c r="Z272" s="6"/>
      <c r="AA272" s="6"/>
      <c r="AB272" s="6"/>
    </row>
    <row r="273" ht="15.75" customHeight="1">
      <c r="A273" s="130"/>
      <c r="B273" s="131"/>
      <c r="C273" s="132"/>
      <c r="D273" s="132"/>
      <c r="E273" s="132"/>
      <c r="F273" s="132"/>
      <c r="G273" s="6"/>
      <c r="H273" s="6"/>
      <c r="I273" s="6"/>
      <c r="J273" s="6"/>
      <c r="K273" s="131"/>
      <c r="L273" s="131"/>
      <c r="M273" s="131"/>
      <c r="N273" s="131"/>
      <c r="O273" s="6"/>
      <c r="P273" s="6"/>
      <c r="Q273" s="6"/>
      <c r="R273" s="6"/>
      <c r="S273" s="6"/>
      <c r="T273" s="6"/>
      <c r="U273" s="6"/>
      <c r="V273" s="6"/>
      <c r="W273" s="6"/>
      <c r="X273" s="6"/>
      <c r="Y273" s="6"/>
      <c r="Z273" s="6"/>
      <c r="AA273" s="6"/>
      <c r="AB273" s="6"/>
    </row>
    <row r="274" ht="15.75" customHeight="1">
      <c r="A274" s="130"/>
      <c r="B274" s="131"/>
      <c r="C274" s="132"/>
      <c r="D274" s="132"/>
      <c r="E274" s="132"/>
      <c r="F274" s="132"/>
      <c r="G274" s="6"/>
      <c r="H274" s="6"/>
      <c r="I274" s="6"/>
      <c r="J274" s="6"/>
      <c r="K274" s="131"/>
      <c r="L274" s="131"/>
      <c r="M274" s="131"/>
      <c r="N274" s="131"/>
      <c r="O274" s="6"/>
      <c r="P274" s="6"/>
      <c r="Q274" s="6"/>
      <c r="R274" s="6"/>
      <c r="S274" s="6"/>
      <c r="T274" s="6"/>
      <c r="U274" s="6"/>
      <c r="V274" s="6"/>
      <c r="W274" s="6"/>
      <c r="X274" s="6"/>
      <c r="Y274" s="6"/>
      <c r="Z274" s="6"/>
      <c r="AA274" s="6"/>
      <c r="AB274" s="6"/>
    </row>
    <row r="275" ht="15.75" customHeight="1">
      <c r="A275" s="130"/>
      <c r="B275" s="131"/>
      <c r="C275" s="132"/>
      <c r="D275" s="132"/>
      <c r="E275" s="132"/>
      <c r="F275" s="132"/>
      <c r="G275" s="6"/>
      <c r="H275" s="6"/>
      <c r="I275" s="6"/>
      <c r="J275" s="6"/>
      <c r="K275" s="131"/>
      <c r="L275" s="131"/>
      <c r="M275" s="131"/>
      <c r="N275" s="131"/>
      <c r="O275" s="6"/>
      <c r="P275" s="6"/>
      <c r="Q275" s="6"/>
      <c r="R275" s="6"/>
      <c r="S275" s="6"/>
      <c r="T275" s="6"/>
      <c r="U275" s="6"/>
      <c r="V275" s="6"/>
      <c r="W275" s="6"/>
      <c r="X275" s="6"/>
      <c r="Y275" s="6"/>
      <c r="Z275" s="6"/>
      <c r="AA275" s="6"/>
      <c r="AB275" s="6"/>
    </row>
    <row r="276" ht="15.75" customHeight="1">
      <c r="A276" s="130"/>
      <c r="B276" s="131"/>
      <c r="C276" s="132"/>
      <c r="D276" s="132"/>
      <c r="E276" s="132"/>
      <c r="F276" s="132"/>
      <c r="G276" s="6"/>
      <c r="H276" s="6"/>
      <c r="I276" s="6"/>
      <c r="J276" s="6"/>
      <c r="K276" s="131"/>
      <c r="L276" s="131"/>
      <c r="M276" s="131"/>
      <c r="N276" s="131"/>
      <c r="O276" s="6"/>
      <c r="P276" s="6"/>
      <c r="Q276" s="6"/>
      <c r="R276" s="6"/>
      <c r="S276" s="6"/>
      <c r="T276" s="6"/>
      <c r="U276" s="6"/>
      <c r="V276" s="6"/>
      <c r="W276" s="6"/>
      <c r="X276" s="6"/>
      <c r="Y276" s="6"/>
      <c r="Z276" s="6"/>
      <c r="AA276" s="6"/>
      <c r="AB276" s="6"/>
    </row>
    <row r="277" ht="15.75" customHeight="1">
      <c r="A277" s="130"/>
      <c r="B277" s="131"/>
      <c r="C277" s="132"/>
      <c r="D277" s="132"/>
      <c r="E277" s="132"/>
      <c r="F277" s="132"/>
      <c r="G277" s="6"/>
      <c r="H277" s="6"/>
      <c r="I277" s="6"/>
      <c r="J277" s="6"/>
      <c r="K277" s="131"/>
      <c r="L277" s="131"/>
      <c r="M277" s="131"/>
      <c r="N277" s="131"/>
      <c r="O277" s="6"/>
      <c r="P277" s="6"/>
      <c r="Q277" s="6"/>
      <c r="R277" s="6"/>
      <c r="S277" s="6"/>
      <c r="T277" s="6"/>
      <c r="U277" s="6"/>
      <c r="V277" s="6"/>
      <c r="W277" s="6"/>
      <c r="X277" s="6"/>
      <c r="Y277" s="6"/>
      <c r="Z277" s="6"/>
      <c r="AA277" s="6"/>
      <c r="AB277" s="6"/>
    </row>
    <row r="278" ht="15.75" customHeight="1">
      <c r="A278" s="130"/>
      <c r="B278" s="131"/>
      <c r="C278" s="132"/>
      <c r="D278" s="132"/>
      <c r="E278" s="132"/>
      <c r="F278" s="132"/>
      <c r="G278" s="6"/>
      <c r="H278" s="6"/>
      <c r="I278" s="6"/>
      <c r="J278" s="6"/>
      <c r="K278" s="131"/>
      <c r="L278" s="131"/>
      <c r="M278" s="131"/>
      <c r="N278" s="131"/>
      <c r="O278" s="6"/>
      <c r="P278" s="6"/>
      <c r="Q278" s="6"/>
      <c r="R278" s="6"/>
      <c r="S278" s="6"/>
      <c r="T278" s="6"/>
      <c r="U278" s="6"/>
      <c r="V278" s="6"/>
      <c r="W278" s="6"/>
      <c r="X278" s="6"/>
      <c r="Y278" s="6"/>
      <c r="Z278" s="6"/>
      <c r="AA278" s="6"/>
      <c r="AB278" s="6"/>
    </row>
    <row r="279" ht="15.75" customHeight="1">
      <c r="A279" s="130"/>
      <c r="B279" s="131"/>
      <c r="C279" s="132"/>
      <c r="D279" s="132"/>
      <c r="E279" s="132"/>
      <c r="F279" s="132"/>
      <c r="G279" s="6"/>
      <c r="H279" s="6"/>
      <c r="I279" s="6"/>
      <c r="J279" s="6"/>
      <c r="K279" s="131"/>
      <c r="L279" s="131"/>
      <c r="M279" s="131"/>
      <c r="N279" s="131"/>
      <c r="O279" s="6"/>
      <c r="P279" s="6"/>
      <c r="Q279" s="6"/>
      <c r="R279" s="6"/>
      <c r="S279" s="6"/>
      <c r="T279" s="6"/>
      <c r="U279" s="6"/>
      <c r="V279" s="6"/>
      <c r="W279" s="6"/>
      <c r="X279" s="6"/>
      <c r="Y279" s="6"/>
      <c r="Z279" s="6"/>
      <c r="AA279" s="6"/>
      <c r="AB279" s="6"/>
    </row>
    <row r="280" ht="15.75" customHeight="1">
      <c r="A280" s="130"/>
      <c r="B280" s="131"/>
      <c r="C280" s="132"/>
      <c r="D280" s="132"/>
      <c r="E280" s="132"/>
      <c r="F280" s="132"/>
      <c r="G280" s="6"/>
      <c r="H280" s="6"/>
      <c r="I280" s="6"/>
      <c r="J280" s="6"/>
      <c r="K280" s="131"/>
      <c r="L280" s="131"/>
      <c r="M280" s="131"/>
      <c r="N280" s="131"/>
      <c r="O280" s="6"/>
      <c r="P280" s="6"/>
      <c r="Q280" s="6"/>
      <c r="R280" s="6"/>
      <c r="S280" s="6"/>
      <c r="T280" s="6"/>
      <c r="U280" s="6"/>
      <c r="V280" s="6"/>
      <c r="W280" s="6"/>
      <c r="X280" s="6"/>
      <c r="Y280" s="6"/>
      <c r="Z280" s="6"/>
      <c r="AA280" s="6"/>
      <c r="AB280" s="6"/>
    </row>
    <row r="281" ht="15.75" customHeight="1">
      <c r="A281" s="130"/>
      <c r="B281" s="131"/>
      <c r="C281" s="132"/>
      <c r="D281" s="132"/>
      <c r="E281" s="132"/>
      <c r="F281" s="132"/>
      <c r="G281" s="6"/>
      <c r="H281" s="6"/>
      <c r="I281" s="6"/>
      <c r="J281" s="6"/>
      <c r="K281" s="131"/>
      <c r="L281" s="131"/>
      <c r="M281" s="131"/>
      <c r="N281" s="131"/>
      <c r="O281" s="6"/>
      <c r="P281" s="6"/>
      <c r="Q281" s="6"/>
      <c r="R281" s="6"/>
      <c r="S281" s="6"/>
      <c r="T281" s="6"/>
      <c r="U281" s="6"/>
      <c r="V281" s="6"/>
      <c r="W281" s="6"/>
      <c r="X281" s="6"/>
      <c r="Y281" s="6"/>
      <c r="Z281" s="6"/>
      <c r="AA281" s="6"/>
      <c r="AB281" s="6"/>
    </row>
    <row r="282" ht="15.75" customHeight="1">
      <c r="A282" s="130"/>
      <c r="B282" s="131"/>
      <c r="C282" s="132"/>
      <c r="D282" s="132"/>
      <c r="E282" s="132"/>
      <c r="F282" s="132"/>
      <c r="G282" s="6"/>
      <c r="H282" s="6"/>
      <c r="I282" s="6"/>
      <c r="J282" s="6"/>
      <c r="K282" s="131"/>
      <c r="L282" s="131"/>
      <c r="M282" s="131"/>
      <c r="N282" s="131"/>
      <c r="O282" s="6"/>
      <c r="P282" s="6"/>
      <c r="Q282" s="6"/>
      <c r="R282" s="6"/>
      <c r="S282" s="6"/>
      <c r="T282" s="6"/>
      <c r="U282" s="6"/>
      <c r="V282" s="6"/>
      <c r="W282" s="6"/>
      <c r="X282" s="6"/>
      <c r="Y282" s="6"/>
      <c r="Z282" s="6"/>
      <c r="AA282" s="6"/>
      <c r="AB282" s="6"/>
    </row>
    <row r="283" ht="15.75" customHeight="1">
      <c r="A283" s="130"/>
      <c r="B283" s="131"/>
      <c r="C283" s="132"/>
      <c r="D283" s="132"/>
      <c r="E283" s="132"/>
      <c r="F283" s="132"/>
      <c r="G283" s="6"/>
      <c r="H283" s="6"/>
      <c r="I283" s="6"/>
      <c r="J283" s="6"/>
      <c r="K283" s="131"/>
      <c r="L283" s="131"/>
      <c r="M283" s="131"/>
      <c r="N283" s="131"/>
      <c r="O283" s="6"/>
      <c r="P283" s="6"/>
      <c r="Q283" s="6"/>
      <c r="R283" s="6"/>
      <c r="S283" s="6"/>
      <c r="T283" s="6"/>
      <c r="U283" s="6"/>
      <c r="V283" s="6"/>
      <c r="W283" s="6"/>
      <c r="X283" s="6"/>
      <c r="Y283" s="6"/>
      <c r="Z283" s="6"/>
      <c r="AA283" s="6"/>
      <c r="AB283" s="6"/>
    </row>
    <row r="284" ht="15.75" customHeight="1">
      <c r="A284" s="130"/>
      <c r="B284" s="131"/>
      <c r="C284" s="132"/>
      <c r="D284" s="132"/>
      <c r="E284" s="132"/>
      <c r="F284" s="132"/>
      <c r="G284" s="6"/>
      <c r="H284" s="6"/>
      <c r="I284" s="6"/>
      <c r="J284" s="6"/>
      <c r="K284" s="131"/>
      <c r="L284" s="131"/>
      <c r="M284" s="131"/>
      <c r="N284" s="131"/>
      <c r="O284" s="6"/>
      <c r="P284" s="6"/>
      <c r="Q284" s="6"/>
      <c r="R284" s="6"/>
      <c r="S284" s="6"/>
      <c r="T284" s="6"/>
      <c r="U284" s="6"/>
      <c r="V284" s="6"/>
      <c r="W284" s="6"/>
      <c r="X284" s="6"/>
      <c r="Y284" s="6"/>
      <c r="Z284" s="6"/>
      <c r="AA284" s="6"/>
      <c r="AB284" s="6"/>
    </row>
    <row r="285" ht="15.75" customHeight="1">
      <c r="A285" s="130"/>
      <c r="B285" s="131"/>
      <c r="C285" s="132"/>
      <c r="D285" s="132"/>
      <c r="E285" s="132"/>
      <c r="F285" s="132"/>
      <c r="G285" s="6"/>
      <c r="H285" s="6"/>
      <c r="I285" s="6"/>
      <c r="J285" s="6"/>
      <c r="K285" s="131"/>
      <c r="L285" s="131"/>
      <c r="M285" s="131"/>
      <c r="N285" s="131"/>
      <c r="O285" s="6"/>
      <c r="P285" s="6"/>
      <c r="Q285" s="6"/>
      <c r="R285" s="6"/>
      <c r="S285" s="6"/>
      <c r="T285" s="6"/>
      <c r="U285" s="6"/>
      <c r="V285" s="6"/>
      <c r="W285" s="6"/>
      <c r="X285" s="6"/>
      <c r="Y285" s="6"/>
      <c r="Z285" s="6"/>
      <c r="AA285" s="6"/>
      <c r="AB285" s="6"/>
    </row>
    <row r="286" ht="15.75" customHeight="1">
      <c r="A286" s="130"/>
      <c r="B286" s="131"/>
      <c r="C286" s="132"/>
      <c r="D286" s="132"/>
      <c r="E286" s="132"/>
      <c r="F286" s="132"/>
      <c r="G286" s="6"/>
      <c r="H286" s="6"/>
      <c r="I286" s="6"/>
      <c r="J286" s="6"/>
      <c r="K286" s="131"/>
      <c r="L286" s="131"/>
      <c r="M286" s="131"/>
      <c r="N286" s="131"/>
      <c r="O286" s="6"/>
      <c r="P286" s="6"/>
      <c r="Q286" s="6"/>
      <c r="R286" s="6"/>
      <c r="S286" s="6"/>
      <c r="T286" s="6"/>
      <c r="U286" s="6"/>
      <c r="V286" s="6"/>
      <c r="W286" s="6"/>
      <c r="X286" s="6"/>
      <c r="Y286" s="6"/>
      <c r="Z286" s="6"/>
      <c r="AA286" s="6"/>
      <c r="AB286" s="6"/>
    </row>
    <row r="287" ht="15.75" customHeight="1">
      <c r="A287" s="130"/>
      <c r="B287" s="131"/>
      <c r="C287" s="132"/>
      <c r="D287" s="132"/>
      <c r="E287" s="132"/>
      <c r="F287" s="132"/>
      <c r="G287" s="6"/>
      <c r="H287" s="6"/>
      <c r="I287" s="6"/>
      <c r="J287" s="6"/>
      <c r="K287" s="131"/>
      <c r="L287" s="131"/>
      <c r="M287" s="131"/>
      <c r="N287" s="131"/>
      <c r="O287" s="6"/>
      <c r="P287" s="6"/>
      <c r="Q287" s="6"/>
      <c r="R287" s="6"/>
      <c r="S287" s="6"/>
      <c r="T287" s="6"/>
      <c r="U287" s="6"/>
      <c r="V287" s="6"/>
      <c r="W287" s="6"/>
      <c r="X287" s="6"/>
      <c r="Y287" s="6"/>
      <c r="Z287" s="6"/>
      <c r="AA287" s="6"/>
      <c r="AB287" s="6"/>
    </row>
    <row r="288" ht="15.75" customHeight="1">
      <c r="A288" s="130"/>
      <c r="B288" s="131"/>
      <c r="C288" s="132"/>
      <c r="D288" s="132"/>
      <c r="E288" s="132"/>
      <c r="F288" s="132"/>
      <c r="G288" s="6"/>
      <c r="H288" s="6"/>
      <c r="I288" s="6"/>
      <c r="J288" s="6"/>
      <c r="K288" s="131"/>
      <c r="L288" s="131"/>
      <c r="M288" s="131"/>
      <c r="N288" s="131"/>
      <c r="O288" s="6"/>
      <c r="P288" s="6"/>
      <c r="Q288" s="6"/>
      <c r="R288" s="6"/>
      <c r="S288" s="6"/>
      <c r="T288" s="6"/>
      <c r="U288" s="6"/>
      <c r="V288" s="6"/>
      <c r="W288" s="6"/>
      <c r="X288" s="6"/>
      <c r="Y288" s="6"/>
      <c r="Z288" s="6"/>
      <c r="AA288" s="6"/>
      <c r="AB288" s="6"/>
    </row>
    <row r="289" ht="15.75" customHeight="1">
      <c r="A289" s="130"/>
      <c r="B289" s="131"/>
      <c r="C289" s="132"/>
      <c r="D289" s="132"/>
      <c r="E289" s="132"/>
      <c r="F289" s="132"/>
      <c r="G289" s="6"/>
      <c r="H289" s="6"/>
      <c r="I289" s="6"/>
      <c r="J289" s="6"/>
      <c r="K289" s="131"/>
      <c r="L289" s="131"/>
      <c r="M289" s="131"/>
      <c r="N289" s="131"/>
      <c r="O289" s="6"/>
      <c r="P289" s="6"/>
      <c r="Q289" s="6"/>
      <c r="R289" s="6"/>
      <c r="S289" s="6"/>
      <c r="T289" s="6"/>
      <c r="U289" s="6"/>
      <c r="V289" s="6"/>
      <c r="W289" s="6"/>
      <c r="X289" s="6"/>
      <c r="Y289" s="6"/>
      <c r="Z289" s="6"/>
      <c r="AA289" s="6"/>
      <c r="AB289" s="6"/>
    </row>
    <row r="290" ht="15.75" customHeight="1">
      <c r="A290" s="130"/>
      <c r="B290" s="131"/>
      <c r="C290" s="132"/>
      <c r="D290" s="132"/>
      <c r="E290" s="132"/>
      <c r="F290" s="132"/>
      <c r="G290" s="6"/>
      <c r="H290" s="6"/>
      <c r="I290" s="6"/>
      <c r="J290" s="6"/>
      <c r="K290" s="131"/>
      <c r="L290" s="131"/>
      <c r="M290" s="131"/>
      <c r="N290" s="131"/>
      <c r="O290" s="6"/>
      <c r="P290" s="6"/>
      <c r="Q290" s="6"/>
      <c r="R290" s="6"/>
      <c r="S290" s="6"/>
      <c r="T290" s="6"/>
      <c r="U290" s="6"/>
      <c r="V290" s="6"/>
      <c r="W290" s="6"/>
      <c r="X290" s="6"/>
      <c r="Y290" s="6"/>
      <c r="Z290" s="6"/>
      <c r="AA290" s="6"/>
      <c r="AB290" s="6"/>
    </row>
    <row r="291" ht="15.75" customHeight="1">
      <c r="A291" s="130"/>
      <c r="B291" s="131"/>
      <c r="C291" s="132"/>
      <c r="D291" s="132"/>
      <c r="E291" s="132"/>
      <c r="F291" s="132"/>
      <c r="G291" s="6"/>
      <c r="H291" s="6"/>
      <c r="I291" s="6"/>
      <c r="J291" s="6"/>
      <c r="K291" s="131"/>
      <c r="L291" s="131"/>
      <c r="M291" s="131"/>
      <c r="N291" s="131"/>
      <c r="O291" s="6"/>
      <c r="P291" s="6"/>
      <c r="Q291" s="6"/>
      <c r="R291" s="6"/>
      <c r="S291" s="6"/>
      <c r="T291" s="6"/>
      <c r="U291" s="6"/>
      <c r="V291" s="6"/>
      <c r="W291" s="6"/>
      <c r="X291" s="6"/>
      <c r="Y291" s="6"/>
      <c r="Z291" s="6"/>
      <c r="AA291" s="6"/>
      <c r="AB291" s="6"/>
    </row>
    <row r="292" ht="15.75" customHeight="1">
      <c r="A292" s="130"/>
      <c r="B292" s="131"/>
      <c r="C292" s="132"/>
      <c r="D292" s="132"/>
      <c r="E292" s="132"/>
      <c r="F292" s="132"/>
      <c r="G292" s="6"/>
      <c r="H292" s="6"/>
      <c r="I292" s="6"/>
      <c r="J292" s="6"/>
      <c r="K292" s="131"/>
      <c r="L292" s="131"/>
      <c r="M292" s="131"/>
      <c r="N292" s="131"/>
      <c r="O292" s="6"/>
      <c r="P292" s="6"/>
      <c r="Q292" s="6"/>
      <c r="R292" s="6"/>
      <c r="S292" s="6"/>
      <c r="T292" s="6"/>
      <c r="U292" s="6"/>
      <c r="V292" s="6"/>
      <c r="W292" s="6"/>
      <c r="X292" s="6"/>
      <c r="Y292" s="6"/>
      <c r="Z292" s="6"/>
      <c r="AA292" s="6"/>
      <c r="AB292" s="6"/>
    </row>
    <row r="293" ht="15.75" customHeight="1">
      <c r="A293" s="130"/>
      <c r="B293" s="131"/>
      <c r="C293" s="132"/>
      <c r="D293" s="132"/>
      <c r="E293" s="132"/>
      <c r="F293" s="132"/>
      <c r="G293" s="6"/>
      <c r="H293" s="6"/>
      <c r="I293" s="6"/>
      <c r="J293" s="6"/>
      <c r="K293" s="131"/>
      <c r="L293" s="131"/>
      <c r="M293" s="131"/>
      <c r="N293" s="131"/>
      <c r="O293" s="6"/>
      <c r="P293" s="6"/>
      <c r="Q293" s="6"/>
      <c r="R293" s="6"/>
      <c r="S293" s="6"/>
      <c r="T293" s="6"/>
      <c r="U293" s="6"/>
      <c r="V293" s="6"/>
      <c r="W293" s="6"/>
      <c r="X293" s="6"/>
      <c r="Y293" s="6"/>
      <c r="Z293" s="6"/>
      <c r="AA293" s="6"/>
      <c r="AB293" s="6"/>
    </row>
    <row r="294" ht="15.75" customHeight="1">
      <c r="A294" s="130"/>
      <c r="B294" s="131"/>
      <c r="C294" s="132"/>
      <c r="D294" s="132"/>
      <c r="E294" s="132"/>
      <c r="F294" s="132"/>
      <c r="G294" s="6"/>
      <c r="H294" s="6"/>
      <c r="I294" s="6"/>
      <c r="J294" s="6"/>
      <c r="K294" s="131"/>
      <c r="L294" s="131"/>
      <c r="M294" s="131"/>
      <c r="N294" s="131"/>
      <c r="O294" s="6"/>
      <c r="P294" s="6"/>
      <c r="Q294" s="6"/>
      <c r="R294" s="6"/>
      <c r="S294" s="6"/>
      <c r="T294" s="6"/>
      <c r="U294" s="6"/>
      <c r="V294" s="6"/>
      <c r="W294" s="6"/>
      <c r="X294" s="6"/>
      <c r="Y294" s="6"/>
      <c r="Z294" s="6"/>
      <c r="AA294" s="6"/>
      <c r="AB294" s="6"/>
    </row>
    <row r="295" ht="15.75" customHeight="1">
      <c r="A295" s="130"/>
      <c r="B295" s="131"/>
      <c r="C295" s="132"/>
      <c r="D295" s="132"/>
      <c r="E295" s="132"/>
      <c r="F295" s="132"/>
      <c r="G295" s="6"/>
      <c r="H295" s="6"/>
      <c r="I295" s="6"/>
      <c r="J295" s="6"/>
      <c r="K295" s="131"/>
      <c r="L295" s="131"/>
      <c r="M295" s="131"/>
      <c r="N295" s="131"/>
      <c r="O295" s="6"/>
      <c r="P295" s="6"/>
      <c r="Q295" s="6"/>
      <c r="R295" s="6"/>
      <c r="S295" s="6"/>
      <c r="T295" s="6"/>
      <c r="U295" s="6"/>
      <c r="V295" s="6"/>
      <c r="W295" s="6"/>
      <c r="X295" s="6"/>
      <c r="Y295" s="6"/>
      <c r="Z295" s="6"/>
      <c r="AA295" s="6"/>
      <c r="AB295" s="6"/>
    </row>
    <row r="296" ht="15.75" customHeight="1">
      <c r="A296" s="130"/>
      <c r="B296" s="131"/>
      <c r="C296" s="132"/>
      <c r="D296" s="132"/>
      <c r="E296" s="132"/>
      <c r="F296" s="132"/>
      <c r="G296" s="6"/>
      <c r="H296" s="6"/>
      <c r="I296" s="6"/>
      <c r="J296" s="6"/>
      <c r="K296" s="131"/>
      <c r="L296" s="131"/>
      <c r="M296" s="131"/>
      <c r="N296" s="131"/>
      <c r="O296" s="6"/>
      <c r="P296" s="6"/>
      <c r="Q296" s="6"/>
      <c r="R296" s="6"/>
      <c r="S296" s="6"/>
      <c r="T296" s="6"/>
      <c r="U296" s="6"/>
      <c r="V296" s="6"/>
      <c r="W296" s="6"/>
      <c r="X296" s="6"/>
      <c r="Y296" s="6"/>
      <c r="Z296" s="6"/>
      <c r="AA296" s="6"/>
      <c r="AB296" s="6"/>
    </row>
    <row r="297" ht="15.75" customHeight="1">
      <c r="A297" s="130"/>
      <c r="B297" s="131"/>
      <c r="C297" s="132"/>
      <c r="D297" s="132"/>
      <c r="E297" s="132"/>
      <c r="F297" s="132"/>
      <c r="G297" s="6"/>
      <c r="H297" s="6"/>
      <c r="I297" s="6"/>
      <c r="J297" s="6"/>
      <c r="K297" s="131"/>
      <c r="L297" s="131"/>
      <c r="M297" s="131"/>
      <c r="N297" s="131"/>
      <c r="O297" s="6"/>
      <c r="P297" s="6"/>
      <c r="Q297" s="6"/>
      <c r="R297" s="6"/>
      <c r="S297" s="6"/>
      <c r="T297" s="6"/>
      <c r="U297" s="6"/>
      <c r="V297" s="6"/>
      <c r="W297" s="6"/>
      <c r="X297" s="6"/>
      <c r="Y297" s="6"/>
      <c r="Z297" s="6"/>
      <c r="AA297" s="6"/>
      <c r="AB297" s="6"/>
    </row>
    <row r="298" ht="15.75" customHeight="1">
      <c r="A298" s="130"/>
      <c r="B298" s="131"/>
      <c r="C298" s="132"/>
      <c r="D298" s="132"/>
      <c r="E298" s="132"/>
      <c r="F298" s="132"/>
      <c r="G298" s="6"/>
      <c r="H298" s="6"/>
      <c r="I298" s="6"/>
      <c r="J298" s="6"/>
      <c r="K298" s="131"/>
      <c r="L298" s="131"/>
      <c r="M298" s="131"/>
      <c r="N298" s="131"/>
      <c r="O298" s="6"/>
      <c r="P298" s="6"/>
      <c r="Q298" s="6"/>
      <c r="R298" s="6"/>
      <c r="S298" s="6"/>
      <c r="T298" s="6"/>
      <c r="U298" s="6"/>
      <c r="V298" s="6"/>
      <c r="W298" s="6"/>
      <c r="X298" s="6"/>
      <c r="Y298" s="6"/>
      <c r="Z298" s="6"/>
      <c r="AA298" s="6"/>
      <c r="AB298" s="6"/>
    </row>
    <row r="299" ht="15.75" customHeight="1">
      <c r="A299" s="130"/>
      <c r="B299" s="131"/>
      <c r="C299" s="132"/>
      <c r="D299" s="132"/>
      <c r="E299" s="132"/>
      <c r="F299" s="132"/>
      <c r="G299" s="6"/>
      <c r="H299" s="6"/>
      <c r="I299" s="6"/>
      <c r="J299" s="6"/>
      <c r="K299" s="131"/>
      <c r="L299" s="131"/>
      <c r="M299" s="131"/>
      <c r="N299" s="131"/>
      <c r="O299" s="6"/>
      <c r="P299" s="6"/>
      <c r="Q299" s="6"/>
      <c r="R299" s="6"/>
      <c r="S299" s="6"/>
      <c r="T299" s="6"/>
      <c r="U299" s="6"/>
      <c r="V299" s="6"/>
      <c r="W299" s="6"/>
      <c r="X299" s="6"/>
      <c r="Y299" s="6"/>
      <c r="Z299" s="6"/>
      <c r="AA299" s="6"/>
      <c r="AB299" s="6"/>
    </row>
    <row r="300" ht="15.75" customHeight="1">
      <c r="A300" s="130"/>
      <c r="B300" s="131"/>
      <c r="C300" s="132"/>
      <c r="D300" s="132"/>
      <c r="E300" s="132"/>
      <c r="F300" s="132"/>
      <c r="G300" s="6"/>
      <c r="H300" s="6"/>
      <c r="I300" s="6"/>
      <c r="J300" s="6"/>
      <c r="K300" s="131"/>
      <c r="L300" s="131"/>
      <c r="M300" s="131"/>
      <c r="N300" s="131"/>
      <c r="O300" s="6"/>
      <c r="P300" s="6"/>
      <c r="Q300" s="6"/>
      <c r="R300" s="6"/>
      <c r="S300" s="6"/>
      <c r="T300" s="6"/>
      <c r="U300" s="6"/>
      <c r="V300" s="6"/>
      <c r="W300" s="6"/>
      <c r="X300" s="6"/>
      <c r="Y300" s="6"/>
      <c r="Z300" s="6"/>
      <c r="AA300" s="6"/>
      <c r="AB300" s="6"/>
    </row>
    <row r="301" ht="15.75" customHeight="1">
      <c r="A301" s="130"/>
      <c r="B301" s="131"/>
      <c r="C301" s="132"/>
      <c r="D301" s="132"/>
      <c r="E301" s="132"/>
      <c r="F301" s="132"/>
      <c r="G301" s="6"/>
      <c r="H301" s="6"/>
      <c r="I301" s="6"/>
      <c r="J301" s="6"/>
      <c r="K301" s="131"/>
      <c r="L301" s="131"/>
      <c r="M301" s="131"/>
      <c r="N301" s="131"/>
      <c r="O301" s="6"/>
      <c r="P301" s="6"/>
      <c r="Q301" s="6"/>
      <c r="R301" s="6"/>
      <c r="S301" s="6"/>
      <c r="T301" s="6"/>
      <c r="U301" s="6"/>
      <c r="V301" s="6"/>
      <c r="W301" s="6"/>
      <c r="X301" s="6"/>
      <c r="Y301" s="6"/>
      <c r="Z301" s="6"/>
      <c r="AA301" s="6"/>
      <c r="AB301" s="6"/>
    </row>
    <row r="302" ht="15.75" customHeight="1">
      <c r="A302" s="130"/>
      <c r="B302" s="131"/>
      <c r="C302" s="132"/>
      <c r="D302" s="132"/>
      <c r="E302" s="132"/>
      <c r="F302" s="132"/>
      <c r="G302" s="6"/>
      <c r="H302" s="6"/>
      <c r="I302" s="6"/>
      <c r="J302" s="6"/>
      <c r="K302" s="131"/>
      <c r="L302" s="131"/>
      <c r="M302" s="131"/>
      <c r="N302" s="131"/>
      <c r="O302" s="6"/>
      <c r="P302" s="6"/>
      <c r="Q302" s="6"/>
      <c r="R302" s="6"/>
      <c r="S302" s="6"/>
      <c r="T302" s="6"/>
      <c r="U302" s="6"/>
      <c r="V302" s="6"/>
      <c r="W302" s="6"/>
      <c r="X302" s="6"/>
      <c r="Y302" s="6"/>
      <c r="Z302" s="6"/>
      <c r="AA302" s="6"/>
      <c r="AB302" s="6"/>
    </row>
    <row r="303" ht="15.75" customHeight="1">
      <c r="A303" s="130"/>
      <c r="B303" s="131"/>
      <c r="C303" s="132"/>
      <c r="D303" s="132"/>
      <c r="E303" s="132"/>
      <c r="F303" s="132"/>
      <c r="G303" s="6"/>
      <c r="H303" s="6"/>
      <c r="I303" s="6"/>
      <c r="J303" s="6"/>
      <c r="K303" s="131"/>
      <c r="L303" s="131"/>
      <c r="M303" s="131"/>
      <c r="N303" s="131"/>
      <c r="O303" s="6"/>
      <c r="P303" s="6"/>
      <c r="Q303" s="6"/>
      <c r="R303" s="6"/>
      <c r="S303" s="6"/>
      <c r="T303" s="6"/>
      <c r="U303" s="6"/>
      <c r="V303" s="6"/>
      <c r="W303" s="6"/>
      <c r="X303" s="6"/>
      <c r="Y303" s="6"/>
      <c r="Z303" s="6"/>
      <c r="AA303" s="6"/>
      <c r="AB303" s="6"/>
    </row>
    <row r="304" ht="15.75" customHeight="1">
      <c r="A304" s="130"/>
      <c r="B304" s="131"/>
      <c r="C304" s="132"/>
      <c r="D304" s="132"/>
      <c r="E304" s="132"/>
      <c r="F304" s="132"/>
      <c r="G304" s="6"/>
      <c r="H304" s="6"/>
      <c r="I304" s="6"/>
      <c r="J304" s="6"/>
      <c r="K304" s="131"/>
      <c r="L304" s="131"/>
      <c r="M304" s="131"/>
      <c r="N304" s="131"/>
      <c r="O304" s="6"/>
      <c r="P304" s="6"/>
      <c r="Q304" s="6"/>
      <c r="R304" s="6"/>
      <c r="S304" s="6"/>
      <c r="T304" s="6"/>
      <c r="U304" s="6"/>
      <c r="V304" s="6"/>
      <c r="W304" s="6"/>
      <c r="X304" s="6"/>
      <c r="Y304" s="6"/>
      <c r="Z304" s="6"/>
      <c r="AA304" s="6"/>
      <c r="AB304" s="6"/>
    </row>
    <row r="305" ht="15.75" customHeight="1">
      <c r="A305" s="130"/>
      <c r="B305" s="131"/>
      <c r="C305" s="132"/>
      <c r="D305" s="132"/>
      <c r="E305" s="132"/>
      <c r="F305" s="132"/>
      <c r="G305" s="6"/>
      <c r="H305" s="6"/>
      <c r="I305" s="6"/>
      <c r="J305" s="6"/>
      <c r="K305" s="131"/>
      <c r="L305" s="131"/>
      <c r="M305" s="131"/>
      <c r="N305" s="131"/>
      <c r="O305" s="6"/>
      <c r="P305" s="6"/>
      <c r="Q305" s="6"/>
      <c r="R305" s="6"/>
      <c r="S305" s="6"/>
      <c r="T305" s="6"/>
      <c r="U305" s="6"/>
      <c r="V305" s="6"/>
      <c r="W305" s="6"/>
      <c r="X305" s="6"/>
      <c r="Y305" s="6"/>
      <c r="Z305" s="6"/>
      <c r="AA305" s="6"/>
      <c r="AB305" s="6"/>
    </row>
    <row r="306" ht="15.75" customHeight="1">
      <c r="A306" s="130"/>
      <c r="B306" s="131"/>
      <c r="C306" s="132"/>
      <c r="D306" s="132"/>
      <c r="E306" s="132"/>
      <c r="F306" s="132"/>
      <c r="G306" s="6"/>
      <c r="H306" s="6"/>
      <c r="I306" s="6"/>
      <c r="J306" s="6"/>
      <c r="K306" s="131"/>
      <c r="L306" s="131"/>
      <c r="M306" s="131"/>
      <c r="N306" s="131"/>
      <c r="O306" s="6"/>
      <c r="P306" s="6"/>
      <c r="Q306" s="6"/>
      <c r="R306" s="6"/>
      <c r="S306" s="6"/>
      <c r="T306" s="6"/>
      <c r="U306" s="6"/>
      <c r="V306" s="6"/>
      <c r="W306" s="6"/>
      <c r="X306" s="6"/>
      <c r="Y306" s="6"/>
      <c r="Z306" s="6"/>
      <c r="AA306" s="6"/>
      <c r="AB306" s="6"/>
    </row>
    <row r="307" ht="15.75" customHeight="1">
      <c r="A307" s="130"/>
      <c r="B307" s="131"/>
      <c r="C307" s="132"/>
      <c r="D307" s="132"/>
      <c r="E307" s="132"/>
      <c r="F307" s="132"/>
      <c r="G307" s="6"/>
      <c r="H307" s="6"/>
      <c r="I307" s="6"/>
      <c r="J307" s="6"/>
      <c r="K307" s="131"/>
      <c r="L307" s="131"/>
      <c r="M307" s="131"/>
      <c r="N307" s="131"/>
      <c r="O307" s="6"/>
      <c r="P307" s="6"/>
      <c r="Q307" s="6"/>
      <c r="R307" s="6"/>
      <c r="S307" s="6"/>
      <c r="T307" s="6"/>
      <c r="U307" s="6"/>
      <c r="V307" s="6"/>
      <c r="W307" s="6"/>
      <c r="X307" s="6"/>
      <c r="Y307" s="6"/>
      <c r="Z307" s="6"/>
      <c r="AA307" s="6"/>
      <c r="AB307" s="6"/>
    </row>
    <row r="308" ht="15.75" customHeight="1">
      <c r="A308" s="130"/>
      <c r="B308" s="131"/>
      <c r="C308" s="132"/>
      <c r="D308" s="132"/>
      <c r="E308" s="132"/>
      <c r="F308" s="132"/>
      <c r="G308" s="6"/>
      <c r="H308" s="6"/>
      <c r="I308" s="6"/>
      <c r="J308" s="6"/>
      <c r="K308" s="131"/>
      <c r="L308" s="131"/>
      <c r="M308" s="131"/>
      <c r="N308" s="131"/>
      <c r="O308" s="6"/>
      <c r="P308" s="6"/>
      <c r="Q308" s="6"/>
      <c r="R308" s="6"/>
      <c r="S308" s="6"/>
      <c r="T308" s="6"/>
      <c r="U308" s="6"/>
      <c r="V308" s="6"/>
      <c r="W308" s="6"/>
      <c r="X308" s="6"/>
      <c r="Y308" s="6"/>
      <c r="Z308" s="6"/>
      <c r="AA308" s="6"/>
      <c r="AB308" s="6"/>
    </row>
    <row r="309" ht="15.75" customHeight="1">
      <c r="A309" s="130"/>
      <c r="B309" s="131"/>
      <c r="C309" s="132"/>
      <c r="D309" s="132"/>
      <c r="E309" s="132"/>
      <c r="F309" s="132"/>
      <c r="G309" s="6"/>
      <c r="H309" s="6"/>
      <c r="I309" s="6"/>
      <c r="J309" s="6"/>
      <c r="K309" s="131"/>
      <c r="L309" s="131"/>
      <c r="M309" s="131"/>
      <c r="N309" s="131"/>
      <c r="O309" s="6"/>
      <c r="P309" s="6"/>
      <c r="Q309" s="6"/>
      <c r="R309" s="6"/>
      <c r="S309" s="6"/>
      <c r="T309" s="6"/>
      <c r="U309" s="6"/>
      <c r="V309" s="6"/>
      <c r="W309" s="6"/>
      <c r="X309" s="6"/>
      <c r="Y309" s="6"/>
      <c r="Z309" s="6"/>
      <c r="AA309" s="6"/>
      <c r="AB309" s="6"/>
    </row>
    <row r="310" ht="15.75" customHeight="1">
      <c r="A310" s="130"/>
      <c r="B310" s="131"/>
      <c r="C310" s="132"/>
      <c r="D310" s="132"/>
      <c r="E310" s="132"/>
      <c r="F310" s="132"/>
      <c r="G310" s="6"/>
      <c r="H310" s="6"/>
      <c r="I310" s="6"/>
      <c r="J310" s="6"/>
      <c r="K310" s="131"/>
      <c r="L310" s="131"/>
      <c r="M310" s="131"/>
      <c r="N310" s="131"/>
      <c r="O310" s="6"/>
      <c r="P310" s="6"/>
      <c r="Q310" s="6"/>
      <c r="R310" s="6"/>
      <c r="S310" s="6"/>
      <c r="T310" s="6"/>
      <c r="U310" s="6"/>
      <c r="V310" s="6"/>
      <c r="W310" s="6"/>
      <c r="X310" s="6"/>
      <c r="Y310" s="6"/>
      <c r="Z310" s="6"/>
      <c r="AA310" s="6"/>
      <c r="AB310" s="6"/>
    </row>
    <row r="311" ht="15.75" customHeight="1">
      <c r="A311" s="130"/>
      <c r="B311" s="131"/>
      <c r="C311" s="132"/>
      <c r="D311" s="132"/>
      <c r="E311" s="132"/>
      <c r="F311" s="132"/>
      <c r="G311" s="6"/>
      <c r="H311" s="6"/>
      <c r="I311" s="6"/>
      <c r="J311" s="6"/>
      <c r="K311" s="131"/>
      <c r="L311" s="131"/>
      <c r="M311" s="131"/>
      <c r="N311" s="131"/>
      <c r="O311" s="6"/>
      <c r="P311" s="6"/>
      <c r="Q311" s="6"/>
      <c r="R311" s="6"/>
      <c r="S311" s="6"/>
      <c r="T311" s="6"/>
      <c r="U311" s="6"/>
      <c r="V311" s="6"/>
      <c r="W311" s="6"/>
      <c r="X311" s="6"/>
      <c r="Y311" s="6"/>
      <c r="Z311" s="6"/>
      <c r="AA311" s="6"/>
      <c r="AB311" s="6"/>
    </row>
    <row r="312" ht="15.75" customHeight="1">
      <c r="A312" s="130"/>
      <c r="B312" s="131"/>
      <c r="C312" s="132"/>
      <c r="D312" s="132"/>
      <c r="E312" s="132"/>
      <c r="F312" s="132"/>
      <c r="G312" s="6"/>
      <c r="H312" s="6"/>
      <c r="I312" s="6"/>
      <c r="J312" s="6"/>
      <c r="K312" s="131"/>
      <c r="L312" s="131"/>
      <c r="M312" s="131"/>
      <c r="N312" s="131"/>
      <c r="O312" s="6"/>
      <c r="P312" s="6"/>
      <c r="Q312" s="6"/>
      <c r="R312" s="6"/>
      <c r="S312" s="6"/>
      <c r="T312" s="6"/>
      <c r="U312" s="6"/>
      <c r="V312" s="6"/>
      <c r="W312" s="6"/>
      <c r="X312" s="6"/>
      <c r="Y312" s="6"/>
      <c r="Z312" s="6"/>
      <c r="AA312" s="6"/>
      <c r="AB312" s="6"/>
    </row>
    <row r="313" ht="15.75" customHeight="1">
      <c r="A313" s="130"/>
      <c r="B313" s="131"/>
      <c r="C313" s="132"/>
      <c r="D313" s="132"/>
      <c r="E313" s="132"/>
      <c r="F313" s="132"/>
      <c r="G313" s="6"/>
      <c r="H313" s="6"/>
      <c r="I313" s="6"/>
      <c r="J313" s="6"/>
      <c r="K313" s="131"/>
      <c r="L313" s="131"/>
      <c r="M313" s="131"/>
      <c r="N313" s="131"/>
      <c r="O313" s="6"/>
      <c r="P313" s="6"/>
      <c r="Q313" s="6"/>
      <c r="R313" s="6"/>
      <c r="S313" s="6"/>
      <c r="T313" s="6"/>
      <c r="U313" s="6"/>
      <c r="V313" s="6"/>
      <c r="W313" s="6"/>
      <c r="X313" s="6"/>
      <c r="Y313" s="6"/>
      <c r="Z313" s="6"/>
      <c r="AA313" s="6"/>
      <c r="AB313" s="6"/>
    </row>
    <row r="314" ht="15.75" customHeight="1">
      <c r="A314" s="130"/>
      <c r="B314" s="131"/>
      <c r="C314" s="132"/>
      <c r="D314" s="132"/>
      <c r="E314" s="132"/>
      <c r="F314" s="132"/>
      <c r="G314" s="6"/>
      <c r="H314" s="6"/>
      <c r="I314" s="6"/>
      <c r="J314" s="6"/>
      <c r="K314" s="131"/>
      <c r="L314" s="131"/>
      <c r="M314" s="131"/>
      <c r="N314" s="131"/>
      <c r="O314" s="6"/>
      <c r="P314" s="6"/>
      <c r="Q314" s="6"/>
      <c r="R314" s="6"/>
      <c r="S314" s="6"/>
      <c r="T314" s="6"/>
      <c r="U314" s="6"/>
      <c r="V314" s="6"/>
      <c r="W314" s="6"/>
      <c r="X314" s="6"/>
      <c r="Y314" s="6"/>
      <c r="Z314" s="6"/>
      <c r="AA314" s="6"/>
      <c r="AB314" s="6"/>
    </row>
    <row r="315" ht="15.75" customHeight="1">
      <c r="A315" s="130"/>
      <c r="B315" s="131"/>
      <c r="C315" s="132"/>
      <c r="D315" s="132"/>
      <c r="E315" s="132"/>
      <c r="F315" s="132"/>
      <c r="G315" s="6"/>
      <c r="H315" s="6"/>
      <c r="I315" s="6"/>
      <c r="J315" s="6"/>
      <c r="K315" s="131"/>
      <c r="L315" s="131"/>
      <c r="M315" s="131"/>
      <c r="N315" s="131"/>
      <c r="O315" s="6"/>
      <c r="P315" s="6"/>
      <c r="Q315" s="6"/>
      <c r="R315" s="6"/>
      <c r="S315" s="6"/>
      <c r="T315" s="6"/>
      <c r="U315" s="6"/>
      <c r="V315" s="6"/>
      <c r="W315" s="6"/>
      <c r="X315" s="6"/>
      <c r="Y315" s="6"/>
      <c r="Z315" s="6"/>
      <c r="AA315" s="6"/>
      <c r="AB315" s="6"/>
    </row>
    <row r="316" ht="15.75" customHeight="1">
      <c r="A316" s="130"/>
      <c r="B316" s="131"/>
      <c r="C316" s="132"/>
      <c r="D316" s="132"/>
      <c r="E316" s="132"/>
      <c r="F316" s="132"/>
      <c r="G316" s="6"/>
      <c r="H316" s="6"/>
      <c r="I316" s="6"/>
      <c r="J316" s="6"/>
      <c r="K316" s="131"/>
      <c r="L316" s="131"/>
      <c r="M316" s="131"/>
      <c r="N316" s="131"/>
      <c r="O316" s="6"/>
      <c r="P316" s="6"/>
      <c r="Q316" s="6"/>
      <c r="R316" s="6"/>
      <c r="S316" s="6"/>
      <c r="T316" s="6"/>
      <c r="U316" s="6"/>
      <c r="V316" s="6"/>
      <c r="W316" s="6"/>
      <c r="X316" s="6"/>
      <c r="Y316" s="6"/>
      <c r="Z316" s="6"/>
      <c r="AA316" s="6"/>
      <c r="AB316" s="6"/>
    </row>
    <row r="317" ht="15.75" customHeight="1">
      <c r="B317" s="6"/>
      <c r="E317" s="165"/>
    </row>
    <row r="318" ht="15.75" customHeight="1">
      <c r="B318" s="6"/>
      <c r="E318" s="165"/>
    </row>
    <row r="319" ht="15.75" customHeight="1">
      <c r="B319" s="6"/>
      <c r="E319" s="165"/>
    </row>
    <row r="320" ht="15.75" customHeight="1">
      <c r="B320" s="6"/>
      <c r="E320" s="165"/>
    </row>
    <row r="321" ht="15.75" customHeight="1">
      <c r="B321" s="6"/>
      <c r="E321" s="165"/>
    </row>
    <row r="322" ht="15.75" customHeight="1">
      <c r="B322" s="6"/>
      <c r="E322" s="165"/>
    </row>
    <row r="323" ht="15.75" customHeight="1">
      <c r="B323" s="6"/>
      <c r="E323" s="165"/>
    </row>
    <row r="324" ht="15.75" customHeight="1">
      <c r="B324" s="6"/>
      <c r="E324" s="165"/>
    </row>
    <row r="325" ht="15.75" customHeight="1">
      <c r="B325" s="6"/>
      <c r="E325" s="165"/>
    </row>
    <row r="326" ht="15.75" customHeight="1">
      <c r="B326" s="6"/>
      <c r="E326" s="165"/>
    </row>
    <row r="327" ht="15.75" customHeight="1">
      <c r="B327" s="6"/>
      <c r="E327" s="165"/>
    </row>
    <row r="328" ht="15.75" customHeight="1">
      <c r="B328" s="6"/>
      <c r="E328" s="165"/>
    </row>
    <row r="329" ht="15.75" customHeight="1">
      <c r="B329" s="6"/>
      <c r="E329" s="165"/>
    </row>
    <row r="330" ht="15.75" customHeight="1">
      <c r="B330" s="6"/>
      <c r="E330" s="165"/>
    </row>
    <row r="331" ht="15.75" customHeight="1">
      <c r="B331" s="6"/>
      <c r="E331" s="165"/>
    </row>
    <row r="332" ht="15.75" customHeight="1">
      <c r="B332" s="6"/>
      <c r="E332" s="165"/>
    </row>
    <row r="333" ht="15.75" customHeight="1">
      <c r="B333" s="6"/>
      <c r="E333" s="165"/>
    </row>
    <row r="334" ht="15.75" customHeight="1">
      <c r="B334" s="6"/>
      <c r="E334" s="165"/>
    </row>
    <row r="335" ht="15.75" customHeight="1">
      <c r="B335" s="6"/>
      <c r="E335" s="165"/>
    </row>
    <row r="336" ht="15.75" customHeight="1">
      <c r="B336" s="6"/>
      <c r="E336" s="165"/>
    </row>
    <row r="337" ht="15.75" customHeight="1">
      <c r="B337" s="6"/>
      <c r="E337" s="165"/>
    </row>
    <row r="338" ht="15.75" customHeight="1">
      <c r="B338" s="6"/>
      <c r="E338" s="165"/>
    </row>
    <row r="339" ht="15.75" customHeight="1">
      <c r="B339" s="6"/>
      <c r="E339" s="165"/>
    </row>
    <row r="340" ht="15.75" customHeight="1">
      <c r="B340" s="6"/>
      <c r="E340" s="165"/>
    </row>
    <row r="341" ht="15.75" customHeight="1">
      <c r="B341" s="6"/>
      <c r="E341" s="165"/>
    </row>
    <row r="342" ht="15.75" customHeight="1">
      <c r="B342" s="6"/>
      <c r="E342" s="165"/>
    </row>
    <row r="343" ht="15.75" customHeight="1">
      <c r="B343" s="6"/>
      <c r="E343" s="165"/>
    </row>
    <row r="344" ht="15.75" customHeight="1">
      <c r="B344" s="6"/>
      <c r="E344" s="165"/>
    </row>
    <row r="345" ht="15.75" customHeight="1">
      <c r="B345" s="6"/>
      <c r="E345" s="165"/>
    </row>
    <row r="346" ht="15.75" customHeight="1">
      <c r="B346" s="6"/>
      <c r="E346" s="165"/>
    </row>
    <row r="347" ht="15.75" customHeight="1">
      <c r="B347" s="6"/>
      <c r="E347" s="165"/>
    </row>
    <row r="348" ht="15.75" customHeight="1">
      <c r="B348" s="6"/>
      <c r="E348" s="165"/>
    </row>
    <row r="349" ht="15.75" customHeight="1">
      <c r="B349" s="6"/>
      <c r="E349" s="165"/>
    </row>
    <row r="350" ht="15.75" customHeight="1">
      <c r="B350" s="6"/>
      <c r="E350" s="165"/>
    </row>
    <row r="351" ht="15.75" customHeight="1">
      <c r="B351" s="6"/>
      <c r="E351" s="165"/>
    </row>
    <row r="352" ht="15.75" customHeight="1">
      <c r="B352" s="6"/>
      <c r="E352" s="165"/>
    </row>
    <row r="353" ht="15.75" customHeight="1">
      <c r="B353" s="6"/>
      <c r="E353" s="165"/>
    </row>
    <row r="354" ht="15.75" customHeight="1">
      <c r="B354" s="6"/>
      <c r="E354" s="165"/>
    </row>
    <row r="355" ht="15.75" customHeight="1">
      <c r="B355" s="6"/>
      <c r="E355" s="165"/>
    </row>
    <row r="356" ht="15.75" customHeight="1">
      <c r="B356" s="6"/>
      <c r="E356" s="165"/>
    </row>
    <row r="357" ht="15.75" customHeight="1">
      <c r="B357" s="6"/>
      <c r="E357" s="165"/>
    </row>
    <row r="358" ht="15.75" customHeight="1">
      <c r="B358" s="6"/>
      <c r="E358" s="165"/>
    </row>
    <row r="359" ht="15.75" customHeight="1">
      <c r="B359" s="6"/>
      <c r="E359" s="165"/>
    </row>
    <row r="360" ht="15.75" customHeight="1">
      <c r="B360" s="6"/>
      <c r="E360" s="165"/>
    </row>
    <row r="361" ht="15.75" customHeight="1">
      <c r="B361" s="6"/>
      <c r="E361" s="165"/>
    </row>
    <row r="362" ht="15.75" customHeight="1">
      <c r="B362" s="6"/>
      <c r="E362" s="165"/>
    </row>
    <row r="363" ht="15.75" customHeight="1">
      <c r="B363" s="6"/>
      <c r="E363" s="165"/>
    </row>
    <row r="364" ht="15.75" customHeight="1">
      <c r="B364" s="6"/>
      <c r="E364" s="165"/>
    </row>
    <row r="365" ht="15.75" customHeight="1">
      <c r="B365" s="6"/>
      <c r="E365" s="165"/>
    </row>
    <row r="366" ht="15.75" customHeight="1">
      <c r="B366" s="6"/>
      <c r="E366" s="165"/>
    </row>
    <row r="367" ht="15.75" customHeight="1">
      <c r="B367" s="6"/>
      <c r="E367" s="165"/>
    </row>
    <row r="368" ht="15.75" customHeight="1">
      <c r="B368" s="6"/>
      <c r="E368" s="165"/>
    </row>
    <row r="369" ht="15.75" customHeight="1">
      <c r="B369" s="6"/>
      <c r="E369" s="165"/>
    </row>
    <row r="370" ht="15.75" customHeight="1">
      <c r="B370" s="6"/>
      <c r="E370" s="165"/>
    </row>
    <row r="371" ht="15.75" customHeight="1">
      <c r="B371" s="6"/>
      <c r="E371" s="165"/>
    </row>
    <row r="372" ht="15.75" customHeight="1">
      <c r="B372" s="6"/>
      <c r="E372" s="165"/>
    </row>
    <row r="373" ht="15.75" customHeight="1">
      <c r="B373" s="6"/>
      <c r="E373" s="165"/>
    </row>
    <row r="374" ht="15.75" customHeight="1">
      <c r="B374" s="6"/>
      <c r="E374" s="165"/>
    </row>
    <row r="375" ht="15.75" customHeight="1">
      <c r="B375" s="6"/>
      <c r="E375" s="165"/>
    </row>
    <row r="376" ht="15.75" customHeight="1">
      <c r="B376" s="6"/>
      <c r="E376" s="165"/>
    </row>
    <row r="377" ht="15.75" customHeight="1">
      <c r="B377" s="6"/>
      <c r="E377" s="165"/>
    </row>
    <row r="378" ht="15.75" customHeight="1">
      <c r="B378" s="6"/>
      <c r="E378" s="165"/>
    </row>
    <row r="379" ht="15.75" customHeight="1">
      <c r="B379" s="6"/>
      <c r="E379" s="165"/>
    </row>
    <row r="380" ht="15.75" customHeight="1">
      <c r="B380" s="6"/>
      <c r="E380" s="165"/>
    </row>
    <row r="381" ht="15.75" customHeight="1">
      <c r="B381" s="6"/>
      <c r="E381" s="165"/>
    </row>
    <row r="382" ht="15.75" customHeight="1">
      <c r="B382" s="6"/>
      <c r="E382" s="165"/>
    </row>
    <row r="383" ht="15.75" customHeight="1">
      <c r="B383" s="6"/>
      <c r="E383" s="165"/>
    </row>
    <row r="384" ht="15.75" customHeight="1">
      <c r="B384" s="6"/>
      <c r="E384" s="165"/>
    </row>
    <row r="385" ht="15.75" customHeight="1">
      <c r="B385" s="6"/>
      <c r="E385" s="165"/>
    </row>
    <row r="386" ht="15.75" customHeight="1">
      <c r="B386" s="6"/>
      <c r="E386" s="165"/>
    </row>
    <row r="387" ht="15.75" customHeight="1">
      <c r="B387" s="6"/>
      <c r="E387" s="165"/>
    </row>
    <row r="388" ht="15.75" customHeight="1">
      <c r="B388" s="6"/>
      <c r="E388" s="165"/>
    </row>
    <row r="389" ht="15.75" customHeight="1">
      <c r="B389" s="6"/>
      <c r="E389" s="165"/>
    </row>
    <row r="390" ht="15.75" customHeight="1">
      <c r="B390" s="6"/>
      <c r="E390" s="165"/>
    </row>
    <row r="391" ht="15.75" customHeight="1">
      <c r="B391" s="6"/>
      <c r="E391" s="165"/>
    </row>
    <row r="392" ht="15.75" customHeight="1">
      <c r="B392" s="6"/>
      <c r="E392" s="165"/>
    </row>
    <row r="393" ht="15.75" customHeight="1">
      <c r="B393" s="6"/>
      <c r="E393" s="165"/>
    </row>
    <row r="394" ht="15.75" customHeight="1">
      <c r="B394" s="6"/>
      <c r="E394" s="165"/>
    </row>
    <row r="395" ht="15.75" customHeight="1">
      <c r="B395" s="6"/>
      <c r="E395" s="165"/>
    </row>
    <row r="396" ht="15.75" customHeight="1">
      <c r="B396" s="6"/>
      <c r="E396" s="165"/>
    </row>
    <row r="397" ht="15.75" customHeight="1">
      <c r="B397" s="6"/>
      <c r="E397" s="165"/>
    </row>
    <row r="398" ht="15.75" customHeight="1">
      <c r="B398" s="6"/>
      <c r="E398" s="165"/>
    </row>
    <row r="399" ht="15.75" customHeight="1">
      <c r="B399" s="6"/>
      <c r="E399" s="165"/>
    </row>
    <row r="400" ht="15.75" customHeight="1">
      <c r="B400" s="6"/>
      <c r="E400" s="165"/>
    </row>
    <row r="401" ht="15.75" customHeight="1">
      <c r="B401" s="6"/>
      <c r="E401" s="165"/>
    </row>
    <row r="402" ht="15.75" customHeight="1">
      <c r="B402" s="6"/>
      <c r="E402" s="165"/>
    </row>
    <row r="403" ht="15.75" customHeight="1">
      <c r="B403" s="6"/>
      <c r="E403" s="165"/>
    </row>
    <row r="404" ht="15.75" customHeight="1">
      <c r="B404" s="6"/>
      <c r="E404" s="165"/>
    </row>
    <row r="405" ht="15.75" customHeight="1">
      <c r="B405" s="6"/>
      <c r="E405" s="165"/>
    </row>
    <row r="406" ht="15.75" customHeight="1">
      <c r="B406" s="6"/>
      <c r="E406" s="165"/>
    </row>
    <row r="407" ht="15.75" customHeight="1">
      <c r="B407" s="6"/>
      <c r="E407" s="165"/>
    </row>
    <row r="408" ht="15.75" customHeight="1">
      <c r="B408" s="6"/>
      <c r="E408" s="165"/>
    </row>
    <row r="409" ht="15.75" customHeight="1">
      <c r="B409" s="6"/>
      <c r="E409" s="165"/>
    </row>
    <row r="410" ht="15.75" customHeight="1">
      <c r="B410" s="6"/>
      <c r="E410" s="165"/>
    </row>
    <row r="411" ht="15.75" customHeight="1">
      <c r="B411" s="6"/>
      <c r="E411" s="165"/>
    </row>
    <row r="412" ht="15.75" customHeight="1">
      <c r="B412" s="6"/>
      <c r="E412" s="165"/>
    </row>
    <row r="413" ht="15.75" customHeight="1">
      <c r="B413" s="6"/>
      <c r="E413" s="165"/>
    </row>
    <row r="414" ht="15.75" customHeight="1">
      <c r="B414" s="6"/>
      <c r="E414" s="165"/>
    </row>
    <row r="415" ht="15.75" customHeight="1">
      <c r="B415" s="6"/>
      <c r="E415" s="165"/>
    </row>
    <row r="416" ht="15.75" customHeight="1">
      <c r="B416" s="6"/>
      <c r="E416" s="165"/>
    </row>
    <row r="417" ht="15.75" customHeight="1">
      <c r="B417" s="6"/>
      <c r="E417" s="165"/>
    </row>
    <row r="418" ht="15.75" customHeight="1">
      <c r="B418" s="6"/>
      <c r="E418" s="165"/>
    </row>
    <row r="419" ht="15.75" customHeight="1">
      <c r="B419" s="6"/>
      <c r="E419" s="165"/>
    </row>
    <row r="420" ht="15.75" customHeight="1">
      <c r="B420" s="6"/>
      <c r="E420" s="165"/>
    </row>
    <row r="421" ht="15.75" customHeight="1">
      <c r="B421" s="6"/>
      <c r="E421" s="165"/>
    </row>
    <row r="422" ht="15.75" customHeight="1">
      <c r="B422" s="6"/>
      <c r="E422" s="165"/>
    </row>
    <row r="423" ht="15.75" customHeight="1">
      <c r="B423" s="6"/>
      <c r="E423" s="165"/>
    </row>
    <row r="424" ht="15.75" customHeight="1">
      <c r="B424" s="6"/>
      <c r="E424" s="165"/>
    </row>
    <row r="425" ht="15.75" customHeight="1">
      <c r="B425" s="6"/>
      <c r="E425" s="165"/>
    </row>
    <row r="426" ht="15.75" customHeight="1">
      <c r="B426" s="6"/>
      <c r="E426" s="165"/>
    </row>
    <row r="427" ht="15.75" customHeight="1">
      <c r="B427" s="6"/>
      <c r="E427" s="165"/>
    </row>
    <row r="428" ht="15.75" customHeight="1">
      <c r="B428" s="6"/>
      <c r="E428" s="165"/>
    </row>
    <row r="429" ht="15.75" customHeight="1">
      <c r="B429" s="6"/>
      <c r="E429" s="165"/>
    </row>
    <row r="430" ht="15.75" customHeight="1">
      <c r="B430" s="6"/>
      <c r="E430" s="165"/>
    </row>
    <row r="431" ht="15.75" customHeight="1">
      <c r="B431" s="6"/>
      <c r="E431" s="165"/>
    </row>
    <row r="432" ht="15.75" customHeight="1">
      <c r="B432" s="6"/>
      <c r="E432" s="165"/>
    </row>
    <row r="433" ht="15.75" customHeight="1">
      <c r="B433" s="6"/>
      <c r="E433" s="165"/>
    </row>
    <row r="434" ht="15.75" customHeight="1">
      <c r="B434" s="6"/>
      <c r="E434" s="165"/>
    </row>
    <row r="435" ht="15.75" customHeight="1">
      <c r="B435" s="6"/>
      <c r="E435" s="165"/>
    </row>
    <row r="436" ht="15.75" customHeight="1">
      <c r="B436" s="6"/>
      <c r="E436" s="165"/>
    </row>
    <row r="437" ht="15.75" customHeight="1">
      <c r="B437" s="6"/>
      <c r="E437" s="165"/>
    </row>
    <row r="438" ht="15.75" customHeight="1">
      <c r="B438" s="6"/>
      <c r="E438" s="165"/>
    </row>
    <row r="439" ht="15.75" customHeight="1">
      <c r="B439" s="6"/>
      <c r="E439" s="165"/>
    </row>
    <row r="440" ht="15.75" customHeight="1">
      <c r="B440" s="6"/>
      <c r="E440" s="165"/>
    </row>
    <row r="441" ht="15.75" customHeight="1">
      <c r="B441" s="6"/>
      <c r="E441" s="165"/>
    </row>
    <row r="442" ht="15.75" customHeight="1">
      <c r="B442" s="6"/>
      <c r="E442" s="165"/>
    </row>
    <row r="443" ht="15.75" customHeight="1">
      <c r="B443" s="6"/>
      <c r="E443" s="165"/>
    </row>
    <row r="444" ht="15.75" customHeight="1">
      <c r="B444" s="6"/>
      <c r="E444" s="165"/>
    </row>
    <row r="445" ht="15.75" customHeight="1">
      <c r="B445" s="6"/>
      <c r="E445" s="165"/>
    </row>
    <row r="446" ht="15.75" customHeight="1">
      <c r="B446" s="6"/>
      <c r="E446" s="165"/>
    </row>
    <row r="447" ht="15.75" customHeight="1">
      <c r="B447" s="6"/>
      <c r="E447" s="165"/>
    </row>
    <row r="448" ht="15.75" customHeight="1">
      <c r="B448" s="6"/>
      <c r="E448" s="165"/>
    </row>
    <row r="449" ht="15.75" customHeight="1">
      <c r="B449" s="6"/>
      <c r="E449" s="165"/>
    </row>
    <row r="450" ht="15.75" customHeight="1">
      <c r="B450" s="6"/>
      <c r="E450" s="165"/>
    </row>
    <row r="451" ht="15.75" customHeight="1">
      <c r="B451" s="6"/>
      <c r="E451" s="165"/>
    </row>
    <row r="452" ht="15.75" customHeight="1">
      <c r="B452" s="6"/>
      <c r="E452" s="165"/>
    </row>
    <row r="453" ht="15.75" customHeight="1">
      <c r="B453" s="6"/>
      <c r="E453" s="165"/>
    </row>
    <row r="454" ht="15.75" customHeight="1">
      <c r="B454" s="6"/>
      <c r="E454" s="165"/>
    </row>
    <row r="455" ht="15.75" customHeight="1">
      <c r="B455" s="6"/>
      <c r="E455" s="165"/>
    </row>
    <row r="456" ht="15.75" customHeight="1">
      <c r="B456" s="6"/>
      <c r="E456" s="165"/>
    </row>
    <row r="457" ht="15.75" customHeight="1">
      <c r="B457" s="6"/>
      <c r="E457" s="165"/>
    </row>
    <row r="458" ht="15.75" customHeight="1">
      <c r="B458" s="6"/>
      <c r="E458" s="165"/>
    </row>
    <row r="459" ht="15.75" customHeight="1">
      <c r="B459" s="6"/>
      <c r="E459" s="165"/>
    </row>
    <row r="460" ht="15.75" customHeight="1">
      <c r="B460" s="6"/>
      <c r="E460" s="165"/>
    </row>
    <row r="461" ht="15.75" customHeight="1">
      <c r="B461" s="6"/>
      <c r="E461" s="165"/>
    </row>
    <row r="462" ht="15.75" customHeight="1">
      <c r="B462" s="6"/>
      <c r="E462" s="165"/>
    </row>
    <row r="463" ht="15.75" customHeight="1">
      <c r="B463" s="6"/>
      <c r="E463" s="165"/>
    </row>
    <row r="464" ht="15.75" customHeight="1">
      <c r="B464" s="6"/>
      <c r="E464" s="165"/>
    </row>
    <row r="465" ht="15.75" customHeight="1">
      <c r="B465" s="6"/>
      <c r="E465" s="165"/>
    </row>
    <row r="466" ht="15.75" customHeight="1">
      <c r="B466" s="6"/>
      <c r="E466" s="165"/>
    </row>
    <row r="467" ht="15.75" customHeight="1">
      <c r="B467" s="6"/>
      <c r="E467" s="165"/>
    </row>
    <row r="468" ht="15.75" customHeight="1">
      <c r="B468" s="6"/>
      <c r="E468" s="165"/>
    </row>
    <row r="469" ht="15.75" customHeight="1">
      <c r="B469" s="6"/>
      <c r="E469" s="165"/>
    </row>
    <row r="470" ht="15.75" customHeight="1">
      <c r="B470" s="6"/>
      <c r="E470" s="165"/>
    </row>
    <row r="471" ht="15.75" customHeight="1">
      <c r="B471" s="6"/>
      <c r="E471" s="165"/>
    </row>
    <row r="472" ht="15.75" customHeight="1">
      <c r="B472" s="6"/>
      <c r="E472" s="165"/>
    </row>
    <row r="473" ht="15.75" customHeight="1">
      <c r="B473" s="6"/>
      <c r="E473" s="165"/>
    </row>
    <row r="474" ht="15.75" customHeight="1">
      <c r="B474" s="6"/>
      <c r="E474" s="165"/>
    </row>
    <row r="475" ht="15.75" customHeight="1">
      <c r="B475" s="6"/>
      <c r="E475" s="165"/>
    </row>
    <row r="476" ht="15.75" customHeight="1">
      <c r="B476" s="6"/>
      <c r="E476" s="165"/>
    </row>
    <row r="477" ht="15.75" customHeight="1">
      <c r="B477" s="6"/>
      <c r="E477" s="165"/>
    </row>
    <row r="478" ht="15.75" customHeight="1">
      <c r="B478" s="6"/>
      <c r="E478" s="165"/>
    </row>
    <row r="479" ht="15.75" customHeight="1">
      <c r="B479" s="6"/>
      <c r="E479" s="165"/>
    </row>
    <row r="480" ht="15.75" customHeight="1">
      <c r="B480" s="6"/>
      <c r="E480" s="165"/>
    </row>
    <row r="481" ht="15.75" customHeight="1">
      <c r="B481" s="6"/>
      <c r="E481" s="165"/>
    </row>
    <row r="482" ht="15.75" customHeight="1">
      <c r="B482" s="6"/>
      <c r="E482" s="165"/>
    </row>
    <row r="483" ht="15.75" customHeight="1">
      <c r="B483" s="6"/>
      <c r="E483" s="165"/>
    </row>
    <row r="484" ht="15.75" customHeight="1">
      <c r="B484" s="6"/>
      <c r="E484" s="165"/>
    </row>
    <row r="485" ht="15.75" customHeight="1">
      <c r="B485" s="6"/>
      <c r="E485" s="165"/>
    </row>
    <row r="486" ht="15.75" customHeight="1">
      <c r="B486" s="6"/>
      <c r="E486" s="165"/>
    </row>
    <row r="487" ht="15.75" customHeight="1">
      <c r="B487" s="6"/>
      <c r="E487" s="165"/>
    </row>
    <row r="488" ht="15.75" customHeight="1">
      <c r="B488" s="6"/>
      <c r="E488" s="165"/>
    </row>
    <row r="489" ht="15.75" customHeight="1">
      <c r="B489" s="6"/>
      <c r="E489" s="165"/>
    </row>
    <row r="490" ht="15.75" customHeight="1">
      <c r="B490" s="6"/>
      <c r="E490" s="165"/>
    </row>
    <row r="491" ht="15.75" customHeight="1">
      <c r="B491" s="6"/>
      <c r="E491" s="165"/>
    </row>
    <row r="492" ht="15.75" customHeight="1">
      <c r="B492" s="6"/>
      <c r="E492" s="165"/>
    </row>
    <row r="493" ht="15.75" customHeight="1">
      <c r="B493" s="6"/>
      <c r="E493" s="165"/>
    </row>
    <row r="494" ht="15.75" customHeight="1">
      <c r="B494" s="6"/>
      <c r="E494" s="165"/>
    </row>
    <row r="495" ht="15.75" customHeight="1">
      <c r="B495" s="6"/>
      <c r="E495" s="165"/>
    </row>
    <row r="496" ht="15.75" customHeight="1">
      <c r="B496" s="6"/>
      <c r="E496" s="165"/>
    </row>
    <row r="497" ht="15.75" customHeight="1">
      <c r="B497" s="6"/>
      <c r="E497" s="165"/>
    </row>
    <row r="498" ht="15.75" customHeight="1">
      <c r="B498" s="6"/>
      <c r="E498" s="165"/>
    </row>
    <row r="499" ht="15.75" customHeight="1">
      <c r="B499" s="6"/>
      <c r="E499" s="165"/>
    </row>
    <row r="500" ht="15.75" customHeight="1">
      <c r="B500" s="6"/>
      <c r="E500" s="165"/>
    </row>
    <row r="501" ht="15.75" customHeight="1">
      <c r="B501" s="6"/>
      <c r="E501" s="165"/>
    </row>
    <row r="502" ht="15.75" customHeight="1">
      <c r="B502" s="6"/>
      <c r="E502" s="165"/>
    </row>
    <row r="503" ht="15.75" customHeight="1">
      <c r="B503" s="6"/>
      <c r="E503" s="165"/>
    </row>
    <row r="504" ht="15.75" customHeight="1">
      <c r="B504" s="6"/>
      <c r="E504" s="165"/>
    </row>
    <row r="505" ht="15.75" customHeight="1">
      <c r="B505" s="6"/>
      <c r="E505" s="165"/>
    </row>
    <row r="506" ht="15.75" customHeight="1">
      <c r="B506" s="6"/>
      <c r="E506" s="165"/>
    </row>
    <row r="507" ht="15.75" customHeight="1">
      <c r="B507" s="6"/>
      <c r="E507" s="165"/>
    </row>
    <row r="508" ht="15.75" customHeight="1">
      <c r="B508" s="6"/>
      <c r="E508" s="165"/>
    </row>
    <row r="509" ht="15.75" customHeight="1">
      <c r="B509" s="6"/>
      <c r="E509" s="165"/>
    </row>
    <row r="510" ht="15.75" customHeight="1">
      <c r="B510" s="6"/>
      <c r="E510" s="165"/>
    </row>
    <row r="511" ht="15.75" customHeight="1">
      <c r="B511" s="6"/>
      <c r="E511" s="165"/>
    </row>
    <row r="512" ht="15.75" customHeight="1">
      <c r="B512" s="6"/>
      <c r="E512" s="165"/>
    </row>
    <row r="513" ht="15.75" customHeight="1">
      <c r="B513" s="6"/>
      <c r="E513" s="165"/>
    </row>
    <row r="514" ht="15.75" customHeight="1">
      <c r="B514" s="6"/>
      <c r="E514" s="165"/>
    </row>
    <row r="515" ht="15.75" customHeight="1">
      <c r="B515" s="6"/>
      <c r="E515" s="165"/>
    </row>
    <row r="516" ht="15.75" customHeight="1">
      <c r="B516" s="6"/>
      <c r="E516" s="165"/>
    </row>
    <row r="517" ht="15.75" customHeight="1">
      <c r="B517" s="6"/>
      <c r="E517" s="165"/>
    </row>
    <row r="518" ht="15.75" customHeight="1">
      <c r="B518" s="6"/>
      <c r="E518" s="165"/>
    </row>
    <row r="519" ht="15.75" customHeight="1">
      <c r="B519" s="6"/>
      <c r="E519" s="165"/>
    </row>
    <row r="520" ht="15.75" customHeight="1">
      <c r="B520" s="6"/>
      <c r="E520" s="165"/>
    </row>
    <row r="521" ht="15.75" customHeight="1">
      <c r="B521" s="6"/>
      <c r="E521" s="165"/>
    </row>
    <row r="522" ht="15.75" customHeight="1">
      <c r="B522" s="6"/>
      <c r="E522" s="165"/>
    </row>
    <row r="523" ht="15.75" customHeight="1">
      <c r="B523" s="6"/>
      <c r="E523" s="165"/>
    </row>
    <row r="524" ht="15.75" customHeight="1">
      <c r="B524" s="6"/>
      <c r="E524" s="165"/>
    </row>
    <row r="525" ht="15.75" customHeight="1">
      <c r="B525" s="6"/>
      <c r="E525" s="165"/>
    </row>
    <row r="526" ht="15.75" customHeight="1">
      <c r="B526" s="6"/>
      <c r="E526" s="165"/>
    </row>
    <row r="527" ht="15.75" customHeight="1">
      <c r="B527" s="6"/>
      <c r="E527" s="165"/>
    </row>
    <row r="528" ht="15.75" customHeight="1">
      <c r="B528" s="6"/>
      <c r="E528" s="165"/>
    </row>
    <row r="529" ht="15.75" customHeight="1">
      <c r="B529" s="6"/>
      <c r="E529" s="165"/>
    </row>
    <row r="530" ht="15.75" customHeight="1">
      <c r="B530" s="6"/>
      <c r="E530" s="165"/>
    </row>
    <row r="531" ht="15.75" customHeight="1">
      <c r="B531" s="6"/>
      <c r="E531" s="165"/>
    </row>
    <row r="532" ht="15.75" customHeight="1">
      <c r="B532" s="6"/>
      <c r="E532" s="165"/>
    </row>
    <row r="533" ht="15.75" customHeight="1">
      <c r="B533" s="6"/>
      <c r="E533" s="165"/>
    </row>
    <row r="534" ht="15.75" customHeight="1">
      <c r="B534" s="6"/>
      <c r="E534" s="165"/>
    </row>
    <row r="535" ht="15.75" customHeight="1">
      <c r="B535" s="6"/>
      <c r="E535" s="165"/>
    </row>
    <row r="536" ht="15.75" customHeight="1">
      <c r="B536" s="6"/>
      <c r="E536" s="165"/>
    </row>
    <row r="537" ht="15.75" customHeight="1">
      <c r="B537" s="6"/>
      <c r="E537" s="165"/>
    </row>
    <row r="538" ht="15.75" customHeight="1">
      <c r="B538" s="6"/>
      <c r="E538" s="165"/>
    </row>
    <row r="539" ht="15.75" customHeight="1">
      <c r="B539" s="6"/>
      <c r="E539" s="165"/>
    </row>
    <row r="540" ht="15.75" customHeight="1">
      <c r="B540" s="6"/>
      <c r="E540" s="165"/>
    </row>
    <row r="541" ht="15.75" customHeight="1">
      <c r="B541" s="6"/>
      <c r="E541" s="165"/>
    </row>
    <row r="542" ht="15.75" customHeight="1">
      <c r="B542" s="6"/>
      <c r="E542" s="165"/>
    </row>
    <row r="543" ht="15.75" customHeight="1">
      <c r="B543" s="6"/>
      <c r="E543" s="165"/>
    </row>
    <row r="544" ht="15.75" customHeight="1">
      <c r="B544" s="6"/>
      <c r="E544" s="165"/>
    </row>
    <row r="545" ht="15.75" customHeight="1">
      <c r="B545" s="6"/>
      <c r="E545" s="165"/>
    </row>
    <row r="546" ht="15.75" customHeight="1">
      <c r="B546" s="6"/>
      <c r="E546" s="165"/>
    </row>
    <row r="547" ht="15.75" customHeight="1">
      <c r="B547" s="6"/>
      <c r="E547" s="165"/>
    </row>
    <row r="548" ht="15.75" customHeight="1">
      <c r="B548" s="6"/>
      <c r="E548" s="165"/>
    </row>
    <row r="549" ht="15.75" customHeight="1">
      <c r="B549" s="6"/>
      <c r="E549" s="165"/>
    </row>
    <row r="550" ht="15.75" customHeight="1">
      <c r="B550" s="6"/>
      <c r="E550" s="165"/>
    </row>
    <row r="551" ht="15.75" customHeight="1">
      <c r="B551" s="6"/>
      <c r="E551" s="165"/>
    </row>
    <row r="552" ht="15.75" customHeight="1">
      <c r="B552" s="6"/>
      <c r="E552" s="165"/>
    </row>
    <row r="553" ht="15.75" customHeight="1">
      <c r="B553" s="6"/>
      <c r="E553" s="165"/>
    </row>
    <row r="554" ht="15.75" customHeight="1">
      <c r="B554" s="6"/>
      <c r="E554" s="165"/>
    </row>
    <row r="555" ht="15.75" customHeight="1">
      <c r="B555" s="6"/>
      <c r="E555" s="165"/>
    </row>
    <row r="556" ht="15.75" customHeight="1">
      <c r="B556" s="6"/>
      <c r="E556" s="165"/>
    </row>
    <row r="557" ht="15.75" customHeight="1">
      <c r="B557" s="6"/>
      <c r="E557" s="165"/>
    </row>
    <row r="558" ht="15.75" customHeight="1">
      <c r="B558" s="6"/>
      <c r="E558" s="165"/>
    </row>
    <row r="559" ht="15.75" customHeight="1">
      <c r="B559" s="6"/>
      <c r="E559" s="165"/>
    </row>
    <row r="560" ht="15.75" customHeight="1">
      <c r="B560" s="6"/>
      <c r="E560" s="165"/>
    </row>
    <row r="561" ht="15.75" customHeight="1">
      <c r="B561" s="6"/>
      <c r="E561" s="165"/>
    </row>
    <row r="562" ht="15.75" customHeight="1">
      <c r="B562" s="6"/>
      <c r="E562" s="165"/>
    </row>
    <row r="563" ht="15.75" customHeight="1">
      <c r="B563" s="6"/>
      <c r="E563" s="165"/>
    </row>
    <row r="564" ht="15.75" customHeight="1">
      <c r="B564" s="6"/>
      <c r="E564" s="165"/>
    </row>
    <row r="565" ht="15.75" customHeight="1">
      <c r="B565" s="6"/>
      <c r="E565" s="165"/>
    </row>
    <row r="566" ht="15.75" customHeight="1">
      <c r="B566" s="6"/>
      <c r="E566" s="165"/>
    </row>
    <row r="567" ht="15.75" customHeight="1">
      <c r="B567" s="6"/>
      <c r="E567" s="165"/>
    </row>
    <row r="568" ht="15.75" customHeight="1">
      <c r="B568" s="6"/>
      <c r="E568" s="165"/>
    </row>
    <row r="569" ht="15.75" customHeight="1">
      <c r="B569" s="6"/>
      <c r="E569" s="165"/>
    </row>
    <row r="570" ht="15.75" customHeight="1">
      <c r="B570" s="6"/>
      <c r="E570" s="165"/>
    </row>
    <row r="571" ht="15.75" customHeight="1">
      <c r="B571" s="6"/>
      <c r="E571" s="165"/>
    </row>
    <row r="572" ht="15.75" customHeight="1">
      <c r="B572" s="6"/>
      <c r="E572" s="165"/>
    </row>
    <row r="573" ht="15.75" customHeight="1">
      <c r="B573" s="6"/>
      <c r="E573" s="165"/>
    </row>
    <row r="574" ht="15.75" customHeight="1">
      <c r="B574" s="6"/>
      <c r="E574" s="165"/>
    </row>
    <row r="575" ht="15.75" customHeight="1">
      <c r="B575" s="6"/>
      <c r="E575" s="165"/>
    </row>
    <row r="576" ht="15.75" customHeight="1">
      <c r="B576" s="6"/>
      <c r="E576" s="165"/>
    </row>
    <row r="577" ht="15.75" customHeight="1">
      <c r="B577" s="6"/>
      <c r="E577" s="165"/>
    </row>
    <row r="578" ht="15.75" customHeight="1">
      <c r="B578" s="6"/>
      <c r="E578" s="165"/>
    </row>
    <row r="579" ht="15.75" customHeight="1">
      <c r="B579" s="6"/>
      <c r="E579" s="165"/>
    </row>
    <row r="580" ht="15.75" customHeight="1">
      <c r="B580" s="6"/>
      <c r="E580" s="165"/>
    </row>
    <row r="581" ht="15.75" customHeight="1">
      <c r="B581" s="6"/>
      <c r="E581" s="165"/>
    </row>
    <row r="582" ht="15.75" customHeight="1">
      <c r="B582" s="6"/>
      <c r="E582" s="165"/>
    </row>
    <row r="583" ht="15.75" customHeight="1">
      <c r="B583" s="6"/>
      <c r="E583" s="165"/>
    </row>
    <row r="584" ht="15.75" customHeight="1">
      <c r="B584" s="6"/>
      <c r="E584" s="165"/>
    </row>
    <row r="585" ht="15.75" customHeight="1">
      <c r="B585" s="6"/>
      <c r="E585" s="165"/>
    </row>
    <row r="586" ht="15.75" customHeight="1">
      <c r="B586" s="6"/>
      <c r="E586" s="165"/>
    </row>
    <row r="587" ht="15.75" customHeight="1">
      <c r="B587" s="6"/>
      <c r="E587" s="165"/>
    </row>
    <row r="588" ht="15.75" customHeight="1">
      <c r="B588" s="6"/>
      <c r="E588" s="165"/>
    </row>
    <row r="589" ht="15.75" customHeight="1">
      <c r="B589" s="6"/>
      <c r="E589" s="165"/>
    </row>
    <row r="590" ht="15.75" customHeight="1">
      <c r="B590" s="6"/>
      <c r="E590" s="165"/>
    </row>
    <row r="591" ht="15.75" customHeight="1">
      <c r="B591" s="6"/>
      <c r="E591" s="165"/>
    </row>
    <row r="592" ht="15.75" customHeight="1">
      <c r="B592" s="6"/>
      <c r="E592" s="165"/>
    </row>
    <row r="593" ht="15.75" customHeight="1">
      <c r="B593" s="6"/>
      <c r="E593" s="165"/>
    </row>
    <row r="594" ht="15.75" customHeight="1">
      <c r="B594" s="6"/>
      <c r="E594" s="165"/>
    </row>
    <row r="595" ht="15.75" customHeight="1">
      <c r="B595" s="6"/>
      <c r="E595" s="165"/>
    </row>
    <row r="596" ht="15.75" customHeight="1">
      <c r="B596" s="6"/>
      <c r="E596" s="165"/>
    </row>
    <row r="597" ht="15.75" customHeight="1">
      <c r="B597" s="6"/>
      <c r="E597" s="165"/>
    </row>
    <row r="598" ht="15.75" customHeight="1">
      <c r="B598" s="6"/>
      <c r="E598" s="165"/>
    </row>
    <row r="599" ht="15.75" customHeight="1">
      <c r="B599" s="6"/>
      <c r="E599" s="165"/>
    </row>
    <row r="600" ht="15.75" customHeight="1">
      <c r="B600" s="6"/>
      <c r="E600" s="165"/>
    </row>
    <row r="601" ht="15.75" customHeight="1">
      <c r="B601" s="6"/>
      <c r="E601" s="165"/>
    </row>
    <row r="602" ht="15.75" customHeight="1">
      <c r="B602" s="6"/>
      <c r="E602" s="165"/>
    </row>
    <row r="603" ht="15.75" customHeight="1">
      <c r="B603" s="6"/>
      <c r="E603" s="165"/>
    </row>
    <row r="604" ht="15.75" customHeight="1">
      <c r="B604" s="6"/>
      <c r="E604" s="165"/>
    </row>
    <row r="605" ht="15.75" customHeight="1">
      <c r="B605" s="6"/>
      <c r="E605" s="165"/>
    </row>
    <row r="606" ht="15.75" customHeight="1">
      <c r="B606" s="6"/>
      <c r="E606" s="165"/>
    </row>
    <row r="607" ht="15.75" customHeight="1">
      <c r="B607" s="6"/>
      <c r="E607" s="165"/>
    </row>
    <row r="608" ht="15.75" customHeight="1">
      <c r="B608" s="6"/>
      <c r="E608" s="165"/>
    </row>
    <row r="609" ht="15.75" customHeight="1">
      <c r="B609" s="6"/>
      <c r="E609" s="165"/>
    </row>
    <row r="610" ht="15.75" customHeight="1">
      <c r="B610" s="6"/>
      <c r="E610" s="165"/>
    </row>
    <row r="611" ht="15.75" customHeight="1">
      <c r="B611" s="6"/>
      <c r="E611" s="165"/>
    </row>
    <row r="612" ht="15.75" customHeight="1">
      <c r="B612" s="6"/>
      <c r="E612" s="165"/>
    </row>
    <row r="613" ht="15.75" customHeight="1">
      <c r="B613" s="6"/>
      <c r="E613" s="165"/>
    </row>
    <row r="614" ht="15.75" customHeight="1">
      <c r="B614" s="6"/>
      <c r="E614" s="165"/>
    </row>
    <row r="615" ht="15.75" customHeight="1">
      <c r="B615" s="6"/>
      <c r="E615" s="165"/>
    </row>
    <row r="616" ht="15.75" customHeight="1">
      <c r="B616" s="6"/>
      <c r="E616" s="165"/>
    </row>
    <row r="617" ht="15.75" customHeight="1">
      <c r="B617" s="6"/>
      <c r="E617" s="165"/>
    </row>
    <row r="618" ht="15.75" customHeight="1">
      <c r="B618" s="6"/>
      <c r="E618" s="165"/>
    </row>
    <row r="619" ht="15.75" customHeight="1">
      <c r="B619" s="6"/>
      <c r="E619" s="165"/>
    </row>
    <row r="620" ht="15.75" customHeight="1">
      <c r="B620" s="6"/>
      <c r="E620" s="165"/>
    </row>
    <row r="621" ht="15.75" customHeight="1">
      <c r="B621" s="6"/>
      <c r="E621" s="165"/>
    </row>
    <row r="622" ht="15.75" customHeight="1">
      <c r="B622" s="6"/>
      <c r="E622" s="165"/>
    </row>
    <row r="623" ht="15.75" customHeight="1">
      <c r="B623" s="6"/>
      <c r="E623" s="165"/>
    </row>
    <row r="624" ht="15.75" customHeight="1">
      <c r="B624" s="6"/>
      <c r="E624" s="165"/>
    </row>
    <row r="625" ht="15.75" customHeight="1">
      <c r="B625" s="6"/>
      <c r="E625" s="165"/>
    </row>
    <row r="626" ht="15.75" customHeight="1">
      <c r="B626" s="6"/>
      <c r="E626" s="165"/>
    </row>
    <row r="627" ht="15.75" customHeight="1">
      <c r="B627" s="6"/>
      <c r="E627" s="165"/>
    </row>
    <row r="628" ht="15.75" customHeight="1">
      <c r="B628" s="6"/>
      <c r="E628" s="165"/>
    </row>
    <row r="629" ht="15.75" customHeight="1">
      <c r="B629" s="6"/>
      <c r="E629" s="165"/>
    </row>
    <row r="630" ht="15.75" customHeight="1">
      <c r="B630" s="6"/>
      <c r="E630" s="165"/>
    </row>
    <row r="631" ht="15.75" customHeight="1">
      <c r="B631" s="6"/>
      <c r="E631" s="165"/>
    </row>
    <row r="632" ht="15.75" customHeight="1">
      <c r="B632" s="6"/>
      <c r="E632" s="165"/>
    </row>
    <row r="633" ht="15.75" customHeight="1">
      <c r="B633" s="6"/>
      <c r="E633" s="165"/>
    </row>
    <row r="634" ht="15.75" customHeight="1">
      <c r="B634" s="6"/>
      <c r="E634" s="165"/>
    </row>
    <row r="635" ht="15.75" customHeight="1">
      <c r="B635" s="6"/>
      <c r="E635" s="165"/>
    </row>
    <row r="636" ht="15.75" customHeight="1">
      <c r="B636" s="6"/>
      <c r="E636" s="165"/>
    </row>
    <row r="637" ht="15.75" customHeight="1">
      <c r="B637" s="6"/>
      <c r="E637" s="165"/>
    </row>
    <row r="638" ht="15.75" customHeight="1">
      <c r="B638" s="6"/>
      <c r="E638" s="165"/>
    </row>
    <row r="639" ht="15.75" customHeight="1">
      <c r="B639" s="6"/>
      <c r="E639" s="165"/>
    </row>
    <row r="640" ht="15.75" customHeight="1">
      <c r="B640" s="6"/>
      <c r="E640" s="165"/>
    </row>
    <row r="641" ht="15.75" customHeight="1">
      <c r="B641" s="6"/>
      <c r="E641" s="165"/>
    </row>
    <row r="642" ht="15.75" customHeight="1">
      <c r="B642" s="6"/>
      <c r="E642" s="165"/>
    </row>
    <row r="643" ht="15.75" customHeight="1">
      <c r="B643" s="6"/>
      <c r="E643" s="165"/>
    </row>
    <row r="644" ht="15.75" customHeight="1">
      <c r="B644" s="6"/>
      <c r="E644" s="165"/>
    </row>
    <row r="645" ht="15.75" customHeight="1">
      <c r="B645" s="6"/>
      <c r="E645" s="165"/>
    </row>
    <row r="646" ht="15.75" customHeight="1">
      <c r="B646" s="6"/>
      <c r="E646" s="165"/>
    </row>
    <row r="647" ht="15.75" customHeight="1">
      <c r="B647" s="6"/>
      <c r="E647" s="165"/>
    </row>
    <row r="648" ht="15.75" customHeight="1">
      <c r="B648" s="6"/>
      <c r="E648" s="165"/>
    </row>
    <row r="649" ht="15.75" customHeight="1">
      <c r="B649" s="6"/>
      <c r="E649" s="165"/>
    </row>
    <row r="650" ht="15.75" customHeight="1">
      <c r="B650" s="6"/>
      <c r="E650" s="165"/>
    </row>
    <row r="651" ht="15.75" customHeight="1">
      <c r="B651" s="6"/>
      <c r="E651" s="165"/>
    </row>
    <row r="652" ht="15.75" customHeight="1">
      <c r="B652" s="6"/>
      <c r="E652" s="165"/>
    </row>
    <row r="653" ht="15.75" customHeight="1">
      <c r="B653" s="6"/>
      <c r="E653" s="165"/>
    </row>
    <row r="654" ht="15.75" customHeight="1">
      <c r="B654" s="6"/>
      <c r="E654" s="165"/>
    </row>
    <row r="655" ht="15.75" customHeight="1">
      <c r="B655" s="6"/>
      <c r="E655" s="165"/>
    </row>
    <row r="656" ht="15.75" customHeight="1">
      <c r="B656" s="6"/>
      <c r="E656" s="165"/>
    </row>
    <row r="657" ht="15.75" customHeight="1">
      <c r="B657" s="6"/>
      <c r="E657" s="165"/>
    </row>
    <row r="658" ht="15.75" customHeight="1">
      <c r="B658" s="6"/>
      <c r="E658" s="165"/>
    </row>
    <row r="659" ht="15.75" customHeight="1">
      <c r="B659" s="6"/>
      <c r="E659" s="165"/>
    </row>
    <row r="660" ht="15.75" customHeight="1">
      <c r="B660" s="6"/>
      <c r="E660" s="165"/>
    </row>
    <row r="661" ht="15.75" customHeight="1">
      <c r="B661" s="6"/>
      <c r="E661" s="165"/>
    </row>
    <row r="662" ht="15.75" customHeight="1">
      <c r="B662" s="6"/>
      <c r="E662" s="165"/>
    </row>
    <row r="663" ht="15.75" customHeight="1">
      <c r="B663" s="6"/>
      <c r="E663" s="165"/>
    </row>
    <row r="664" ht="15.75" customHeight="1">
      <c r="B664" s="6"/>
      <c r="E664" s="165"/>
    </row>
    <row r="665" ht="15.75" customHeight="1">
      <c r="B665" s="6"/>
      <c r="E665" s="165"/>
    </row>
    <row r="666" ht="15.75" customHeight="1">
      <c r="B666" s="6"/>
      <c r="E666" s="165"/>
    </row>
    <row r="667" ht="15.75" customHeight="1">
      <c r="B667" s="6"/>
      <c r="E667" s="165"/>
    </row>
    <row r="668" ht="15.75" customHeight="1">
      <c r="B668" s="6"/>
      <c r="E668" s="165"/>
    </row>
    <row r="669" ht="15.75" customHeight="1">
      <c r="B669" s="6"/>
      <c r="E669" s="165"/>
    </row>
    <row r="670" ht="15.75" customHeight="1">
      <c r="B670" s="6"/>
      <c r="E670" s="165"/>
    </row>
    <row r="671" ht="15.75" customHeight="1">
      <c r="B671" s="6"/>
      <c r="E671" s="165"/>
    </row>
    <row r="672" ht="15.75" customHeight="1">
      <c r="B672" s="6"/>
      <c r="E672" s="165"/>
    </row>
    <row r="673" ht="15.75" customHeight="1">
      <c r="B673" s="6"/>
      <c r="E673" s="165"/>
    </row>
    <row r="674" ht="15.75" customHeight="1">
      <c r="B674" s="6"/>
      <c r="E674" s="165"/>
    </row>
    <row r="675" ht="15.75" customHeight="1">
      <c r="B675" s="6"/>
      <c r="E675" s="165"/>
    </row>
    <row r="676" ht="15.75" customHeight="1">
      <c r="B676" s="6"/>
      <c r="E676" s="165"/>
    </row>
    <row r="677" ht="15.75" customHeight="1">
      <c r="B677" s="6"/>
      <c r="E677" s="165"/>
    </row>
    <row r="678" ht="15.75" customHeight="1">
      <c r="B678" s="6"/>
      <c r="E678" s="165"/>
    </row>
    <row r="679" ht="15.75" customHeight="1">
      <c r="B679" s="6"/>
      <c r="E679" s="165"/>
    </row>
    <row r="680" ht="15.75" customHeight="1">
      <c r="B680" s="6"/>
      <c r="E680" s="165"/>
    </row>
    <row r="681" ht="15.75" customHeight="1">
      <c r="B681" s="6"/>
      <c r="E681" s="165"/>
    </row>
    <row r="682" ht="15.75" customHeight="1">
      <c r="B682" s="6"/>
      <c r="E682" s="165"/>
    </row>
    <row r="683" ht="15.75" customHeight="1">
      <c r="B683" s="6"/>
      <c r="E683" s="165"/>
    </row>
    <row r="684" ht="15.75" customHeight="1">
      <c r="B684" s="6"/>
      <c r="E684" s="165"/>
    </row>
    <row r="685" ht="15.75" customHeight="1">
      <c r="B685" s="6"/>
      <c r="E685" s="165"/>
    </row>
    <row r="686" ht="15.75" customHeight="1">
      <c r="B686" s="6"/>
      <c r="E686" s="165"/>
    </row>
    <row r="687" ht="15.75" customHeight="1">
      <c r="B687" s="6"/>
      <c r="E687" s="165"/>
    </row>
    <row r="688" ht="15.75" customHeight="1">
      <c r="B688" s="6"/>
      <c r="E688" s="165"/>
    </row>
    <row r="689" ht="15.75" customHeight="1">
      <c r="B689" s="6"/>
      <c r="E689" s="165"/>
    </row>
    <row r="690" ht="15.75" customHeight="1">
      <c r="B690" s="6"/>
      <c r="E690" s="165"/>
    </row>
    <row r="691" ht="15.75" customHeight="1">
      <c r="B691" s="6"/>
      <c r="E691" s="165"/>
    </row>
    <row r="692" ht="15.75" customHeight="1">
      <c r="B692" s="6"/>
      <c r="E692" s="165"/>
    </row>
    <row r="693" ht="15.75" customHeight="1">
      <c r="B693" s="6"/>
      <c r="E693" s="165"/>
    </row>
    <row r="694" ht="15.75" customHeight="1">
      <c r="B694" s="6"/>
      <c r="E694" s="165"/>
    </row>
    <row r="695" ht="15.75" customHeight="1">
      <c r="B695" s="6"/>
      <c r="E695" s="165"/>
    </row>
    <row r="696" ht="15.75" customHeight="1">
      <c r="B696" s="6"/>
      <c r="E696" s="165"/>
    </row>
    <row r="697" ht="15.75" customHeight="1">
      <c r="B697" s="6"/>
      <c r="E697" s="165"/>
    </row>
    <row r="698" ht="15.75" customHeight="1">
      <c r="B698" s="6"/>
      <c r="E698" s="165"/>
    </row>
    <row r="699" ht="15.75" customHeight="1">
      <c r="B699" s="6"/>
      <c r="E699" s="165"/>
    </row>
    <row r="700" ht="15.75" customHeight="1">
      <c r="B700" s="6"/>
      <c r="E700" s="165"/>
    </row>
    <row r="701" ht="15.75" customHeight="1">
      <c r="B701" s="6"/>
      <c r="E701" s="165"/>
    </row>
    <row r="702" ht="15.75" customHeight="1">
      <c r="B702" s="6"/>
      <c r="E702" s="165"/>
    </row>
    <row r="703" ht="15.75" customHeight="1">
      <c r="B703" s="6"/>
      <c r="E703" s="165"/>
    </row>
    <row r="704" ht="15.75" customHeight="1">
      <c r="B704" s="6"/>
      <c r="E704" s="165"/>
    </row>
    <row r="705" ht="15.75" customHeight="1">
      <c r="B705" s="6"/>
      <c r="E705" s="165"/>
    </row>
    <row r="706" ht="15.75" customHeight="1">
      <c r="B706" s="6"/>
      <c r="E706" s="165"/>
    </row>
    <row r="707" ht="15.75" customHeight="1">
      <c r="B707" s="6"/>
      <c r="E707" s="165"/>
    </row>
    <row r="708" ht="15.75" customHeight="1">
      <c r="B708" s="6"/>
      <c r="E708" s="165"/>
    </row>
    <row r="709" ht="15.75" customHeight="1">
      <c r="B709" s="6"/>
      <c r="E709" s="165"/>
    </row>
    <row r="710" ht="15.75" customHeight="1">
      <c r="B710" s="6"/>
      <c r="E710" s="165"/>
    </row>
    <row r="711" ht="15.75" customHeight="1">
      <c r="B711" s="6"/>
      <c r="E711" s="165"/>
    </row>
    <row r="712" ht="15.75" customHeight="1">
      <c r="B712" s="6"/>
      <c r="E712" s="165"/>
    </row>
    <row r="713" ht="15.75" customHeight="1">
      <c r="B713" s="6"/>
      <c r="E713" s="165"/>
    </row>
    <row r="714" ht="15.75" customHeight="1">
      <c r="B714" s="6"/>
      <c r="E714" s="165"/>
    </row>
    <row r="715" ht="15.75" customHeight="1">
      <c r="B715" s="6"/>
      <c r="E715" s="165"/>
    </row>
    <row r="716" ht="15.75" customHeight="1">
      <c r="B716" s="6"/>
      <c r="E716" s="165"/>
    </row>
    <row r="717" ht="15.75" customHeight="1">
      <c r="B717" s="6"/>
      <c r="E717" s="165"/>
    </row>
    <row r="718" ht="15.75" customHeight="1">
      <c r="B718" s="6"/>
      <c r="E718" s="165"/>
    </row>
    <row r="719" ht="15.75" customHeight="1">
      <c r="B719" s="6"/>
      <c r="E719" s="165"/>
    </row>
    <row r="720" ht="15.75" customHeight="1">
      <c r="B720" s="6"/>
      <c r="E720" s="165"/>
    </row>
    <row r="721" ht="15.75" customHeight="1">
      <c r="B721" s="6"/>
      <c r="E721" s="165"/>
    </row>
    <row r="722" ht="15.75" customHeight="1">
      <c r="B722" s="6"/>
      <c r="E722" s="165"/>
    </row>
    <row r="723" ht="15.75" customHeight="1">
      <c r="B723" s="6"/>
      <c r="E723" s="165"/>
    </row>
    <row r="724" ht="15.75" customHeight="1">
      <c r="B724" s="6"/>
      <c r="E724" s="165"/>
    </row>
    <row r="725" ht="15.75" customHeight="1">
      <c r="B725" s="6"/>
      <c r="E725" s="165"/>
    </row>
    <row r="726" ht="15.75" customHeight="1">
      <c r="B726" s="6"/>
      <c r="E726" s="165"/>
    </row>
    <row r="727" ht="15.75" customHeight="1">
      <c r="B727" s="6"/>
      <c r="E727" s="165"/>
    </row>
    <row r="728" ht="15.75" customHeight="1">
      <c r="B728" s="6"/>
      <c r="E728" s="165"/>
    </row>
    <row r="729" ht="15.75" customHeight="1">
      <c r="B729" s="6"/>
      <c r="E729" s="165"/>
    </row>
    <row r="730" ht="15.75" customHeight="1">
      <c r="B730" s="6"/>
      <c r="E730" s="165"/>
    </row>
    <row r="731" ht="15.75" customHeight="1">
      <c r="B731" s="6"/>
      <c r="E731" s="165"/>
    </row>
    <row r="732" ht="15.75" customHeight="1">
      <c r="B732" s="6"/>
      <c r="E732" s="165"/>
    </row>
    <row r="733" ht="15.75" customHeight="1">
      <c r="B733" s="6"/>
      <c r="E733" s="165"/>
    </row>
    <row r="734" ht="15.75" customHeight="1">
      <c r="B734" s="6"/>
      <c r="E734" s="165"/>
    </row>
    <row r="735" ht="15.75" customHeight="1">
      <c r="B735" s="6"/>
      <c r="E735" s="165"/>
    </row>
    <row r="736" ht="15.75" customHeight="1">
      <c r="B736" s="6"/>
      <c r="E736" s="165"/>
    </row>
    <row r="737" ht="15.75" customHeight="1">
      <c r="B737" s="6"/>
      <c r="E737" s="165"/>
    </row>
    <row r="738" ht="15.75" customHeight="1">
      <c r="B738" s="6"/>
      <c r="E738" s="165"/>
    </row>
    <row r="739" ht="15.75" customHeight="1">
      <c r="B739" s="6"/>
      <c r="E739" s="165"/>
    </row>
    <row r="740" ht="15.75" customHeight="1">
      <c r="B740" s="6"/>
      <c r="E740" s="165"/>
    </row>
    <row r="741" ht="15.75" customHeight="1">
      <c r="B741" s="6"/>
      <c r="E741" s="165"/>
    </row>
    <row r="742" ht="15.75" customHeight="1">
      <c r="B742" s="6"/>
      <c r="E742" s="165"/>
    </row>
    <row r="743" ht="15.75" customHeight="1">
      <c r="B743" s="6"/>
      <c r="E743" s="165"/>
    </row>
    <row r="744" ht="15.75" customHeight="1">
      <c r="B744" s="6"/>
      <c r="E744" s="165"/>
    </row>
    <row r="745" ht="15.75" customHeight="1">
      <c r="B745" s="6"/>
      <c r="E745" s="165"/>
    </row>
    <row r="746" ht="15.75" customHeight="1">
      <c r="B746" s="6"/>
      <c r="E746" s="165"/>
    </row>
    <row r="747" ht="15.75" customHeight="1">
      <c r="B747" s="6"/>
      <c r="E747" s="165"/>
    </row>
    <row r="748" ht="15.75" customHeight="1">
      <c r="B748" s="6"/>
      <c r="E748" s="165"/>
    </row>
    <row r="749" ht="15.75" customHeight="1">
      <c r="B749" s="6"/>
      <c r="E749" s="165"/>
    </row>
    <row r="750" ht="15.75" customHeight="1">
      <c r="B750" s="6"/>
      <c r="E750" s="165"/>
    </row>
    <row r="751" ht="15.75" customHeight="1">
      <c r="B751" s="6"/>
      <c r="E751" s="165"/>
    </row>
    <row r="752" ht="15.75" customHeight="1">
      <c r="B752" s="6"/>
      <c r="E752" s="165"/>
    </row>
    <row r="753" ht="15.75" customHeight="1">
      <c r="B753" s="6"/>
      <c r="E753" s="165"/>
    </row>
    <row r="754" ht="15.75" customHeight="1">
      <c r="B754" s="6"/>
      <c r="E754" s="165"/>
    </row>
    <row r="755" ht="15.75" customHeight="1">
      <c r="B755" s="6"/>
      <c r="E755" s="165"/>
    </row>
    <row r="756" ht="15.75" customHeight="1">
      <c r="B756" s="6"/>
      <c r="E756" s="165"/>
    </row>
    <row r="757" ht="15.75" customHeight="1">
      <c r="B757" s="6"/>
      <c r="E757" s="165"/>
    </row>
    <row r="758" ht="15.75" customHeight="1">
      <c r="B758" s="6"/>
      <c r="E758" s="165"/>
    </row>
    <row r="759" ht="15.75" customHeight="1">
      <c r="B759" s="6"/>
      <c r="E759" s="165"/>
    </row>
    <row r="760" ht="15.75" customHeight="1">
      <c r="B760" s="6"/>
      <c r="E760" s="165"/>
    </row>
    <row r="761" ht="15.75" customHeight="1">
      <c r="B761" s="6"/>
      <c r="E761" s="165"/>
    </row>
    <row r="762" ht="15.75" customHeight="1">
      <c r="B762" s="6"/>
      <c r="E762" s="165"/>
    </row>
    <row r="763" ht="15.75" customHeight="1">
      <c r="B763" s="6"/>
      <c r="E763" s="165"/>
    </row>
    <row r="764" ht="15.75" customHeight="1">
      <c r="B764" s="6"/>
      <c r="E764" s="165"/>
    </row>
    <row r="765" ht="15.75" customHeight="1">
      <c r="B765" s="6"/>
      <c r="E765" s="165"/>
    </row>
    <row r="766" ht="15.75" customHeight="1">
      <c r="B766" s="6"/>
      <c r="E766" s="165"/>
    </row>
    <row r="767" ht="15.75" customHeight="1">
      <c r="B767" s="6"/>
      <c r="E767" s="165"/>
    </row>
    <row r="768" ht="15.75" customHeight="1">
      <c r="B768" s="6"/>
      <c r="E768" s="165"/>
    </row>
    <row r="769" ht="15.75" customHeight="1">
      <c r="B769" s="6"/>
      <c r="E769" s="165"/>
    </row>
    <row r="770" ht="15.75" customHeight="1">
      <c r="B770" s="6"/>
      <c r="E770" s="165"/>
    </row>
    <row r="771" ht="15.75" customHeight="1">
      <c r="B771" s="6"/>
      <c r="E771" s="165"/>
    </row>
    <row r="772" ht="15.75" customHeight="1">
      <c r="B772" s="6"/>
      <c r="E772" s="165"/>
    </row>
    <row r="773" ht="15.75" customHeight="1">
      <c r="B773" s="6"/>
      <c r="E773" s="165"/>
    </row>
    <row r="774" ht="15.75" customHeight="1">
      <c r="B774" s="6"/>
      <c r="E774" s="165"/>
    </row>
    <row r="775" ht="15.75" customHeight="1">
      <c r="B775" s="6"/>
      <c r="E775" s="165"/>
    </row>
    <row r="776" ht="15.75" customHeight="1">
      <c r="B776" s="6"/>
      <c r="E776" s="165"/>
    </row>
    <row r="777" ht="15.75" customHeight="1">
      <c r="B777" s="6"/>
      <c r="E777" s="165"/>
    </row>
    <row r="778" ht="15.75" customHeight="1">
      <c r="B778" s="6"/>
      <c r="E778" s="165"/>
    </row>
    <row r="779" ht="15.75" customHeight="1">
      <c r="B779" s="6"/>
      <c r="E779" s="165"/>
    </row>
    <row r="780" ht="15.75" customHeight="1">
      <c r="B780" s="6"/>
      <c r="E780" s="165"/>
    </row>
    <row r="781" ht="15.75" customHeight="1">
      <c r="B781" s="6"/>
      <c r="E781" s="165"/>
    </row>
    <row r="782" ht="15.75" customHeight="1">
      <c r="B782" s="6"/>
      <c r="E782" s="165"/>
    </row>
    <row r="783" ht="15.75" customHeight="1">
      <c r="B783" s="6"/>
      <c r="E783" s="165"/>
    </row>
    <row r="784" ht="15.75" customHeight="1">
      <c r="B784" s="6"/>
      <c r="E784" s="165"/>
    </row>
    <row r="785" ht="15.75" customHeight="1">
      <c r="B785" s="6"/>
      <c r="E785" s="165"/>
    </row>
    <row r="786" ht="15.75" customHeight="1">
      <c r="B786" s="6"/>
      <c r="E786" s="165"/>
    </row>
    <row r="787" ht="15.75" customHeight="1">
      <c r="B787" s="6"/>
      <c r="E787" s="165"/>
    </row>
    <row r="788" ht="15.75" customHeight="1">
      <c r="B788" s="6"/>
      <c r="E788" s="165"/>
    </row>
    <row r="789" ht="15.75" customHeight="1">
      <c r="B789" s="6"/>
      <c r="E789" s="165"/>
    </row>
    <row r="790" ht="15.75" customHeight="1">
      <c r="B790" s="6"/>
      <c r="E790" s="165"/>
    </row>
    <row r="791" ht="15.75" customHeight="1">
      <c r="B791" s="6"/>
      <c r="E791" s="165"/>
    </row>
    <row r="792" ht="15.75" customHeight="1">
      <c r="B792" s="6"/>
      <c r="E792" s="165"/>
    </row>
    <row r="793" ht="15.75" customHeight="1">
      <c r="B793" s="6"/>
      <c r="E793" s="165"/>
    </row>
    <row r="794" ht="15.75" customHeight="1">
      <c r="B794" s="6"/>
      <c r="E794" s="165"/>
    </row>
    <row r="795" ht="15.75" customHeight="1">
      <c r="B795" s="6"/>
      <c r="E795" s="165"/>
    </row>
    <row r="796" ht="15.75" customHeight="1">
      <c r="B796" s="6"/>
      <c r="E796" s="165"/>
    </row>
    <row r="797" ht="15.75" customHeight="1">
      <c r="B797" s="6"/>
      <c r="E797" s="165"/>
    </row>
    <row r="798" ht="15.75" customHeight="1">
      <c r="B798" s="6"/>
      <c r="E798" s="165"/>
    </row>
    <row r="799" ht="15.75" customHeight="1">
      <c r="B799" s="6"/>
      <c r="E799" s="165"/>
    </row>
    <row r="800" ht="15.75" customHeight="1">
      <c r="B800" s="6"/>
      <c r="E800" s="165"/>
    </row>
    <row r="801" ht="15.75" customHeight="1">
      <c r="B801" s="6"/>
      <c r="E801" s="165"/>
    </row>
    <row r="802" ht="15.75" customHeight="1">
      <c r="B802" s="6"/>
      <c r="E802" s="165"/>
    </row>
    <row r="803" ht="15.75" customHeight="1">
      <c r="B803" s="6"/>
      <c r="E803" s="165"/>
    </row>
    <row r="804" ht="15.75" customHeight="1">
      <c r="B804" s="6"/>
      <c r="E804" s="165"/>
    </row>
    <row r="805" ht="15.75" customHeight="1">
      <c r="B805" s="6"/>
      <c r="E805" s="165"/>
    </row>
    <row r="806" ht="15.75" customHeight="1">
      <c r="B806" s="6"/>
      <c r="E806" s="165"/>
    </row>
    <row r="807" ht="15.75" customHeight="1">
      <c r="B807" s="6"/>
      <c r="E807" s="165"/>
    </row>
    <row r="808" ht="15.75" customHeight="1">
      <c r="B808" s="6"/>
      <c r="E808" s="165"/>
    </row>
    <row r="809" ht="15.75" customHeight="1">
      <c r="B809" s="6"/>
      <c r="E809" s="165"/>
    </row>
    <row r="810" ht="15.75" customHeight="1">
      <c r="B810" s="6"/>
      <c r="E810" s="165"/>
    </row>
    <row r="811" ht="15.75" customHeight="1">
      <c r="B811" s="6"/>
      <c r="E811" s="165"/>
    </row>
    <row r="812" ht="15.75" customHeight="1">
      <c r="B812" s="6"/>
      <c r="E812" s="165"/>
    </row>
    <row r="813" ht="15.75" customHeight="1">
      <c r="B813" s="6"/>
      <c r="E813" s="165"/>
    </row>
    <row r="814" ht="15.75" customHeight="1">
      <c r="B814" s="6"/>
      <c r="E814" s="165"/>
    </row>
    <row r="815" ht="15.75" customHeight="1">
      <c r="B815" s="6"/>
      <c r="E815" s="165"/>
    </row>
    <row r="816" ht="15.75" customHeight="1">
      <c r="B816" s="6"/>
      <c r="E816" s="165"/>
    </row>
    <row r="817" ht="15.75" customHeight="1">
      <c r="B817" s="6"/>
      <c r="E817" s="165"/>
    </row>
    <row r="818" ht="15.75" customHeight="1">
      <c r="B818" s="6"/>
      <c r="E818" s="165"/>
    </row>
    <row r="819" ht="15.75" customHeight="1">
      <c r="B819" s="6"/>
      <c r="E819" s="165"/>
    </row>
    <row r="820" ht="15.75" customHeight="1">
      <c r="B820" s="6"/>
      <c r="E820" s="165"/>
    </row>
    <row r="821" ht="15.75" customHeight="1">
      <c r="B821" s="6"/>
      <c r="E821" s="165"/>
    </row>
    <row r="822" ht="15.75" customHeight="1">
      <c r="B822" s="6"/>
      <c r="E822" s="165"/>
    </row>
    <row r="823" ht="15.75" customHeight="1">
      <c r="B823" s="6"/>
      <c r="E823" s="165"/>
    </row>
    <row r="824" ht="15.75" customHeight="1">
      <c r="B824" s="6"/>
      <c r="E824" s="165"/>
    </row>
    <row r="825" ht="15.75" customHeight="1">
      <c r="B825" s="6"/>
      <c r="E825" s="165"/>
    </row>
    <row r="826" ht="15.75" customHeight="1">
      <c r="B826" s="6"/>
      <c r="E826" s="165"/>
    </row>
    <row r="827" ht="15.75" customHeight="1">
      <c r="B827" s="6"/>
      <c r="E827" s="165"/>
    </row>
    <row r="828" ht="15.75" customHeight="1">
      <c r="B828" s="6"/>
      <c r="E828" s="165"/>
    </row>
    <row r="829" ht="15.75" customHeight="1">
      <c r="B829" s="6"/>
      <c r="E829" s="165"/>
    </row>
    <row r="830" ht="15.75" customHeight="1">
      <c r="B830" s="6"/>
      <c r="E830" s="165"/>
    </row>
    <row r="831" ht="15.75" customHeight="1">
      <c r="B831" s="6"/>
      <c r="E831" s="165"/>
    </row>
    <row r="832" ht="15.75" customHeight="1">
      <c r="B832" s="6"/>
      <c r="E832" s="165"/>
    </row>
    <row r="833" ht="15.75" customHeight="1">
      <c r="B833" s="6"/>
      <c r="E833" s="165"/>
    </row>
    <row r="834" ht="15.75" customHeight="1">
      <c r="B834" s="6"/>
      <c r="E834" s="165"/>
    </row>
    <row r="835" ht="15.75" customHeight="1">
      <c r="B835" s="6"/>
      <c r="E835" s="165"/>
    </row>
    <row r="836" ht="15.75" customHeight="1">
      <c r="B836" s="6"/>
      <c r="E836" s="165"/>
    </row>
    <row r="837" ht="15.75" customHeight="1">
      <c r="B837" s="6"/>
      <c r="E837" s="165"/>
    </row>
    <row r="838" ht="15.75" customHeight="1">
      <c r="B838" s="6"/>
      <c r="E838" s="165"/>
    </row>
    <row r="839" ht="15.75" customHeight="1">
      <c r="B839" s="6"/>
      <c r="E839" s="165"/>
    </row>
    <row r="840" ht="15.75" customHeight="1">
      <c r="B840" s="6"/>
      <c r="E840" s="165"/>
    </row>
    <row r="841" ht="15.75" customHeight="1">
      <c r="B841" s="6"/>
      <c r="E841" s="165"/>
    </row>
    <row r="842" ht="15.75" customHeight="1">
      <c r="B842" s="6"/>
      <c r="E842" s="165"/>
    </row>
    <row r="843" ht="15.75" customHeight="1">
      <c r="B843" s="6"/>
      <c r="E843" s="165"/>
    </row>
    <row r="844" ht="15.75" customHeight="1">
      <c r="B844" s="6"/>
      <c r="E844" s="165"/>
    </row>
    <row r="845" ht="15.75" customHeight="1">
      <c r="B845" s="6"/>
      <c r="E845" s="165"/>
    </row>
    <row r="846" ht="15.75" customHeight="1">
      <c r="B846" s="6"/>
      <c r="E846" s="165"/>
    </row>
    <row r="847" ht="15.75" customHeight="1">
      <c r="B847" s="6"/>
      <c r="E847" s="165"/>
    </row>
    <row r="848" ht="15.75" customHeight="1">
      <c r="B848" s="6"/>
      <c r="E848" s="165"/>
    </row>
    <row r="849" ht="15.75" customHeight="1">
      <c r="B849" s="6"/>
      <c r="E849" s="165"/>
    </row>
    <row r="850" ht="15.75" customHeight="1">
      <c r="B850" s="6"/>
      <c r="E850" s="165"/>
    </row>
    <row r="851" ht="15.75" customHeight="1">
      <c r="B851" s="6"/>
      <c r="E851" s="165"/>
    </row>
    <row r="852" ht="15.75" customHeight="1">
      <c r="B852" s="6"/>
      <c r="E852" s="165"/>
    </row>
    <row r="853" ht="15.75" customHeight="1">
      <c r="B853" s="6"/>
      <c r="E853" s="165"/>
    </row>
    <row r="854" ht="15.75" customHeight="1">
      <c r="B854" s="6"/>
      <c r="E854" s="165"/>
    </row>
    <row r="855" ht="15.75" customHeight="1">
      <c r="B855" s="6"/>
      <c r="E855" s="165"/>
    </row>
    <row r="856" ht="15.75" customHeight="1">
      <c r="B856" s="6"/>
      <c r="E856" s="165"/>
    </row>
    <row r="857" ht="15.75" customHeight="1">
      <c r="B857" s="6"/>
      <c r="E857" s="165"/>
    </row>
    <row r="858" ht="15.75" customHeight="1">
      <c r="B858" s="6"/>
      <c r="E858" s="165"/>
    </row>
    <row r="859" ht="15.75" customHeight="1">
      <c r="B859" s="6"/>
      <c r="E859" s="165"/>
    </row>
    <row r="860" ht="15.75" customHeight="1">
      <c r="B860" s="6"/>
      <c r="E860" s="165"/>
    </row>
    <row r="861" ht="15.75" customHeight="1">
      <c r="B861" s="6"/>
      <c r="E861" s="165"/>
    </row>
    <row r="862" ht="15.75" customHeight="1">
      <c r="B862" s="6"/>
      <c r="E862" s="165"/>
    </row>
    <row r="863" ht="15.75" customHeight="1">
      <c r="B863" s="6"/>
      <c r="E863" s="165"/>
    </row>
    <row r="864" ht="15.75" customHeight="1">
      <c r="B864" s="6"/>
      <c r="E864" s="165"/>
    </row>
    <row r="865" ht="15.75" customHeight="1">
      <c r="B865" s="6"/>
      <c r="E865" s="165"/>
    </row>
    <row r="866" ht="15.75" customHeight="1">
      <c r="B866" s="6"/>
      <c r="E866" s="165"/>
    </row>
    <row r="867" ht="15.75" customHeight="1">
      <c r="B867" s="6"/>
      <c r="E867" s="165"/>
    </row>
    <row r="868" ht="15.75" customHeight="1">
      <c r="B868" s="6"/>
      <c r="E868" s="165"/>
    </row>
    <row r="869" ht="15.75" customHeight="1">
      <c r="B869" s="6"/>
      <c r="E869" s="165"/>
    </row>
    <row r="870" ht="15.75" customHeight="1">
      <c r="B870" s="6"/>
      <c r="E870" s="165"/>
    </row>
    <row r="871" ht="15.75" customHeight="1">
      <c r="B871" s="6"/>
      <c r="E871" s="165"/>
    </row>
    <row r="872" ht="15.75" customHeight="1">
      <c r="B872" s="6"/>
      <c r="E872" s="165"/>
    </row>
    <row r="873" ht="15.75" customHeight="1">
      <c r="B873" s="6"/>
      <c r="E873" s="165"/>
    </row>
    <row r="874" ht="15.75" customHeight="1">
      <c r="B874" s="6"/>
      <c r="E874" s="165"/>
    </row>
    <row r="875" ht="15.75" customHeight="1">
      <c r="B875" s="6"/>
      <c r="E875" s="165"/>
    </row>
    <row r="876" ht="15.75" customHeight="1">
      <c r="B876" s="6"/>
      <c r="E876" s="165"/>
    </row>
    <row r="877" ht="15.75" customHeight="1">
      <c r="B877" s="6"/>
      <c r="E877" s="165"/>
    </row>
    <row r="878" ht="15.75" customHeight="1">
      <c r="B878" s="6"/>
      <c r="E878" s="165"/>
    </row>
    <row r="879" ht="15.75" customHeight="1">
      <c r="B879" s="6"/>
      <c r="E879" s="165"/>
    </row>
    <row r="880" ht="15.75" customHeight="1">
      <c r="B880" s="6"/>
      <c r="E880" s="165"/>
    </row>
    <row r="881" ht="15.75" customHeight="1">
      <c r="B881" s="6"/>
      <c r="E881" s="165"/>
    </row>
    <row r="882" ht="15.75" customHeight="1">
      <c r="B882" s="6"/>
      <c r="E882" s="165"/>
    </row>
    <row r="883" ht="15.75" customHeight="1">
      <c r="B883" s="6"/>
      <c r="E883" s="165"/>
    </row>
    <row r="884" ht="15.75" customHeight="1">
      <c r="B884" s="6"/>
      <c r="E884" s="165"/>
    </row>
    <row r="885" ht="15.75" customHeight="1">
      <c r="B885" s="6"/>
      <c r="E885" s="165"/>
    </row>
    <row r="886" ht="15.75" customHeight="1">
      <c r="B886" s="6"/>
      <c r="E886" s="165"/>
    </row>
    <row r="887" ht="15.75" customHeight="1">
      <c r="B887" s="6"/>
      <c r="E887" s="165"/>
    </row>
    <row r="888" ht="15.75" customHeight="1">
      <c r="B888" s="6"/>
      <c r="E888" s="165"/>
    </row>
    <row r="889" ht="15.75" customHeight="1">
      <c r="B889" s="6"/>
      <c r="E889" s="165"/>
    </row>
    <row r="890" ht="15.75" customHeight="1">
      <c r="B890" s="6"/>
      <c r="E890" s="165"/>
    </row>
    <row r="891" ht="15.75" customHeight="1">
      <c r="B891" s="6"/>
      <c r="E891" s="165"/>
    </row>
    <row r="892" ht="15.75" customHeight="1">
      <c r="B892" s="6"/>
      <c r="E892" s="165"/>
    </row>
    <row r="893" ht="15.75" customHeight="1">
      <c r="B893" s="6"/>
      <c r="E893" s="165"/>
    </row>
    <row r="894" ht="15.75" customHeight="1">
      <c r="B894" s="6"/>
      <c r="E894" s="165"/>
    </row>
    <row r="895" ht="15.75" customHeight="1">
      <c r="B895" s="6"/>
      <c r="E895" s="165"/>
    </row>
    <row r="896" ht="15.75" customHeight="1">
      <c r="B896" s="6"/>
      <c r="E896" s="165"/>
    </row>
    <row r="897" ht="15.75" customHeight="1">
      <c r="B897" s="6"/>
      <c r="E897" s="165"/>
    </row>
    <row r="898" ht="15.75" customHeight="1">
      <c r="B898" s="6"/>
      <c r="E898" s="165"/>
    </row>
    <row r="899" ht="15.75" customHeight="1">
      <c r="B899" s="6"/>
      <c r="E899" s="165"/>
    </row>
    <row r="900" ht="15.75" customHeight="1">
      <c r="B900" s="6"/>
      <c r="E900" s="165"/>
    </row>
    <row r="901" ht="15.75" customHeight="1">
      <c r="B901" s="6"/>
      <c r="E901" s="165"/>
    </row>
    <row r="902" ht="15.75" customHeight="1">
      <c r="B902" s="6"/>
      <c r="E902" s="165"/>
    </row>
    <row r="903" ht="15.75" customHeight="1">
      <c r="B903" s="6"/>
      <c r="E903" s="165"/>
    </row>
    <row r="904" ht="15.75" customHeight="1">
      <c r="B904" s="6"/>
      <c r="E904" s="165"/>
    </row>
    <row r="905" ht="15.75" customHeight="1">
      <c r="B905" s="6"/>
      <c r="E905" s="165"/>
    </row>
    <row r="906" ht="15.75" customHeight="1">
      <c r="B906" s="6"/>
      <c r="E906" s="165"/>
    </row>
    <row r="907" ht="15.75" customHeight="1">
      <c r="B907" s="6"/>
      <c r="E907" s="165"/>
    </row>
    <row r="908" ht="15.75" customHeight="1">
      <c r="B908" s="6"/>
      <c r="E908" s="165"/>
    </row>
    <row r="909" ht="15.75" customHeight="1">
      <c r="B909" s="6"/>
      <c r="E909" s="165"/>
    </row>
    <row r="910" ht="15.75" customHeight="1">
      <c r="B910" s="6"/>
      <c r="E910" s="165"/>
    </row>
    <row r="911" ht="15.75" customHeight="1">
      <c r="B911" s="6"/>
      <c r="E911" s="165"/>
    </row>
    <row r="912" ht="15.75" customHeight="1">
      <c r="B912" s="6"/>
      <c r="E912" s="165"/>
    </row>
    <row r="913" ht="15.75" customHeight="1">
      <c r="B913" s="6"/>
      <c r="E913" s="165"/>
    </row>
    <row r="914" ht="15.75" customHeight="1">
      <c r="B914" s="6"/>
      <c r="E914" s="165"/>
    </row>
    <row r="915" ht="15.75" customHeight="1">
      <c r="B915" s="6"/>
      <c r="E915" s="165"/>
    </row>
    <row r="916" ht="15.75" customHeight="1">
      <c r="B916" s="6"/>
      <c r="E916" s="165"/>
    </row>
    <row r="917" ht="15.75" customHeight="1">
      <c r="B917" s="6"/>
      <c r="E917" s="165"/>
    </row>
    <row r="918" ht="15.75" customHeight="1">
      <c r="B918" s="6"/>
      <c r="E918" s="165"/>
    </row>
    <row r="919" ht="15.75" customHeight="1">
      <c r="B919" s="6"/>
      <c r="E919" s="165"/>
    </row>
    <row r="920" ht="15.75" customHeight="1">
      <c r="B920" s="6"/>
      <c r="E920" s="165"/>
    </row>
    <row r="921" ht="15.75" customHeight="1">
      <c r="B921" s="6"/>
      <c r="E921" s="165"/>
    </row>
    <row r="922" ht="15.75" customHeight="1">
      <c r="B922" s="6"/>
      <c r="E922" s="165"/>
    </row>
    <row r="923" ht="15.75" customHeight="1">
      <c r="B923" s="6"/>
      <c r="E923" s="165"/>
    </row>
    <row r="924" ht="15.75" customHeight="1">
      <c r="B924" s="6"/>
      <c r="E924" s="165"/>
    </row>
    <row r="925" ht="15.75" customHeight="1">
      <c r="B925" s="6"/>
      <c r="E925" s="165"/>
    </row>
    <row r="926" ht="15.75" customHeight="1">
      <c r="B926" s="6"/>
      <c r="E926" s="165"/>
    </row>
    <row r="927" ht="15.75" customHeight="1">
      <c r="B927" s="6"/>
      <c r="E927" s="165"/>
    </row>
    <row r="928" ht="15.75" customHeight="1">
      <c r="B928" s="6"/>
      <c r="E928" s="165"/>
    </row>
    <row r="929" ht="15.75" customHeight="1">
      <c r="B929" s="6"/>
      <c r="E929" s="165"/>
    </row>
    <row r="930" ht="15.75" customHeight="1">
      <c r="B930" s="6"/>
      <c r="E930" s="165"/>
    </row>
    <row r="931" ht="15.75" customHeight="1">
      <c r="B931" s="6"/>
      <c r="E931" s="165"/>
    </row>
    <row r="932" ht="15.75" customHeight="1">
      <c r="B932" s="6"/>
      <c r="E932" s="165"/>
    </row>
    <row r="933" ht="15.75" customHeight="1">
      <c r="B933" s="6"/>
      <c r="E933" s="165"/>
    </row>
    <row r="934" ht="15.75" customHeight="1">
      <c r="B934" s="6"/>
      <c r="E934" s="165"/>
    </row>
    <row r="935" ht="15.75" customHeight="1">
      <c r="B935" s="6"/>
      <c r="E935" s="165"/>
    </row>
    <row r="936" ht="15.75" customHeight="1">
      <c r="B936" s="6"/>
      <c r="E936" s="165"/>
    </row>
    <row r="937" ht="15.75" customHeight="1">
      <c r="B937" s="6"/>
      <c r="E937" s="165"/>
    </row>
    <row r="938" ht="15.75" customHeight="1">
      <c r="B938" s="6"/>
      <c r="E938" s="165"/>
    </row>
    <row r="939" ht="15.75" customHeight="1">
      <c r="B939" s="6"/>
      <c r="E939" s="165"/>
    </row>
    <row r="940" ht="15.75" customHeight="1">
      <c r="B940" s="6"/>
      <c r="E940" s="165"/>
    </row>
    <row r="941" ht="15.75" customHeight="1">
      <c r="B941" s="6"/>
      <c r="E941" s="165"/>
    </row>
    <row r="942" ht="15.75" customHeight="1">
      <c r="B942" s="6"/>
      <c r="E942" s="165"/>
    </row>
    <row r="943" ht="15.75" customHeight="1">
      <c r="B943" s="6"/>
      <c r="E943" s="165"/>
    </row>
    <row r="944" ht="15.75" customHeight="1">
      <c r="B944" s="6"/>
      <c r="E944" s="165"/>
    </row>
    <row r="945" ht="15.75" customHeight="1">
      <c r="B945" s="6"/>
      <c r="E945" s="165"/>
    </row>
    <row r="946" ht="15.75" customHeight="1">
      <c r="B946" s="6"/>
      <c r="E946" s="165"/>
    </row>
    <row r="947" ht="15.75" customHeight="1">
      <c r="B947" s="6"/>
      <c r="E947" s="165"/>
    </row>
    <row r="948" ht="15.75" customHeight="1">
      <c r="B948" s="6"/>
      <c r="E948" s="165"/>
    </row>
    <row r="949" ht="15.75" customHeight="1">
      <c r="B949" s="6"/>
      <c r="E949" s="165"/>
    </row>
    <row r="950" ht="15.75" customHeight="1">
      <c r="B950" s="6"/>
      <c r="E950" s="165"/>
    </row>
    <row r="951" ht="15.75" customHeight="1">
      <c r="B951" s="6"/>
      <c r="E951" s="165"/>
    </row>
    <row r="952" ht="15.75" customHeight="1">
      <c r="B952" s="6"/>
      <c r="E952" s="165"/>
    </row>
    <row r="953" ht="15.75" customHeight="1">
      <c r="B953" s="6"/>
      <c r="E953" s="165"/>
    </row>
    <row r="954" ht="15.75" customHeight="1">
      <c r="B954" s="6"/>
      <c r="E954" s="165"/>
    </row>
    <row r="955" ht="15.75" customHeight="1">
      <c r="B955" s="6"/>
      <c r="E955" s="165"/>
    </row>
    <row r="956" ht="15.75" customHeight="1">
      <c r="B956" s="6"/>
      <c r="E956" s="165"/>
    </row>
    <row r="957" ht="15.75" customHeight="1">
      <c r="B957" s="6"/>
      <c r="E957" s="165"/>
    </row>
    <row r="958" ht="15.75" customHeight="1">
      <c r="B958" s="6"/>
      <c r="E958" s="165"/>
    </row>
    <row r="959" ht="15.75" customHeight="1">
      <c r="B959" s="6"/>
      <c r="E959" s="165"/>
    </row>
    <row r="960" ht="15.75" customHeight="1">
      <c r="B960" s="6"/>
      <c r="E960" s="165"/>
    </row>
    <row r="961" ht="15.75" customHeight="1">
      <c r="B961" s="6"/>
      <c r="E961" s="165"/>
    </row>
    <row r="962" ht="15.75" customHeight="1">
      <c r="B962" s="6"/>
      <c r="E962" s="165"/>
    </row>
    <row r="963" ht="15.75" customHeight="1">
      <c r="B963" s="6"/>
      <c r="E963" s="165"/>
    </row>
    <row r="964" ht="15.75" customHeight="1">
      <c r="B964" s="6"/>
      <c r="E964" s="165"/>
    </row>
    <row r="965" ht="15.75" customHeight="1">
      <c r="B965" s="6"/>
      <c r="E965" s="165"/>
    </row>
    <row r="966" ht="15.75" customHeight="1">
      <c r="B966" s="6"/>
      <c r="E966" s="165"/>
    </row>
    <row r="967" ht="15.75" customHeight="1">
      <c r="B967" s="6"/>
      <c r="E967" s="165"/>
    </row>
    <row r="968" ht="15.75" customHeight="1">
      <c r="B968" s="6"/>
      <c r="E968" s="165"/>
    </row>
    <row r="969" ht="15.75" customHeight="1">
      <c r="B969" s="6"/>
      <c r="E969" s="165"/>
    </row>
    <row r="970" ht="15.75" customHeight="1">
      <c r="B970" s="6"/>
      <c r="E970" s="165"/>
    </row>
    <row r="971" ht="15.75" customHeight="1">
      <c r="B971" s="6"/>
      <c r="E971" s="165"/>
    </row>
    <row r="972" ht="15.75" customHeight="1">
      <c r="B972" s="6"/>
      <c r="E972" s="165"/>
    </row>
    <row r="973" ht="15.75" customHeight="1">
      <c r="B973" s="6"/>
      <c r="E973" s="165"/>
    </row>
    <row r="974" ht="15.75" customHeight="1">
      <c r="B974" s="6"/>
      <c r="E974" s="165"/>
    </row>
    <row r="975" ht="15.75" customHeight="1">
      <c r="B975" s="6"/>
      <c r="E975" s="165"/>
    </row>
    <row r="976" ht="15.75" customHeight="1">
      <c r="B976" s="6"/>
      <c r="E976" s="165"/>
    </row>
    <row r="977" ht="15.75" customHeight="1">
      <c r="B977" s="6"/>
      <c r="E977" s="165"/>
    </row>
    <row r="978" ht="15.75" customHeight="1">
      <c r="B978" s="6"/>
      <c r="E978" s="165"/>
    </row>
    <row r="979" ht="15.75" customHeight="1">
      <c r="B979" s="6"/>
      <c r="E979" s="165"/>
    </row>
    <row r="980" ht="15.75" customHeight="1">
      <c r="B980" s="6"/>
      <c r="E980" s="165"/>
    </row>
    <row r="981" ht="15.75" customHeight="1">
      <c r="B981" s="6"/>
      <c r="E981" s="165"/>
    </row>
    <row r="982" ht="15.75" customHeight="1">
      <c r="B982" s="6"/>
      <c r="E982" s="165"/>
    </row>
    <row r="983" ht="15.75" customHeight="1">
      <c r="B983" s="6"/>
      <c r="E983" s="165"/>
    </row>
    <row r="984" ht="15.75" customHeight="1">
      <c r="B984" s="6"/>
      <c r="E984" s="165"/>
    </row>
    <row r="985" ht="15.75" customHeight="1">
      <c r="B985" s="6"/>
      <c r="E985" s="165"/>
    </row>
    <row r="986" ht="15.75" customHeight="1">
      <c r="B986" s="6"/>
      <c r="E986" s="165"/>
    </row>
    <row r="987" ht="15.75" customHeight="1">
      <c r="B987" s="6"/>
      <c r="E987" s="165"/>
    </row>
    <row r="988" ht="15.75" customHeight="1">
      <c r="B988" s="6"/>
      <c r="E988" s="165"/>
    </row>
    <row r="989" ht="15.75" customHeight="1">
      <c r="B989" s="6"/>
      <c r="E989" s="165"/>
    </row>
    <row r="990" ht="15.75" customHeight="1">
      <c r="B990" s="6"/>
      <c r="E990" s="165"/>
    </row>
    <row r="991" ht="15.75" customHeight="1">
      <c r="B991" s="6"/>
      <c r="E991" s="165"/>
    </row>
    <row r="992" ht="15.75" customHeight="1">
      <c r="B992" s="6"/>
      <c r="E992" s="165"/>
    </row>
    <row r="993" ht="15.75" customHeight="1">
      <c r="B993" s="6"/>
      <c r="E993" s="165"/>
    </row>
    <row r="994" ht="15.75" customHeight="1">
      <c r="B994" s="6"/>
      <c r="E994" s="165"/>
    </row>
    <row r="995" ht="15.75" customHeight="1">
      <c r="B995" s="6"/>
      <c r="E995" s="165"/>
    </row>
    <row r="996" ht="15.75" customHeight="1">
      <c r="B996" s="6"/>
      <c r="E996" s="165"/>
    </row>
    <row r="997" ht="15.75" customHeight="1">
      <c r="B997" s="6"/>
      <c r="E997" s="165"/>
    </row>
    <row r="998" ht="15.75" customHeight="1">
      <c r="B998" s="6"/>
      <c r="E998" s="165"/>
    </row>
    <row r="999" ht="15.75" customHeight="1">
      <c r="B999" s="6"/>
      <c r="E999" s="165"/>
    </row>
    <row r="1000" ht="15.75" customHeight="1">
      <c r="B1000" s="6"/>
      <c r="E1000" s="165"/>
    </row>
  </sheetData>
  <mergeCells count="130">
    <mergeCell ref="B30:C30"/>
    <mergeCell ref="B33:C33"/>
    <mergeCell ref="A18:A20"/>
    <mergeCell ref="A21:A23"/>
    <mergeCell ref="A24:A26"/>
    <mergeCell ref="B24:C24"/>
    <mergeCell ref="A27:A29"/>
    <mergeCell ref="B27:C27"/>
    <mergeCell ref="A30:A32"/>
    <mergeCell ref="A37:A41"/>
    <mergeCell ref="B37:C37"/>
    <mergeCell ref="A42:A45"/>
    <mergeCell ref="B42:C42"/>
    <mergeCell ref="A46:A49"/>
    <mergeCell ref="B46:C46"/>
    <mergeCell ref="B50:C50"/>
    <mergeCell ref="A86:A90"/>
    <mergeCell ref="A91:A95"/>
    <mergeCell ref="A101:A105"/>
    <mergeCell ref="A106:A110"/>
    <mergeCell ref="A111:A113"/>
    <mergeCell ref="A50:A53"/>
    <mergeCell ref="A55:A57"/>
    <mergeCell ref="A59:A62"/>
    <mergeCell ref="A63:A67"/>
    <mergeCell ref="A72:A74"/>
    <mergeCell ref="A77:A80"/>
    <mergeCell ref="A81:A85"/>
    <mergeCell ref="B91:C91"/>
    <mergeCell ref="B96:C96"/>
    <mergeCell ref="B101:C101"/>
    <mergeCell ref="B106:C106"/>
    <mergeCell ref="B55:C55"/>
    <mergeCell ref="B59:C59"/>
    <mergeCell ref="B63:C63"/>
    <mergeCell ref="B72:C72"/>
    <mergeCell ref="B77:C77"/>
    <mergeCell ref="B81:C81"/>
    <mergeCell ref="B86:C86"/>
    <mergeCell ref="I12:I14"/>
    <mergeCell ref="J12:J14"/>
    <mergeCell ref="H12:H14"/>
    <mergeCell ref="H15:H17"/>
    <mergeCell ref="I15:I17"/>
    <mergeCell ref="J15:J17"/>
    <mergeCell ref="G9:G11"/>
    <mergeCell ref="G18:G20"/>
    <mergeCell ref="G37:G41"/>
    <mergeCell ref="G42:G45"/>
    <mergeCell ref="A9:A11"/>
    <mergeCell ref="H9:H11"/>
    <mergeCell ref="I9:I11"/>
    <mergeCell ref="J9:J11"/>
    <mergeCell ref="A12:A14"/>
    <mergeCell ref="A15:A17"/>
    <mergeCell ref="J18:J20"/>
    <mergeCell ref="B21:C21"/>
    <mergeCell ref="H18:H20"/>
    <mergeCell ref="I18:I20"/>
    <mergeCell ref="H21:H23"/>
    <mergeCell ref="I21:I23"/>
    <mergeCell ref="J21:J23"/>
    <mergeCell ref="I24:I26"/>
    <mergeCell ref="J24:J26"/>
    <mergeCell ref="H24:H26"/>
    <mergeCell ref="H27:H29"/>
    <mergeCell ref="I27:I29"/>
    <mergeCell ref="J27:J29"/>
    <mergeCell ref="H30:H32"/>
    <mergeCell ref="I30:I32"/>
    <mergeCell ref="J30:J32"/>
    <mergeCell ref="H72:H74"/>
    <mergeCell ref="G77:G80"/>
    <mergeCell ref="H77:H80"/>
    <mergeCell ref="I77:I80"/>
    <mergeCell ref="J77:J80"/>
    <mergeCell ref="G81:G85"/>
    <mergeCell ref="H81:H85"/>
    <mergeCell ref="G86:G90"/>
    <mergeCell ref="H86:H90"/>
    <mergeCell ref="I86:I90"/>
    <mergeCell ref="J86:J90"/>
    <mergeCell ref="G91:G95"/>
    <mergeCell ref="I91:I95"/>
    <mergeCell ref="J91:J95"/>
    <mergeCell ref="H33:H36"/>
    <mergeCell ref="I33:I36"/>
    <mergeCell ref="J33:J36"/>
    <mergeCell ref="H37:H41"/>
    <mergeCell ref="I37:I41"/>
    <mergeCell ref="J37:J41"/>
    <mergeCell ref="H42:H45"/>
    <mergeCell ref="I50:I53"/>
    <mergeCell ref="J50:J53"/>
    <mergeCell ref="I42:I45"/>
    <mergeCell ref="J42:J45"/>
    <mergeCell ref="G46:G49"/>
    <mergeCell ref="H46:H49"/>
    <mergeCell ref="I46:I49"/>
    <mergeCell ref="J46:J49"/>
    <mergeCell ref="H50:H53"/>
    <mergeCell ref="H55:H57"/>
    <mergeCell ref="I55:I57"/>
    <mergeCell ref="J55:J57"/>
    <mergeCell ref="H59:H62"/>
    <mergeCell ref="I59:I62"/>
    <mergeCell ref="J59:J62"/>
    <mergeCell ref="G63:G67"/>
    <mergeCell ref="J63:J67"/>
    <mergeCell ref="H63:H67"/>
    <mergeCell ref="I63:I67"/>
    <mergeCell ref="H68:H71"/>
    <mergeCell ref="I68:I71"/>
    <mergeCell ref="J68:J71"/>
    <mergeCell ref="I72:I74"/>
    <mergeCell ref="J72:J74"/>
    <mergeCell ref="I81:I85"/>
    <mergeCell ref="J81:J85"/>
    <mergeCell ref="G106:G110"/>
    <mergeCell ref="H106:H110"/>
    <mergeCell ref="I106:I110"/>
    <mergeCell ref="J106:J110"/>
    <mergeCell ref="H111:H113"/>
    <mergeCell ref="H91:H95"/>
    <mergeCell ref="H96:H100"/>
    <mergeCell ref="I96:I100"/>
    <mergeCell ref="J96:J100"/>
    <mergeCell ref="H101:H105"/>
    <mergeCell ref="I101:I105"/>
    <mergeCell ref="J101:J105"/>
  </mergeCells>
  <hyperlinks>
    <hyperlink r:id="rId1" ref="E9"/>
    <hyperlink r:id="rId2" ref="E10"/>
    <hyperlink r:id="rId3" ref="E11"/>
    <hyperlink r:id="rId4" ref="E12"/>
    <hyperlink r:id="rId5" ref="E13"/>
    <hyperlink r:id="rId6" ref="E14"/>
    <hyperlink r:id="rId7" ref="E15"/>
    <hyperlink r:id="rId8" ref="E16"/>
    <hyperlink r:id="rId9" ref="E17"/>
    <hyperlink r:id="rId10" ref="E18"/>
    <hyperlink r:id="rId11" ref="E19"/>
    <hyperlink r:id="rId12" ref="E20"/>
    <hyperlink r:id="rId13" ref="E24"/>
    <hyperlink r:id="rId14" ref="E28"/>
    <hyperlink r:id="rId15" ref="E30"/>
    <hyperlink r:id="rId16" ref="E31"/>
    <hyperlink r:id="rId17" ref="E32"/>
    <hyperlink r:id="rId18" ref="E34"/>
    <hyperlink r:id="rId19" ref="E35"/>
    <hyperlink r:id="rId20" ref="E37"/>
    <hyperlink r:id="rId21" ref="E38"/>
    <hyperlink r:id="rId22" ref="E39"/>
    <hyperlink r:id="rId23" ref="E43"/>
    <hyperlink r:id="rId24" ref="E44"/>
    <hyperlink r:id="rId25" ref="E46"/>
    <hyperlink r:id="rId26" ref="E47"/>
    <hyperlink r:id="rId27" ref="E48"/>
    <hyperlink r:id="rId28" ref="E52"/>
    <hyperlink r:id="rId29" ref="E55"/>
    <hyperlink r:id="rId30" ref="E56"/>
    <hyperlink r:id="rId31" ref="E59"/>
    <hyperlink r:id="rId32" ref="E60"/>
    <hyperlink r:id="rId33" ref="E63"/>
    <hyperlink r:id="rId34" ref="E64"/>
    <hyperlink r:id="rId35" ref="E65"/>
    <hyperlink r:id="rId36" ref="E68"/>
    <hyperlink r:id="rId37" ref="E69"/>
    <hyperlink r:id="rId38" ref="E70"/>
    <hyperlink r:id="rId39" ref="E73"/>
    <hyperlink r:id="rId40" ref="E78"/>
    <hyperlink r:id="rId41" ref="E79"/>
    <hyperlink r:id="rId42" ref="E81"/>
    <hyperlink r:id="rId43" ref="E82"/>
    <hyperlink r:id="rId44" ref="E83"/>
    <hyperlink r:id="rId45" ref="E86"/>
    <hyperlink r:id="rId46" ref="E87"/>
    <hyperlink r:id="rId47" ref="E88"/>
    <hyperlink r:id="rId48" ref="E91"/>
    <hyperlink r:id="rId49" ref="E92"/>
    <hyperlink r:id="rId50" ref="E93"/>
    <hyperlink r:id="rId51" ref="E96"/>
    <hyperlink r:id="rId52" ref="E97"/>
    <hyperlink r:id="rId53" ref="E98"/>
    <hyperlink r:id="rId54" ref="E102"/>
    <hyperlink r:id="rId55" ref="E103"/>
    <hyperlink r:id="rId56" ref="E104"/>
    <hyperlink r:id="rId57" ref="E105"/>
    <hyperlink r:id="rId58" ref="E111"/>
    <hyperlink r:id="rId59" ref="E112"/>
    <hyperlink r:id="rId60" ref="E113"/>
  </hyperlinks>
  <printOptions gridLines="1" horizontalCentered="1"/>
  <pageMargins bottom="0.75" footer="0.0" header="0.0" left="1.25" right="0.25" top="0.75"/>
  <pageSetup fitToHeight="0" paperSize="5" orientation="landscape"/>
  <drawing r:id="rId6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showGridLines="0"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4.75"/>
    <col customWidth="1" min="2" max="2" width="59.0"/>
    <col customWidth="1" min="3" max="3" width="9.63"/>
    <col customWidth="1" min="4" max="4" width="17.25"/>
    <col customWidth="1" min="5" max="6" width="22.25"/>
    <col customWidth="1" min="7" max="8" width="58.5"/>
    <col customWidth="1" min="9" max="9" width="38.0"/>
    <col customWidth="1" min="10" max="10" width="34.25"/>
    <col customWidth="1" min="11" max="15" width="8.13"/>
    <col customWidth="1" min="16" max="30" width="12.63"/>
  </cols>
  <sheetData>
    <row r="1" ht="9.75" customHeight="1">
      <c r="A1" s="130"/>
      <c r="B1" s="2"/>
      <c r="C1" s="182"/>
      <c r="D1" s="182"/>
      <c r="E1" s="182"/>
      <c r="F1" s="182"/>
      <c r="G1" s="6"/>
      <c r="H1" s="6"/>
      <c r="I1" s="6"/>
      <c r="J1" s="6"/>
      <c r="K1" s="131"/>
      <c r="L1" s="131"/>
      <c r="M1" s="131"/>
      <c r="N1" s="131"/>
      <c r="O1" s="131"/>
      <c r="P1" s="6"/>
      <c r="Q1" s="6"/>
      <c r="R1" s="6"/>
      <c r="S1" s="6"/>
      <c r="T1" s="6"/>
      <c r="U1" s="6"/>
      <c r="V1" s="6"/>
      <c r="W1" s="6"/>
      <c r="X1" s="6"/>
      <c r="Y1" s="6"/>
      <c r="Z1" s="6"/>
      <c r="AA1" s="6"/>
      <c r="AB1" s="6"/>
      <c r="AC1" s="6"/>
      <c r="AD1" s="6"/>
    </row>
    <row r="2" ht="15.75" customHeight="1">
      <c r="A2" s="130"/>
      <c r="B2" s="2"/>
      <c r="C2" s="182"/>
      <c r="D2" s="182"/>
      <c r="E2" s="182"/>
      <c r="F2" s="182"/>
      <c r="G2" s="6"/>
      <c r="H2" s="6"/>
      <c r="I2" s="6"/>
      <c r="J2" s="6"/>
      <c r="K2" s="131"/>
      <c r="L2" s="131"/>
      <c r="M2" s="131"/>
      <c r="N2" s="131"/>
      <c r="O2" s="131"/>
      <c r="P2" s="6"/>
      <c r="Q2" s="6"/>
      <c r="R2" s="6"/>
      <c r="S2" s="6"/>
      <c r="T2" s="6"/>
      <c r="U2" s="6"/>
      <c r="V2" s="6"/>
      <c r="W2" s="6"/>
      <c r="X2" s="6"/>
      <c r="Y2" s="6"/>
      <c r="Z2" s="6"/>
      <c r="AA2" s="6"/>
      <c r="AB2" s="6"/>
      <c r="AC2" s="6"/>
      <c r="AD2" s="6"/>
    </row>
    <row r="3" ht="15.75" customHeight="1">
      <c r="A3" s="130"/>
      <c r="B3" s="2"/>
      <c r="C3" s="182"/>
      <c r="D3" s="182"/>
      <c r="E3" s="182"/>
      <c r="F3" s="182"/>
      <c r="G3" s="6"/>
      <c r="H3" s="6"/>
      <c r="I3" s="6"/>
      <c r="J3" s="6"/>
      <c r="K3" s="131"/>
      <c r="L3" s="131"/>
      <c r="M3" s="131"/>
      <c r="N3" s="131"/>
      <c r="O3" s="131"/>
      <c r="P3" s="6"/>
      <c r="Q3" s="6"/>
      <c r="R3" s="6"/>
      <c r="S3" s="6"/>
      <c r="T3" s="6"/>
      <c r="U3" s="6"/>
      <c r="V3" s="6"/>
      <c r="W3" s="6"/>
      <c r="X3" s="6"/>
      <c r="Y3" s="6"/>
      <c r="Z3" s="6"/>
      <c r="AA3" s="6"/>
      <c r="AB3" s="6"/>
      <c r="AC3" s="6"/>
      <c r="AD3" s="6"/>
    </row>
    <row r="4" ht="15.75" customHeight="1">
      <c r="A4" s="130"/>
      <c r="B4" s="2"/>
      <c r="C4" s="182"/>
      <c r="D4" s="182"/>
      <c r="E4" s="182"/>
      <c r="F4" s="182"/>
      <c r="G4" s="6"/>
      <c r="H4" s="6"/>
      <c r="I4" s="6"/>
      <c r="J4" s="6"/>
      <c r="K4" s="131"/>
      <c r="L4" s="131"/>
      <c r="M4" s="131"/>
      <c r="N4" s="131"/>
      <c r="O4" s="131"/>
      <c r="P4" s="6"/>
      <c r="Q4" s="6"/>
      <c r="R4" s="6"/>
      <c r="S4" s="6"/>
      <c r="T4" s="6"/>
      <c r="U4" s="6"/>
      <c r="V4" s="6"/>
      <c r="W4" s="6"/>
      <c r="X4" s="6"/>
      <c r="Y4" s="6"/>
      <c r="Z4" s="6"/>
      <c r="AA4" s="6"/>
      <c r="AB4" s="6"/>
      <c r="AC4" s="6"/>
      <c r="AD4" s="6"/>
    </row>
    <row r="5" ht="15.75" customHeight="1">
      <c r="A5" s="130"/>
      <c r="B5" s="2"/>
      <c r="C5" s="182"/>
      <c r="D5" s="182"/>
      <c r="E5" s="182"/>
      <c r="F5" s="182"/>
      <c r="G5" s="6"/>
      <c r="H5" s="6"/>
      <c r="I5" s="6"/>
      <c r="J5" s="6"/>
      <c r="K5" s="131"/>
      <c r="L5" s="131"/>
      <c r="M5" s="131"/>
      <c r="N5" s="131"/>
      <c r="O5" s="131"/>
      <c r="P5" s="6"/>
      <c r="Q5" s="6"/>
      <c r="R5" s="6"/>
      <c r="S5" s="6"/>
      <c r="T5" s="6"/>
      <c r="U5" s="6"/>
      <c r="V5" s="6"/>
      <c r="W5" s="6"/>
      <c r="X5" s="6"/>
      <c r="Y5" s="6"/>
      <c r="Z5" s="6"/>
      <c r="AA5" s="6"/>
      <c r="AB5" s="6"/>
      <c r="AC5" s="6"/>
      <c r="AD5" s="6"/>
    </row>
    <row r="6" ht="15.75" customHeight="1">
      <c r="A6" s="130"/>
      <c r="B6" s="2"/>
      <c r="C6" s="182"/>
      <c r="D6" s="182"/>
      <c r="E6" s="182"/>
      <c r="F6" s="182"/>
      <c r="G6" s="6"/>
      <c r="H6" s="6"/>
      <c r="I6" s="6"/>
      <c r="J6" s="6"/>
      <c r="K6" s="131"/>
      <c r="L6" s="131"/>
      <c r="M6" s="131"/>
      <c r="N6" s="131"/>
      <c r="O6" s="131"/>
      <c r="P6" s="6"/>
      <c r="Q6" s="6"/>
      <c r="R6" s="6"/>
      <c r="S6" s="6"/>
      <c r="T6" s="6"/>
      <c r="U6" s="6"/>
      <c r="V6" s="6"/>
      <c r="W6" s="6"/>
      <c r="X6" s="6"/>
      <c r="Y6" s="6"/>
      <c r="Z6" s="6"/>
      <c r="AA6" s="6"/>
      <c r="AB6" s="6"/>
      <c r="AC6" s="6"/>
      <c r="AD6" s="6"/>
    </row>
    <row r="7" ht="9.0" customHeight="1">
      <c r="A7" s="130"/>
      <c r="B7" s="7"/>
      <c r="C7" s="183"/>
      <c r="D7" s="183"/>
      <c r="E7" s="183"/>
      <c r="F7" s="183"/>
      <c r="G7" s="6"/>
      <c r="H7" s="6"/>
      <c r="I7" s="6"/>
      <c r="J7" s="6"/>
      <c r="K7" s="131"/>
      <c r="L7" s="131"/>
      <c r="M7" s="131"/>
      <c r="N7" s="131"/>
      <c r="O7" s="131"/>
      <c r="P7" s="6"/>
      <c r="Q7" s="6"/>
      <c r="R7" s="6"/>
      <c r="S7" s="6"/>
      <c r="T7" s="6"/>
      <c r="U7" s="6"/>
      <c r="V7" s="6"/>
      <c r="W7" s="6"/>
      <c r="X7" s="6"/>
      <c r="Y7" s="6"/>
      <c r="Z7" s="6"/>
      <c r="AA7" s="6"/>
      <c r="AB7" s="6"/>
      <c r="AC7" s="6"/>
      <c r="AD7" s="6"/>
    </row>
    <row r="8" ht="36.75" customHeight="1">
      <c r="A8" s="135" t="s">
        <v>0</v>
      </c>
      <c r="B8" s="12" t="s">
        <v>553</v>
      </c>
      <c r="C8" s="12" t="s">
        <v>2</v>
      </c>
      <c r="D8" s="12" t="s">
        <v>3</v>
      </c>
      <c r="E8" s="12" t="s">
        <v>4</v>
      </c>
      <c r="F8" s="12" t="s">
        <v>5</v>
      </c>
      <c r="G8" s="12" t="s">
        <v>6</v>
      </c>
      <c r="H8" s="12" t="s">
        <v>7</v>
      </c>
      <c r="I8" s="12" t="s">
        <v>8</v>
      </c>
      <c r="J8" s="12" t="s">
        <v>9</v>
      </c>
      <c r="K8" s="136"/>
      <c r="L8" s="136"/>
      <c r="M8" s="136"/>
      <c r="N8" s="136"/>
      <c r="O8" s="136"/>
      <c r="P8" s="6"/>
      <c r="Q8" s="6"/>
      <c r="R8" s="6"/>
      <c r="S8" s="6"/>
      <c r="T8" s="6"/>
      <c r="U8" s="6"/>
      <c r="V8" s="6"/>
      <c r="W8" s="6"/>
      <c r="X8" s="6"/>
      <c r="Y8" s="6"/>
      <c r="Z8" s="6"/>
      <c r="AA8" s="6"/>
      <c r="AB8" s="6"/>
      <c r="AC8" s="6"/>
      <c r="AD8" s="6"/>
    </row>
    <row r="9" ht="42.0" customHeight="1">
      <c r="A9" s="137">
        <v>1.0</v>
      </c>
      <c r="B9" s="148" t="s">
        <v>554</v>
      </c>
      <c r="C9" s="16"/>
      <c r="D9" s="184"/>
      <c r="E9" s="92"/>
      <c r="F9" s="184"/>
      <c r="G9" s="185"/>
      <c r="H9" s="186" t="s">
        <v>555</v>
      </c>
      <c r="I9" s="186" t="s">
        <v>556</v>
      </c>
      <c r="J9" s="186" t="s">
        <v>557</v>
      </c>
      <c r="K9" s="187"/>
      <c r="L9" s="187"/>
      <c r="M9" s="187"/>
      <c r="N9" s="187"/>
      <c r="O9" s="187"/>
      <c r="P9" s="188"/>
      <c r="Q9" s="188"/>
      <c r="R9" s="188"/>
      <c r="S9" s="188"/>
      <c r="T9" s="188"/>
      <c r="U9" s="188"/>
      <c r="V9" s="188"/>
      <c r="W9" s="188"/>
      <c r="X9" s="188"/>
      <c r="Y9" s="188"/>
      <c r="Z9" s="188"/>
      <c r="AA9" s="188"/>
      <c r="AB9" s="188"/>
      <c r="AC9" s="188"/>
      <c r="AD9" s="188"/>
    </row>
    <row r="10" ht="38.25" customHeight="1">
      <c r="A10" s="24"/>
      <c r="B10" s="19" t="s">
        <v>558</v>
      </c>
      <c r="C10" s="111">
        <v>100.0</v>
      </c>
      <c r="D10" s="111">
        <v>100.0</v>
      </c>
      <c r="E10" s="107" t="s">
        <v>559</v>
      </c>
      <c r="F10" s="189">
        <v>100.0</v>
      </c>
      <c r="G10" s="190" t="s">
        <v>560</v>
      </c>
      <c r="H10" s="24"/>
      <c r="I10" s="24"/>
      <c r="J10" s="24"/>
      <c r="K10" s="187"/>
      <c r="L10" s="187"/>
      <c r="M10" s="187"/>
      <c r="N10" s="187"/>
      <c r="O10" s="187"/>
      <c r="P10" s="188"/>
      <c r="Q10" s="188"/>
      <c r="R10" s="188"/>
      <c r="S10" s="188"/>
      <c r="T10" s="188"/>
      <c r="U10" s="188"/>
      <c r="V10" s="188"/>
      <c r="W10" s="188"/>
      <c r="X10" s="188"/>
      <c r="Y10" s="188"/>
      <c r="Z10" s="188"/>
      <c r="AA10" s="188"/>
      <c r="AB10" s="188"/>
      <c r="AC10" s="188"/>
      <c r="AD10" s="188"/>
    </row>
    <row r="11" ht="42.0" customHeight="1">
      <c r="A11" s="32"/>
      <c r="B11" s="19" t="s">
        <v>561</v>
      </c>
      <c r="C11" s="111">
        <v>0.0</v>
      </c>
      <c r="D11" s="191"/>
      <c r="E11" s="92"/>
      <c r="F11" s="189"/>
      <c r="G11" s="190"/>
      <c r="H11" s="32"/>
      <c r="I11" s="32"/>
      <c r="J11" s="32"/>
      <c r="K11" s="187"/>
      <c r="L11" s="187"/>
      <c r="M11" s="187"/>
      <c r="N11" s="187"/>
      <c r="O11" s="187"/>
      <c r="P11" s="188"/>
      <c r="Q11" s="188"/>
      <c r="R11" s="188"/>
      <c r="S11" s="188"/>
      <c r="T11" s="188"/>
      <c r="U11" s="188"/>
      <c r="V11" s="188"/>
      <c r="W11" s="188"/>
      <c r="X11" s="188"/>
      <c r="Y11" s="188"/>
      <c r="Z11" s="188"/>
      <c r="AA11" s="188"/>
      <c r="AB11" s="188"/>
      <c r="AC11" s="188"/>
      <c r="AD11" s="188"/>
    </row>
    <row r="12" ht="35.25" customHeight="1">
      <c r="A12" s="137">
        <v>2.0</v>
      </c>
      <c r="B12" s="148" t="s">
        <v>562</v>
      </c>
      <c r="C12" s="16"/>
      <c r="D12" s="191"/>
      <c r="E12" s="107" t="s">
        <v>563</v>
      </c>
      <c r="F12" s="192"/>
      <c r="G12" s="190"/>
      <c r="H12" s="186" t="s">
        <v>564</v>
      </c>
      <c r="I12" s="186" t="s">
        <v>565</v>
      </c>
      <c r="J12" s="186"/>
      <c r="K12" s="193"/>
      <c r="L12" s="193"/>
      <c r="M12" s="193"/>
      <c r="N12" s="193"/>
      <c r="O12" s="193"/>
      <c r="P12" s="188"/>
      <c r="Q12" s="188"/>
      <c r="R12" s="188"/>
      <c r="S12" s="188"/>
      <c r="T12" s="188"/>
      <c r="U12" s="188"/>
      <c r="V12" s="188"/>
      <c r="W12" s="188"/>
      <c r="X12" s="188"/>
      <c r="Y12" s="188"/>
      <c r="Z12" s="188"/>
      <c r="AA12" s="188"/>
      <c r="AB12" s="188"/>
      <c r="AC12" s="188"/>
      <c r="AD12" s="188"/>
    </row>
    <row r="13" ht="21.0" customHeight="1">
      <c r="A13" s="24"/>
      <c r="B13" s="86" t="s">
        <v>566</v>
      </c>
      <c r="C13" s="111">
        <v>100.0</v>
      </c>
      <c r="D13" s="194">
        <v>100.0</v>
      </c>
      <c r="E13" s="107" t="s">
        <v>567</v>
      </c>
      <c r="F13" s="189">
        <v>100.0</v>
      </c>
      <c r="G13" s="190" t="s">
        <v>568</v>
      </c>
      <c r="H13" s="24"/>
      <c r="I13" s="24"/>
      <c r="J13" s="24"/>
      <c r="K13" s="187"/>
      <c r="L13" s="187"/>
      <c r="M13" s="187"/>
      <c r="N13" s="187"/>
      <c r="O13" s="187"/>
      <c r="P13" s="188"/>
      <c r="Q13" s="188"/>
      <c r="R13" s="188"/>
      <c r="S13" s="188"/>
      <c r="T13" s="188"/>
      <c r="U13" s="188"/>
      <c r="V13" s="188"/>
      <c r="W13" s="188"/>
      <c r="X13" s="188"/>
      <c r="Y13" s="188"/>
      <c r="Z13" s="188"/>
      <c r="AA13" s="188"/>
      <c r="AB13" s="188"/>
      <c r="AC13" s="188"/>
      <c r="AD13" s="188"/>
    </row>
    <row r="14" ht="21.0" customHeight="1">
      <c r="A14" s="32"/>
      <c r="B14" s="86" t="s">
        <v>569</v>
      </c>
      <c r="C14" s="111">
        <v>0.0</v>
      </c>
      <c r="D14" s="191"/>
      <c r="E14" s="107" t="s">
        <v>570</v>
      </c>
      <c r="F14" s="189"/>
      <c r="G14" s="190"/>
      <c r="H14" s="32"/>
      <c r="I14" s="32"/>
      <c r="J14" s="32"/>
      <c r="K14" s="187"/>
      <c r="L14" s="187"/>
      <c r="M14" s="187"/>
      <c r="N14" s="187"/>
      <c r="O14" s="187"/>
      <c r="P14" s="188"/>
      <c r="Q14" s="188"/>
      <c r="R14" s="188"/>
      <c r="S14" s="188"/>
      <c r="T14" s="188"/>
      <c r="U14" s="188"/>
      <c r="V14" s="188"/>
      <c r="W14" s="188"/>
      <c r="X14" s="188"/>
      <c r="Y14" s="188"/>
      <c r="Z14" s="188"/>
      <c r="AA14" s="188"/>
      <c r="AB14" s="188"/>
      <c r="AC14" s="188"/>
      <c r="AD14" s="188"/>
    </row>
    <row r="15" ht="60.75" customHeight="1">
      <c r="A15" s="137">
        <v>3.0</v>
      </c>
      <c r="B15" s="148" t="s">
        <v>571</v>
      </c>
      <c r="C15" s="16"/>
      <c r="D15" s="191"/>
      <c r="E15" s="107" t="s">
        <v>572</v>
      </c>
      <c r="F15" s="192"/>
      <c r="G15" s="190"/>
      <c r="H15" s="186" t="s">
        <v>573</v>
      </c>
      <c r="I15" s="186"/>
      <c r="J15" s="186" t="s">
        <v>574</v>
      </c>
      <c r="K15" s="187"/>
      <c r="L15" s="187"/>
      <c r="M15" s="187"/>
      <c r="N15" s="187"/>
      <c r="O15" s="187"/>
      <c r="P15" s="188"/>
      <c r="Q15" s="188"/>
      <c r="R15" s="188"/>
      <c r="S15" s="188"/>
      <c r="T15" s="188"/>
      <c r="U15" s="188"/>
      <c r="V15" s="188"/>
      <c r="W15" s="188"/>
      <c r="X15" s="188"/>
      <c r="Y15" s="188"/>
      <c r="Z15" s="188"/>
      <c r="AA15" s="188"/>
      <c r="AB15" s="188"/>
      <c r="AC15" s="188"/>
      <c r="AD15" s="188"/>
    </row>
    <row r="16" ht="33.0" customHeight="1">
      <c r="A16" s="24"/>
      <c r="B16" s="19" t="s">
        <v>575</v>
      </c>
      <c r="C16" s="153">
        <v>100.0</v>
      </c>
      <c r="D16" s="191">
        <v>100.0</v>
      </c>
      <c r="F16" s="141">
        <v>100.0</v>
      </c>
      <c r="G16" s="190" t="s">
        <v>576</v>
      </c>
      <c r="H16" s="24"/>
      <c r="I16" s="24"/>
      <c r="J16" s="24"/>
      <c r="K16" s="187"/>
      <c r="L16" s="187"/>
      <c r="M16" s="187"/>
      <c r="N16" s="187"/>
      <c r="O16" s="187"/>
      <c r="P16" s="188"/>
      <c r="Q16" s="188"/>
      <c r="R16" s="188"/>
      <c r="S16" s="188"/>
      <c r="T16" s="188"/>
      <c r="U16" s="188"/>
      <c r="V16" s="188"/>
      <c r="W16" s="188"/>
      <c r="X16" s="188"/>
      <c r="Y16" s="188"/>
      <c r="Z16" s="188"/>
      <c r="AA16" s="188"/>
      <c r="AB16" s="188"/>
      <c r="AC16" s="188"/>
      <c r="AD16" s="188"/>
    </row>
    <row r="17" ht="42.75" customHeight="1">
      <c r="A17" s="32"/>
      <c r="B17" s="19" t="s">
        <v>51</v>
      </c>
      <c r="C17" s="153">
        <v>0.0</v>
      </c>
      <c r="F17" s="141"/>
      <c r="G17" s="190"/>
      <c r="H17" s="32"/>
      <c r="I17" s="32"/>
      <c r="J17" s="32"/>
      <c r="K17" s="187"/>
      <c r="L17" s="187"/>
      <c r="M17" s="187"/>
      <c r="N17" s="187"/>
      <c r="O17" s="187"/>
      <c r="P17" s="188"/>
      <c r="Q17" s="188"/>
      <c r="R17" s="188"/>
      <c r="S17" s="188"/>
      <c r="T17" s="188"/>
      <c r="U17" s="188"/>
      <c r="V17" s="188"/>
      <c r="W17" s="188"/>
      <c r="X17" s="188"/>
      <c r="Y17" s="188"/>
      <c r="Z17" s="188"/>
      <c r="AA17" s="188"/>
      <c r="AB17" s="188"/>
      <c r="AC17" s="188"/>
      <c r="AD17" s="188"/>
    </row>
    <row r="18" ht="40.5" customHeight="1">
      <c r="A18" s="137">
        <v>4.0</v>
      </c>
      <c r="B18" s="148" t="s">
        <v>577</v>
      </c>
      <c r="C18" s="16"/>
      <c r="D18" s="191"/>
      <c r="E18" s="107" t="s">
        <v>578</v>
      </c>
      <c r="F18" s="192"/>
      <c r="G18" s="190"/>
      <c r="H18" s="186" t="s">
        <v>579</v>
      </c>
      <c r="I18" s="186" t="s">
        <v>580</v>
      </c>
      <c r="J18" s="186" t="s">
        <v>581</v>
      </c>
      <c r="K18" s="187"/>
      <c r="L18" s="187"/>
      <c r="M18" s="187"/>
      <c r="N18" s="187"/>
      <c r="O18" s="187"/>
      <c r="P18" s="188"/>
      <c r="Q18" s="188"/>
      <c r="R18" s="188"/>
      <c r="S18" s="188"/>
      <c r="T18" s="188"/>
      <c r="U18" s="188"/>
      <c r="V18" s="188"/>
      <c r="W18" s="188"/>
      <c r="X18" s="188"/>
      <c r="Y18" s="188"/>
      <c r="Z18" s="188"/>
      <c r="AA18" s="188"/>
      <c r="AB18" s="188"/>
      <c r="AC18" s="188"/>
      <c r="AD18" s="188"/>
    </row>
    <row r="19" ht="21.0" customHeight="1">
      <c r="A19" s="24"/>
      <c r="B19" s="86" t="s">
        <v>582</v>
      </c>
      <c r="C19" s="111">
        <v>100.0</v>
      </c>
      <c r="D19" s="191">
        <v>100.0</v>
      </c>
      <c r="E19" s="107" t="s">
        <v>583</v>
      </c>
      <c r="F19" s="189"/>
      <c r="G19" s="190"/>
      <c r="H19" s="24"/>
      <c r="I19" s="24"/>
      <c r="J19" s="24"/>
      <c r="K19" s="187"/>
      <c r="L19" s="187"/>
      <c r="M19" s="187"/>
      <c r="N19" s="187"/>
      <c r="O19" s="187"/>
      <c r="P19" s="188"/>
      <c r="Q19" s="188"/>
      <c r="R19" s="188"/>
      <c r="S19" s="188"/>
      <c r="T19" s="188"/>
      <c r="U19" s="188"/>
      <c r="V19" s="188"/>
      <c r="W19" s="188"/>
      <c r="X19" s="188"/>
      <c r="Y19" s="188"/>
      <c r="Z19" s="188"/>
      <c r="AA19" s="188"/>
      <c r="AB19" s="188"/>
      <c r="AC19" s="188"/>
      <c r="AD19" s="188"/>
    </row>
    <row r="20" ht="21.0" customHeight="1">
      <c r="A20" s="24"/>
      <c r="B20" s="86" t="s">
        <v>584</v>
      </c>
      <c r="C20" s="111">
        <v>75.0</v>
      </c>
      <c r="D20" s="194"/>
      <c r="E20" s="107" t="s">
        <v>585</v>
      </c>
      <c r="F20" s="189">
        <v>75.0</v>
      </c>
      <c r="G20" s="190" t="s">
        <v>586</v>
      </c>
      <c r="H20" s="24"/>
      <c r="I20" s="24"/>
      <c r="J20" s="24"/>
      <c r="K20" s="187"/>
      <c r="L20" s="187"/>
      <c r="M20" s="187"/>
      <c r="N20" s="187"/>
      <c r="O20" s="187"/>
      <c r="P20" s="188"/>
      <c r="Q20" s="188"/>
      <c r="R20" s="188"/>
      <c r="S20" s="188"/>
      <c r="T20" s="188"/>
      <c r="U20" s="188"/>
      <c r="V20" s="188"/>
      <c r="W20" s="188"/>
      <c r="X20" s="188"/>
      <c r="Y20" s="188"/>
      <c r="Z20" s="188"/>
      <c r="AA20" s="188"/>
      <c r="AB20" s="188"/>
      <c r="AC20" s="188"/>
      <c r="AD20" s="188"/>
    </row>
    <row r="21" ht="24.0" customHeight="1">
      <c r="A21" s="32"/>
      <c r="B21" s="86" t="s">
        <v>587</v>
      </c>
      <c r="C21" s="111">
        <v>0.0</v>
      </c>
      <c r="D21" s="191"/>
      <c r="E21" s="107" t="s">
        <v>588</v>
      </c>
      <c r="F21" s="86"/>
      <c r="G21" s="190"/>
      <c r="H21" s="32"/>
      <c r="I21" s="32"/>
      <c r="J21" s="32"/>
      <c r="K21" s="187"/>
      <c r="L21" s="187"/>
      <c r="M21" s="187"/>
      <c r="N21" s="187"/>
      <c r="O21" s="187"/>
      <c r="P21" s="187"/>
      <c r="Q21" s="187"/>
      <c r="R21" s="187"/>
      <c r="S21" s="187"/>
      <c r="T21" s="187"/>
      <c r="U21" s="187"/>
      <c r="V21" s="187"/>
      <c r="W21" s="187"/>
      <c r="X21" s="187"/>
      <c r="Y21" s="187"/>
      <c r="Z21" s="187"/>
      <c r="AA21" s="187"/>
      <c r="AB21" s="187"/>
      <c r="AC21" s="187"/>
      <c r="AD21" s="187"/>
    </row>
    <row r="22" ht="31.5" customHeight="1">
      <c r="A22" s="137">
        <v>5.0</v>
      </c>
      <c r="B22" s="148" t="s">
        <v>589</v>
      </c>
      <c r="C22" s="16"/>
      <c r="D22" s="166"/>
      <c r="E22" s="93" t="s">
        <v>590</v>
      </c>
      <c r="F22" s="141"/>
      <c r="G22" s="190"/>
      <c r="H22" s="186" t="s">
        <v>591</v>
      </c>
      <c r="I22" s="186" t="s">
        <v>592</v>
      </c>
      <c r="J22" s="186" t="s">
        <v>593</v>
      </c>
      <c r="K22" s="187"/>
      <c r="L22" s="187"/>
      <c r="M22" s="187"/>
      <c r="N22" s="187"/>
      <c r="O22" s="187"/>
      <c r="P22" s="187"/>
      <c r="Q22" s="187"/>
      <c r="R22" s="187"/>
      <c r="S22" s="187"/>
      <c r="T22" s="187"/>
      <c r="U22" s="187"/>
      <c r="V22" s="187"/>
      <c r="W22" s="187"/>
      <c r="X22" s="187"/>
      <c r="Y22" s="187"/>
      <c r="Z22" s="187"/>
      <c r="AA22" s="187"/>
      <c r="AB22" s="187"/>
      <c r="AC22" s="187"/>
      <c r="AD22" s="187"/>
    </row>
    <row r="23" ht="21.0" customHeight="1">
      <c r="A23" s="24"/>
      <c r="B23" s="19" t="s">
        <v>594</v>
      </c>
      <c r="C23" s="153">
        <v>100.0</v>
      </c>
      <c r="D23" s="191">
        <v>100.0</v>
      </c>
      <c r="E23" s="93" t="s">
        <v>595</v>
      </c>
      <c r="F23" s="141"/>
      <c r="G23" s="190"/>
      <c r="H23" s="24"/>
      <c r="I23" s="24"/>
      <c r="J23" s="24"/>
      <c r="K23" s="187"/>
      <c r="L23" s="187"/>
      <c r="M23" s="187"/>
      <c r="N23" s="187"/>
      <c r="O23" s="187"/>
      <c r="P23" s="187"/>
      <c r="Q23" s="187"/>
      <c r="R23" s="187"/>
      <c r="S23" s="187"/>
      <c r="T23" s="187"/>
      <c r="U23" s="187"/>
      <c r="V23" s="187"/>
      <c r="W23" s="187"/>
      <c r="X23" s="187"/>
      <c r="Y23" s="187"/>
      <c r="Z23" s="187"/>
      <c r="AA23" s="187"/>
      <c r="AB23" s="187"/>
      <c r="AC23" s="187"/>
      <c r="AD23" s="187"/>
    </row>
    <row r="24" ht="21.0" customHeight="1">
      <c r="A24" s="32"/>
      <c r="B24" s="19" t="s">
        <v>596</v>
      </c>
      <c r="C24" s="153">
        <v>0.0</v>
      </c>
      <c r="D24" s="195"/>
      <c r="E24" s="93" t="s">
        <v>597</v>
      </c>
      <c r="F24" s="29"/>
      <c r="G24" s="190"/>
      <c r="H24" s="32"/>
      <c r="I24" s="32"/>
      <c r="J24" s="32"/>
      <c r="K24" s="188"/>
      <c r="L24" s="188"/>
      <c r="M24" s="188"/>
      <c r="N24" s="188"/>
      <c r="O24" s="188"/>
      <c r="P24" s="188"/>
      <c r="Q24" s="188"/>
      <c r="R24" s="188"/>
      <c r="S24" s="188"/>
      <c r="T24" s="188"/>
      <c r="U24" s="188"/>
      <c r="V24" s="188"/>
      <c r="W24" s="188"/>
      <c r="X24" s="188"/>
      <c r="Y24" s="188"/>
      <c r="Z24" s="188"/>
      <c r="AA24" s="188"/>
      <c r="AB24" s="188"/>
      <c r="AC24" s="188"/>
      <c r="AD24" s="188"/>
    </row>
    <row r="25" ht="35.25" customHeight="1">
      <c r="A25" s="137">
        <v>6.0</v>
      </c>
      <c r="B25" s="148" t="s">
        <v>598</v>
      </c>
      <c r="C25" s="16"/>
      <c r="D25" s="191"/>
      <c r="E25" s="196"/>
      <c r="F25" s="192"/>
      <c r="G25" s="19" t="s">
        <v>359</v>
      </c>
      <c r="H25" s="186" t="s">
        <v>599</v>
      </c>
      <c r="I25" s="186" t="s">
        <v>600</v>
      </c>
      <c r="J25" s="186" t="s">
        <v>601</v>
      </c>
      <c r="K25" s="187"/>
      <c r="L25" s="187"/>
      <c r="M25" s="187"/>
      <c r="N25" s="187"/>
      <c r="O25" s="187"/>
      <c r="P25" s="188"/>
      <c r="Q25" s="188"/>
      <c r="R25" s="188"/>
      <c r="S25" s="188"/>
      <c r="T25" s="188"/>
      <c r="U25" s="188"/>
      <c r="V25" s="188"/>
      <c r="W25" s="188"/>
      <c r="X25" s="188"/>
      <c r="Y25" s="188"/>
      <c r="Z25" s="188"/>
      <c r="AA25" s="188"/>
      <c r="AB25" s="188"/>
      <c r="AC25" s="188"/>
      <c r="AD25" s="188"/>
    </row>
    <row r="26" ht="21.0" customHeight="1">
      <c r="A26" s="24"/>
      <c r="B26" s="86" t="s">
        <v>602</v>
      </c>
      <c r="C26" s="111">
        <v>100.0</v>
      </c>
      <c r="D26" s="194">
        <v>50.0</v>
      </c>
      <c r="E26" s="107" t="s">
        <v>603</v>
      </c>
      <c r="F26" s="189"/>
      <c r="G26" s="190"/>
      <c r="H26" s="24"/>
      <c r="I26" s="24"/>
      <c r="J26" s="24"/>
      <c r="K26" s="187"/>
      <c r="L26" s="187"/>
      <c r="M26" s="187"/>
      <c r="N26" s="187"/>
      <c r="O26" s="187"/>
      <c r="P26" s="188"/>
      <c r="Q26" s="188"/>
      <c r="R26" s="188"/>
      <c r="S26" s="188"/>
      <c r="T26" s="188"/>
      <c r="U26" s="188"/>
      <c r="V26" s="188"/>
      <c r="W26" s="188"/>
      <c r="X26" s="188"/>
      <c r="Y26" s="188"/>
      <c r="Z26" s="188"/>
      <c r="AA26" s="188"/>
      <c r="AB26" s="188"/>
      <c r="AC26" s="188"/>
      <c r="AD26" s="188"/>
    </row>
    <row r="27" ht="21.0" customHeight="1">
      <c r="A27" s="24"/>
      <c r="B27" s="86" t="s">
        <v>604</v>
      </c>
      <c r="C27" s="111">
        <v>50.0</v>
      </c>
      <c r="D27" s="191"/>
      <c r="E27" s="93" t="s">
        <v>605</v>
      </c>
      <c r="F27" s="189"/>
      <c r="G27" s="190"/>
      <c r="H27" s="24"/>
      <c r="I27" s="24"/>
      <c r="J27" s="24"/>
      <c r="K27" s="187"/>
      <c r="L27" s="187"/>
      <c r="M27" s="187"/>
      <c r="N27" s="187"/>
      <c r="O27" s="187"/>
      <c r="P27" s="188"/>
      <c r="Q27" s="188"/>
      <c r="R27" s="188"/>
      <c r="S27" s="188"/>
      <c r="T27" s="188"/>
      <c r="U27" s="188"/>
      <c r="V27" s="188"/>
      <c r="W27" s="188"/>
      <c r="X27" s="188"/>
      <c r="Y27" s="188"/>
      <c r="Z27" s="188"/>
      <c r="AA27" s="188"/>
      <c r="AB27" s="188"/>
      <c r="AC27" s="188"/>
      <c r="AD27" s="188"/>
    </row>
    <row r="28" ht="21.0" customHeight="1">
      <c r="A28" s="32"/>
      <c r="B28" s="86" t="s">
        <v>141</v>
      </c>
      <c r="C28" s="111">
        <v>0.0</v>
      </c>
      <c r="D28" s="191"/>
      <c r="E28" s="197"/>
      <c r="F28" s="189"/>
      <c r="G28" s="190"/>
      <c r="H28" s="32"/>
      <c r="I28" s="32"/>
      <c r="J28" s="32"/>
      <c r="K28" s="187"/>
      <c r="L28" s="187"/>
      <c r="M28" s="187"/>
      <c r="N28" s="187"/>
      <c r="O28" s="187"/>
      <c r="P28" s="188"/>
      <c r="Q28" s="188"/>
      <c r="R28" s="188"/>
      <c r="S28" s="188"/>
      <c r="T28" s="188"/>
      <c r="U28" s="188"/>
      <c r="V28" s="188"/>
      <c r="W28" s="188"/>
      <c r="X28" s="188"/>
      <c r="Y28" s="188"/>
      <c r="Z28" s="188"/>
      <c r="AA28" s="188"/>
      <c r="AB28" s="188"/>
      <c r="AC28" s="188"/>
      <c r="AD28" s="188"/>
    </row>
    <row r="29" ht="21.0" customHeight="1">
      <c r="A29" s="137">
        <v>7.0</v>
      </c>
      <c r="B29" s="198" t="s">
        <v>606</v>
      </c>
      <c r="C29" s="16"/>
      <c r="D29" s="195"/>
      <c r="E29" s="107" t="s">
        <v>607</v>
      </c>
      <c r="F29" s="199"/>
      <c r="G29" s="190" t="s">
        <v>608</v>
      </c>
      <c r="H29" s="186" t="s">
        <v>609</v>
      </c>
      <c r="I29" s="186" t="s">
        <v>610</v>
      </c>
      <c r="J29" s="186" t="s">
        <v>611</v>
      </c>
      <c r="K29" s="187"/>
      <c r="L29" s="187"/>
      <c r="M29" s="187"/>
      <c r="N29" s="187"/>
      <c r="O29" s="187"/>
      <c r="P29" s="188"/>
      <c r="Q29" s="188"/>
      <c r="R29" s="188"/>
      <c r="S29" s="188"/>
      <c r="T29" s="188"/>
      <c r="U29" s="188"/>
      <c r="V29" s="188"/>
      <c r="W29" s="188"/>
      <c r="X29" s="188"/>
      <c r="Y29" s="188"/>
      <c r="Z29" s="188"/>
      <c r="AA29" s="188"/>
      <c r="AB29" s="188"/>
      <c r="AC29" s="188"/>
      <c r="AD29" s="188"/>
    </row>
    <row r="30" ht="15.75" customHeight="1">
      <c r="A30" s="24"/>
      <c r="B30" s="59" t="s">
        <v>612</v>
      </c>
      <c r="C30" s="29">
        <v>100.0</v>
      </c>
      <c r="D30" s="200">
        <v>100.0</v>
      </c>
      <c r="E30" s="107" t="s">
        <v>613</v>
      </c>
      <c r="F30" s="201">
        <v>100.0</v>
      </c>
      <c r="G30" s="190" t="s">
        <v>614</v>
      </c>
      <c r="H30" s="24"/>
      <c r="I30" s="24"/>
      <c r="J30" s="24"/>
      <c r="K30" s="187"/>
      <c r="L30" s="187"/>
      <c r="M30" s="187"/>
      <c r="N30" s="187"/>
      <c r="O30" s="187"/>
      <c r="P30" s="188"/>
      <c r="Q30" s="188"/>
      <c r="R30" s="188"/>
      <c r="S30" s="188"/>
      <c r="T30" s="188"/>
      <c r="U30" s="188"/>
      <c r="V30" s="188"/>
      <c r="W30" s="188"/>
      <c r="X30" s="188"/>
      <c r="Y30" s="188"/>
      <c r="Z30" s="188"/>
      <c r="AA30" s="188"/>
      <c r="AB30" s="188"/>
      <c r="AC30" s="188"/>
      <c r="AD30" s="188"/>
    </row>
    <row r="31" ht="20.25" customHeight="1">
      <c r="A31" s="32"/>
      <c r="B31" s="59" t="s">
        <v>569</v>
      </c>
      <c r="C31" s="29">
        <v>0.0</v>
      </c>
      <c r="D31" s="195"/>
      <c r="E31" s="107" t="s">
        <v>615</v>
      </c>
      <c r="F31" s="201"/>
      <c r="G31" s="190"/>
      <c r="H31" s="32"/>
      <c r="I31" s="32"/>
      <c r="J31" s="32"/>
      <c r="K31" s="187"/>
      <c r="L31" s="187"/>
      <c r="M31" s="187"/>
      <c r="N31" s="187"/>
      <c r="O31" s="187"/>
      <c r="P31" s="188"/>
      <c r="Q31" s="188"/>
      <c r="R31" s="188"/>
      <c r="S31" s="188"/>
      <c r="T31" s="188"/>
      <c r="U31" s="188"/>
      <c r="V31" s="188"/>
      <c r="W31" s="188"/>
      <c r="X31" s="188"/>
      <c r="Y31" s="188"/>
      <c r="Z31" s="188"/>
      <c r="AA31" s="188"/>
      <c r="AB31" s="188"/>
      <c r="AC31" s="188"/>
      <c r="AD31" s="188"/>
    </row>
    <row r="32" ht="34.5" customHeight="1">
      <c r="A32" s="137">
        <v>8.0</v>
      </c>
      <c r="B32" s="148" t="s">
        <v>616</v>
      </c>
      <c r="C32" s="16"/>
      <c r="D32" s="195"/>
      <c r="E32" s="88"/>
      <c r="F32" s="201"/>
      <c r="G32" s="190"/>
      <c r="H32" s="186" t="s">
        <v>617</v>
      </c>
      <c r="I32" s="186" t="s">
        <v>618</v>
      </c>
      <c r="J32" s="186" t="s">
        <v>619</v>
      </c>
      <c r="K32" s="187"/>
      <c r="L32" s="187"/>
      <c r="M32" s="187"/>
      <c r="N32" s="187"/>
      <c r="O32" s="187"/>
      <c r="P32" s="188"/>
      <c r="Q32" s="188"/>
      <c r="R32" s="188"/>
      <c r="S32" s="188"/>
      <c r="T32" s="188"/>
      <c r="U32" s="188"/>
      <c r="V32" s="188"/>
      <c r="W32" s="188"/>
      <c r="X32" s="188"/>
      <c r="Y32" s="188"/>
      <c r="Z32" s="188"/>
      <c r="AA32" s="188"/>
      <c r="AB32" s="188"/>
      <c r="AC32" s="188"/>
      <c r="AD32" s="188"/>
    </row>
    <row r="33" ht="21.0" customHeight="1">
      <c r="A33" s="24"/>
      <c r="B33" s="59" t="s">
        <v>620</v>
      </c>
      <c r="C33" s="29">
        <v>100.0</v>
      </c>
      <c r="D33" s="195">
        <v>100.0</v>
      </c>
      <c r="E33" s="93" t="s">
        <v>621</v>
      </c>
      <c r="F33" s="201"/>
      <c r="G33" s="190"/>
      <c r="H33" s="24"/>
      <c r="I33" s="24"/>
      <c r="J33" s="24"/>
      <c r="K33" s="187"/>
      <c r="L33" s="187"/>
      <c r="M33" s="187"/>
      <c r="N33" s="187"/>
      <c r="O33" s="187"/>
      <c r="P33" s="188"/>
      <c r="Q33" s="188"/>
      <c r="R33" s="188"/>
      <c r="S33" s="188"/>
      <c r="T33" s="188"/>
      <c r="U33" s="188"/>
      <c r="V33" s="188"/>
      <c r="W33" s="188"/>
      <c r="X33" s="188"/>
      <c r="Y33" s="188"/>
      <c r="Z33" s="188"/>
      <c r="AA33" s="188"/>
      <c r="AB33" s="188"/>
      <c r="AC33" s="188"/>
      <c r="AD33" s="188"/>
    </row>
    <row r="34" ht="42.0" customHeight="1">
      <c r="A34" s="24"/>
      <c r="B34" s="59" t="s">
        <v>622</v>
      </c>
      <c r="C34" s="29">
        <v>50.0</v>
      </c>
      <c r="D34" s="191"/>
      <c r="E34" s="107" t="s">
        <v>623</v>
      </c>
      <c r="F34" s="192"/>
      <c r="G34" s="190"/>
      <c r="H34" s="24"/>
      <c r="I34" s="24"/>
      <c r="J34" s="24"/>
      <c r="K34" s="187"/>
      <c r="L34" s="187"/>
      <c r="M34" s="187"/>
      <c r="N34" s="187"/>
      <c r="O34" s="187"/>
      <c r="P34" s="188"/>
      <c r="Q34" s="188"/>
      <c r="R34" s="188"/>
      <c r="S34" s="188"/>
      <c r="T34" s="188"/>
      <c r="U34" s="188"/>
      <c r="V34" s="188"/>
      <c r="W34" s="188"/>
      <c r="X34" s="188"/>
      <c r="Y34" s="188"/>
      <c r="Z34" s="188"/>
      <c r="AA34" s="188"/>
      <c r="AB34" s="188"/>
      <c r="AC34" s="188"/>
      <c r="AD34" s="188"/>
    </row>
    <row r="35" ht="21.0" customHeight="1">
      <c r="A35" s="24"/>
      <c r="B35" s="59" t="s">
        <v>624</v>
      </c>
      <c r="C35" s="29">
        <v>25.0</v>
      </c>
      <c r="D35" s="195"/>
      <c r="E35" s="107" t="s">
        <v>625</v>
      </c>
      <c r="F35" s="201"/>
      <c r="G35" s="190"/>
      <c r="H35" s="24"/>
      <c r="I35" s="24"/>
      <c r="J35" s="24"/>
      <c r="K35" s="187"/>
      <c r="L35" s="187"/>
      <c r="M35" s="187"/>
      <c r="N35" s="187"/>
      <c r="O35" s="187"/>
      <c r="P35" s="188"/>
      <c r="Q35" s="188"/>
      <c r="R35" s="188"/>
      <c r="S35" s="188"/>
      <c r="T35" s="188"/>
      <c r="U35" s="188"/>
      <c r="V35" s="188"/>
      <c r="W35" s="188"/>
      <c r="X35" s="188"/>
      <c r="Y35" s="188"/>
      <c r="Z35" s="188"/>
      <c r="AA35" s="188"/>
      <c r="AB35" s="188"/>
      <c r="AC35" s="188"/>
      <c r="AD35" s="188"/>
    </row>
    <row r="36" ht="21.0" customHeight="1">
      <c r="A36" s="32"/>
      <c r="B36" s="59" t="s">
        <v>191</v>
      </c>
      <c r="C36" s="29">
        <v>0.0</v>
      </c>
      <c r="D36" s="195"/>
      <c r="E36" s="88"/>
      <c r="F36" s="201">
        <v>0.0</v>
      </c>
      <c r="G36" s="190" t="s">
        <v>626</v>
      </c>
      <c r="H36" s="32"/>
      <c r="I36" s="32"/>
      <c r="J36" s="32"/>
      <c r="K36" s="187"/>
      <c r="L36" s="187"/>
      <c r="M36" s="187"/>
      <c r="N36" s="187"/>
      <c r="O36" s="187"/>
      <c r="P36" s="188"/>
      <c r="Q36" s="188"/>
      <c r="R36" s="188"/>
      <c r="S36" s="188"/>
      <c r="T36" s="188"/>
      <c r="U36" s="188"/>
      <c r="V36" s="188"/>
      <c r="W36" s="188"/>
      <c r="X36" s="188"/>
      <c r="Y36" s="188"/>
      <c r="Z36" s="188"/>
      <c r="AA36" s="188"/>
      <c r="AB36" s="188"/>
      <c r="AC36" s="188"/>
      <c r="AD36" s="188"/>
    </row>
    <row r="37" ht="21.0" customHeight="1">
      <c r="A37" s="137">
        <v>9.0</v>
      </c>
      <c r="B37" s="148" t="s">
        <v>627</v>
      </c>
      <c r="C37" s="16"/>
      <c r="D37" s="200"/>
      <c r="E37" s="88"/>
      <c r="F37" s="201"/>
      <c r="G37" s="190" t="s">
        <v>608</v>
      </c>
      <c r="H37" s="186" t="s">
        <v>628</v>
      </c>
      <c r="I37" s="186" t="s">
        <v>629</v>
      </c>
      <c r="J37" s="186" t="s">
        <v>630</v>
      </c>
      <c r="K37" s="187"/>
      <c r="L37" s="187"/>
      <c r="M37" s="187"/>
      <c r="N37" s="187"/>
      <c r="O37" s="187"/>
      <c r="P37" s="188"/>
      <c r="Q37" s="188"/>
      <c r="R37" s="188"/>
      <c r="S37" s="188"/>
      <c r="T37" s="188"/>
      <c r="U37" s="188"/>
      <c r="V37" s="188"/>
      <c r="W37" s="188"/>
      <c r="X37" s="188"/>
      <c r="Y37" s="188"/>
      <c r="Z37" s="188"/>
      <c r="AA37" s="188"/>
      <c r="AB37" s="188"/>
      <c r="AC37" s="188"/>
      <c r="AD37" s="188"/>
    </row>
    <row r="38" ht="21.0" customHeight="1">
      <c r="A38" s="24"/>
      <c r="B38" s="59" t="s">
        <v>631</v>
      </c>
      <c r="C38" s="29">
        <v>100.0</v>
      </c>
      <c r="D38" s="195">
        <v>100.0</v>
      </c>
      <c r="E38" s="107" t="s">
        <v>632</v>
      </c>
      <c r="F38" s="201"/>
      <c r="G38" s="190"/>
      <c r="H38" s="24"/>
      <c r="I38" s="24"/>
      <c r="J38" s="24"/>
      <c r="K38" s="187"/>
      <c r="L38" s="187"/>
      <c r="M38" s="187"/>
      <c r="N38" s="187"/>
      <c r="O38" s="187"/>
      <c r="P38" s="188"/>
      <c r="Q38" s="188"/>
      <c r="R38" s="188"/>
      <c r="S38" s="188"/>
      <c r="T38" s="188"/>
      <c r="U38" s="188"/>
      <c r="V38" s="188"/>
      <c r="W38" s="188"/>
      <c r="X38" s="188"/>
      <c r="Y38" s="188"/>
      <c r="Z38" s="188"/>
      <c r="AA38" s="188"/>
      <c r="AB38" s="188"/>
      <c r="AC38" s="188"/>
      <c r="AD38" s="188"/>
    </row>
    <row r="39" ht="28.5" customHeight="1">
      <c r="A39" s="24"/>
      <c r="B39" s="59" t="s">
        <v>622</v>
      </c>
      <c r="C39" s="29">
        <v>50.0</v>
      </c>
      <c r="D39" s="191"/>
      <c r="E39" s="93" t="s">
        <v>633</v>
      </c>
      <c r="F39" s="192"/>
      <c r="G39" s="190"/>
      <c r="H39" s="24"/>
      <c r="I39" s="24"/>
      <c r="J39" s="24"/>
      <c r="K39" s="187"/>
      <c r="L39" s="187"/>
      <c r="M39" s="187"/>
      <c r="N39" s="187"/>
      <c r="O39" s="187"/>
      <c r="P39" s="188"/>
      <c r="Q39" s="188"/>
      <c r="R39" s="188"/>
      <c r="S39" s="188"/>
      <c r="T39" s="188"/>
      <c r="U39" s="188"/>
      <c r="V39" s="188"/>
      <c r="W39" s="188"/>
      <c r="X39" s="188"/>
      <c r="Y39" s="188"/>
      <c r="Z39" s="188"/>
      <c r="AA39" s="188"/>
      <c r="AB39" s="188"/>
      <c r="AC39" s="188"/>
      <c r="AD39" s="188"/>
    </row>
    <row r="40" ht="21.0" customHeight="1">
      <c r="A40" s="24"/>
      <c r="B40" s="59" t="s">
        <v>624</v>
      </c>
      <c r="C40" s="29">
        <v>25.0</v>
      </c>
      <c r="D40" s="200"/>
      <c r="E40" s="93" t="s">
        <v>634</v>
      </c>
      <c r="F40" s="201"/>
      <c r="G40" s="190"/>
      <c r="H40" s="24"/>
      <c r="I40" s="24"/>
      <c r="J40" s="24"/>
      <c r="K40" s="187"/>
      <c r="L40" s="187"/>
      <c r="M40" s="187"/>
      <c r="N40" s="187"/>
      <c r="O40" s="187"/>
      <c r="P40" s="188"/>
      <c r="Q40" s="188"/>
      <c r="R40" s="188"/>
      <c r="S40" s="188"/>
      <c r="T40" s="188"/>
      <c r="U40" s="188"/>
      <c r="V40" s="188"/>
      <c r="W40" s="188"/>
      <c r="X40" s="188"/>
      <c r="Y40" s="188"/>
      <c r="Z40" s="188"/>
      <c r="AA40" s="188"/>
      <c r="AB40" s="188"/>
      <c r="AC40" s="188"/>
      <c r="AD40" s="188"/>
    </row>
    <row r="41" ht="21.0" customHeight="1">
      <c r="A41" s="32"/>
      <c r="B41" s="59" t="s">
        <v>191</v>
      </c>
      <c r="C41" s="29">
        <v>0.0</v>
      </c>
      <c r="D41" s="200"/>
      <c r="E41" s="93" t="s">
        <v>635</v>
      </c>
      <c r="F41" s="201"/>
      <c r="G41" s="190"/>
      <c r="H41" s="32"/>
      <c r="I41" s="32"/>
      <c r="J41" s="32"/>
      <c r="K41" s="187"/>
      <c r="L41" s="187"/>
      <c r="M41" s="187"/>
      <c r="N41" s="187"/>
      <c r="O41" s="187"/>
      <c r="P41" s="188"/>
      <c r="Q41" s="188"/>
      <c r="R41" s="188"/>
      <c r="S41" s="188"/>
      <c r="T41" s="188"/>
      <c r="U41" s="188"/>
      <c r="V41" s="188"/>
      <c r="W41" s="188"/>
      <c r="X41" s="188"/>
      <c r="Y41" s="188"/>
      <c r="Z41" s="188"/>
      <c r="AA41" s="188"/>
      <c r="AB41" s="188"/>
      <c r="AC41" s="188"/>
      <c r="AD41" s="188"/>
    </row>
    <row r="42" ht="15.75" customHeight="1">
      <c r="A42" s="137">
        <v>10.0</v>
      </c>
      <c r="B42" s="148" t="s">
        <v>636</v>
      </c>
      <c r="C42" s="16"/>
      <c r="D42" s="195"/>
      <c r="E42" s="88"/>
      <c r="F42" s="201"/>
      <c r="G42" s="186" t="s">
        <v>637</v>
      </c>
      <c r="H42" s="186" t="s">
        <v>638</v>
      </c>
      <c r="I42" s="186" t="s">
        <v>639</v>
      </c>
      <c r="J42" s="186" t="s">
        <v>640</v>
      </c>
      <c r="K42" s="187"/>
      <c r="L42" s="187"/>
      <c r="M42" s="187"/>
      <c r="N42" s="187"/>
      <c r="O42" s="187"/>
      <c r="P42" s="188"/>
      <c r="Q42" s="188"/>
      <c r="R42" s="188"/>
      <c r="S42" s="188"/>
      <c r="T42" s="188"/>
      <c r="U42" s="188"/>
      <c r="V42" s="188"/>
      <c r="W42" s="188"/>
      <c r="X42" s="188"/>
      <c r="Y42" s="188"/>
      <c r="Z42" s="188"/>
      <c r="AA42" s="188"/>
      <c r="AB42" s="188"/>
      <c r="AC42" s="188"/>
      <c r="AD42" s="188"/>
    </row>
    <row r="43" ht="21.0" customHeight="1">
      <c r="A43" s="24"/>
      <c r="B43" s="59" t="s">
        <v>641</v>
      </c>
      <c r="C43" s="29">
        <v>100.0</v>
      </c>
      <c r="D43" s="200">
        <v>100.0</v>
      </c>
      <c r="E43" s="88"/>
      <c r="F43" s="201"/>
      <c r="G43" s="24"/>
      <c r="H43" s="24"/>
      <c r="I43" s="24"/>
      <c r="J43" s="24"/>
      <c r="K43" s="187"/>
      <c r="L43" s="187"/>
      <c r="M43" s="187"/>
      <c r="N43" s="187"/>
      <c r="O43" s="187"/>
      <c r="P43" s="188"/>
      <c r="Q43" s="188"/>
      <c r="R43" s="188"/>
      <c r="S43" s="188"/>
      <c r="T43" s="188"/>
      <c r="U43" s="188"/>
      <c r="V43" s="188"/>
      <c r="W43" s="188"/>
      <c r="X43" s="188"/>
      <c r="Y43" s="188"/>
      <c r="Z43" s="188"/>
      <c r="AA43" s="188"/>
      <c r="AB43" s="188"/>
      <c r="AC43" s="188"/>
      <c r="AD43" s="188"/>
    </row>
    <row r="44" ht="72.75" customHeight="1">
      <c r="A44" s="24"/>
      <c r="B44" s="59" t="s">
        <v>622</v>
      </c>
      <c r="C44" s="29">
        <v>50.0</v>
      </c>
      <c r="D44" s="191"/>
      <c r="E44" s="106" t="s">
        <v>642</v>
      </c>
      <c r="F44" s="202"/>
      <c r="G44" s="24"/>
      <c r="H44" s="24"/>
      <c r="I44" s="24"/>
      <c r="J44" s="24"/>
      <c r="K44" s="187"/>
      <c r="L44" s="187"/>
      <c r="M44" s="187"/>
      <c r="N44" s="187"/>
      <c r="O44" s="187"/>
      <c r="P44" s="188"/>
      <c r="Q44" s="188"/>
      <c r="R44" s="188"/>
      <c r="S44" s="188"/>
      <c r="T44" s="188"/>
      <c r="U44" s="188"/>
      <c r="V44" s="188"/>
      <c r="W44" s="188"/>
      <c r="X44" s="188"/>
      <c r="Y44" s="188"/>
      <c r="Z44" s="188"/>
      <c r="AA44" s="188"/>
      <c r="AB44" s="188"/>
      <c r="AC44" s="188"/>
      <c r="AD44" s="188"/>
    </row>
    <row r="45" ht="21.0" customHeight="1">
      <c r="A45" s="24"/>
      <c r="B45" s="59" t="s">
        <v>624</v>
      </c>
      <c r="C45" s="29">
        <v>25.0</v>
      </c>
      <c r="D45" s="195"/>
      <c r="E45" s="106" t="s">
        <v>643</v>
      </c>
      <c r="F45" s="201"/>
      <c r="G45" s="24"/>
      <c r="H45" s="24"/>
      <c r="I45" s="24"/>
      <c r="J45" s="24"/>
      <c r="K45" s="187"/>
      <c r="L45" s="187"/>
      <c r="M45" s="187"/>
      <c r="N45" s="187"/>
      <c r="O45" s="187"/>
      <c r="P45" s="188"/>
      <c r="Q45" s="188"/>
      <c r="R45" s="188"/>
      <c r="S45" s="188"/>
      <c r="T45" s="188"/>
      <c r="U45" s="188"/>
      <c r="V45" s="188"/>
      <c r="W45" s="188"/>
      <c r="X45" s="188"/>
      <c r="Y45" s="188"/>
      <c r="Z45" s="188"/>
      <c r="AA45" s="188"/>
      <c r="AB45" s="188"/>
      <c r="AC45" s="188"/>
      <c r="AD45" s="188"/>
    </row>
    <row r="46" ht="21.0" customHeight="1">
      <c r="A46" s="32"/>
      <c r="B46" s="59" t="s">
        <v>191</v>
      </c>
      <c r="C46" s="29">
        <v>0.0</v>
      </c>
      <c r="D46" s="195"/>
      <c r="E46" s="88"/>
      <c r="F46" s="201">
        <v>0.0</v>
      </c>
      <c r="G46" s="32"/>
      <c r="H46" s="32"/>
      <c r="I46" s="32"/>
      <c r="J46" s="32"/>
      <c r="K46" s="187"/>
      <c r="L46" s="187"/>
      <c r="M46" s="187"/>
      <c r="N46" s="187"/>
      <c r="O46" s="187"/>
      <c r="P46" s="188"/>
      <c r="Q46" s="188"/>
      <c r="R46" s="188"/>
      <c r="S46" s="188"/>
      <c r="T46" s="188"/>
      <c r="U46" s="188"/>
      <c r="V46" s="188"/>
      <c r="W46" s="188"/>
      <c r="X46" s="188"/>
      <c r="Y46" s="188"/>
      <c r="Z46" s="188"/>
      <c r="AA46" s="188"/>
      <c r="AB46" s="188"/>
      <c r="AC46" s="188"/>
      <c r="AD46" s="188"/>
    </row>
    <row r="47" ht="15.75" customHeight="1">
      <c r="A47" s="137">
        <v>11.0</v>
      </c>
      <c r="B47" s="148" t="s">
        <v>644</v>
      </c>
      <c r="C47" s="16"/>
      <c r="D47" s="195"/>
      <c r="E47" s="88"/>
      <c r="F47" s="201"/>
      <c r="G47" s="190" t="s">
        <v>645</v>
      </c>
      <c r="H47" s="186" t="s">
        <v>646</v>
      </c>
      <c r="I47" s="186" t="s">
        <v>647</v>
      </c>
      <c r="J47" s="186" t="s">
        <v>648</v>
      </c>
      <c r="K47" s="187"/>
      <c r="L47" s="187"/>
      <c r="M47" s="187"/>
      <c r="N47" s="187"/>
      <c r="O47" s="187"/>
      <c r="P47" s="188"/>
      <c r="Q47" s="188"/>
      <c r="R47" s="188"/>
      <c r="S47" s="188"/>
      <c r="T47" s="188"/>
      <c r="U47" s="188"/>
      <c r="V47" s="188"/>
      <c r="W47" s="188"/>
      <c r="X47" s="188"/>
      <c r="Y47" s="188"/>
      <c r="Z47" s="188"/>
      <c r="AA47" s="188"/>
      <c r="AB47" s="188"/>
      <c r="AC47" s="188"/>
      <c r="AD47" s="188"/>
    </row>
    <row r="48" ht="21.0" customHeight="1">
      <c r="A48" s="24"/>
      <c r="B48" s="59" t="s">
        <v>649</v>
      </c>
      <c r="C48" s="29">
        <v>100.0</v>
      </c>
      <c r="D48" s="200">
        <v>100.0</v>
      </c>
      <c r="E48" s="93" t="s">
        <v>650</v>
      </c>
      <c r="F48" s="201"/>
      <c r="G48" s="190"/>
      <c r="H48" s="24"/>
      <c r="I48" s="24"/>
      <c r="J48" s="24"/>
      <c r="K48" s="187"/>
      <c r="L48" s="187"/>
      <c r="M48" s="187"/>
      <c r="N48" s="187"/>
      <c r="O48" s="187"/>
      <c r="P48" s="188"/>
      <c r="Q48" s="188"/>
      <c r="R48" s="188"/>
      <c r="S48" s="188"/>
      <c r="T48" s="188"/>
      <c r="U48" s="188"/>
      <c r="V48" s="188"/>
      <c r="W48" s="188"/>
      <c r="X48" s="188"/>
      <c r="Y48" s="188"/>
      <c r="Z48" s="188"/>
      <c r="AA48" s="188"/>
      <c r="AB48" s="188"/>
      <c r="AC48" s="188"/>
      <c r="AD48" s="188"/>
    </row>
    <row r="49" ht="39.0" customHeight="1">
      <c r="A49" s="24"/>
      <c r="B49" s="59" t="s">
        <v>622</v>
      </c>
      <c r="C49" s="29">
        <v>50.0</v>
      </c>
      <c r="D49" s="203"/>
      <c r="E49" s="93" t="s">
        <v>651</v>
      </c>
      <c r="F49" s="204"/>
      <c r="G49" s="190"/>
      <c r="H49" s="24"/>
      <c r="I49" s="24"/>
      <c r="J49" s="24"/>
      <c r="K49" s="187"/>
      <c r="L49" s="187"/>
      <c r="M49" s="187"/>
      <c r="N49" s="187"/>
      <c r="O49" s="187"/>
      <c r="P49" s="188"/>
      <c r="Q49" s="188"/>
      <c r="R49" s="188"/>
      <c r="S49" s="188"/>
      <c r="T49" s="188"/>
      <c r="U49" s="188"/>
      <c r="V49" s="188"/>
      <c r="W49" s="188"/>
      <c r="X49" s="188"/>
      <c r="Y49" s="188"/>
      <c r="Z49" s="188"/>
      <c r="AA49" s="188"/>
      <c r="AB49" s="188"/>
      <c r="AC49" s="188"/>
      <c r="AD49" s="188"/>
    </row>
    <row r="50" ht="21.0" customHeight="1">
      <c r="A50" s="24"/>
      <c r="B50" s="59" t="s">
        <v>624</v>
      </c>
      <c r="C50" s="29">
        <v>25.0</v>
      </c>
      <c r="D50" s="200"/>
      <c r="E50" s="93" t="s">
        <v>652</v>
      </c>
      <c r="F50" s="201"/>
      <c r="G50" s="190"/>
      <c r="H50" s="24"/>
      <c r="I50" s="24"/>
      <c r="J50" s="24"/>
      <c r="K50" s="187"/>
      <c r="L50" s="187"/>
      <c r="M50" s="187"/>
      <c r="N50" s="187"/>
      <c r="O50" s="187"/>
      <c r="P50" s="188"/>
      <c r="Q50" s="188"/>
      <c r="R50" s="188"/>
      <c r="S50" s="188"/>
      <c r="T50" s="188"/>
      <c r="U50" s="188"/>
      <c r="V50" s="188"/>
      <c r="W50" s="188"/>
      <c r="X50" s="188"/>
      <c r="Y50" s="188"/>
      <c r="Z50" s="188"/>
      <c r="AA50" s="188"/>
      <c r="AB50" s="188"/>
      <c r="AC50" s="188"/>
      <c r="AD50" s="188"/>
    </row>
    <row r="51" ht="21.0" customHeight="1">
      <c r="A51" s="32"/>
      <c r="B51" s="59" t="s">
        <v>191</v>
      </c>
      <c r="C51" s="29">
        <v>0.0</v>
      </c>
      <c r="D51" s="195"/>
      <c r="E51" s="88"/>
      <c r="F51" s="201"/>
      <c r="G51" s="190"/>
      <c r="H51" s="32"/>
      <c r="I51" s="32"/>
      <c r="J51" s="32"/>
      <c r="K51" s="187"/>
      <c r="L51" s="187"/>
      <c r="M51" s="187"/>
      <c r="N51" s="187"/>
      <c r="O51" s="187"/>
      <c r="P51" s="188"/>
      <c r="Q51" s="188"/>
      <c r="R51" s="188"/>
      <c r="S51" s="188"/>
      <c r="T51" s="188"/>
      <c r="U51" s="188"/>
      <c r="V51" s="188"/>
      <c r="W51" s="188"/>
      <c r="X51" s="188"/>
      <c r="Y51" s="188"/>
      <c r="Z51" s="188"/>
      <c r="AA51" s="188"/>
      <c r="AB51" s="188"/>
      <c r="AC51" s="188"/>
      <c r="AD51" s="188"/>
    </row>
    <row r="52" ht="34.5" customHeight="1">
      <c r="A52" s="137">
        <v>12.0</v>
      </c>
      <c r="B52" s="59" t="s">
        <v>653</v>
      </c>
      <c r="C52" s="29"/>
      <c r="D52" s="195"/>
      <c r="E52" s="88"/>
      <c r="F52" s="201"/>
      <c r="G52" s="19" t="s">
        <v>359</v>
      </c>
      <c r="H52" s="186" t="s">
        <v>654</v>
      </c>
      <c r="I52" s="186" t="s">
        <v>655</v>
      </c>
      <c r="J52" s="186" t="s">
        <v>126</v>
      </c>
      <c r="K52" s="187"/>
      <c r="L52" s="187"/>
      <c r="M52" s="187"/>
      <c r="N52" s="187"/>
      <c r="O52" s="187"/>
      <c r="P52" s="188"/>
      <c r="Q52" s="188"/>
      <c r="R52" s="188"/>
      <c r="S52" s="188"/>
      <c r="T52" s="188"/>
      <c r="U52" s="188"/>
      <c r="V52" s="188"/>
      <c r="W52" s="188"/>
      <c r="X52" s="188"/>
      <c r="Y52" s="188"/>
      <c r="Z52" s="188"/>
      <c r="AA52" s="188"/>
      <c r="AB52" s="188"/>
      <c r="AC52" s="188"/>
      <c r="AD52" s="188"/>
    </row>
    <row r="53" ht="21.0" customHeight="1">
      <c r="A53" s="168"/>
      <c r="B53" s="205" t="s">
        <v>656</v>
      </c>
      <c r="C53" s="29">
        <v>100.0</v>
      </c>
      <c r="D53" s="195">
        <v>100.0</v>
      </c>
      <c r="E53" s="93" t="s">
        <v>657</v>
      </c>
      <c r="F53" s="201"/>
      <c r="G53" s="190"/>
      <c r="H53" s="24"/>
      <c r="I53" s="24"/>
      <c r="J53" s="24"/>
      <c r="K53" s="187"/>
      <c r="L53" s="187"/>
      <c r="M53" s="187"/>
      <c r="N53" s="187"/>
      <c r="O53" s="187"/>
      <c r="P53" s="188"/>
      <c r="Q53" s="188"/>
      <c r="R53" s="188"/>
      <c r="S53" s="188"/>
      <c r="T53" s="188"/>
      <c r="U53" s="188"/>
      <c r="V53" s="188"/>
      <c r="W53" s="188"/>
      <c r="X53" s="188"/>
      <c r="Y53" s="188"/>
      <c r="Z53" s="188"/>
      <c r="AA53" s="188"/>
      <c r="AB53" s="188"/>
      <c r="AC53" s="188"/>
      <c r="AD53" s="188"/>
    </row>
    <row r="54" ht="21.0" customHeight="1">
      <c r="A54" s="168"/>
      <c r="B54" s="206" t="s">
        <v>129</v>
      </c>
      <c r="C54" s="207">
        <v>75.0</v>
      </c>
      <c r="D54" s="195"/>
      <c r="E54" s="93" t="s">
        <v>658</v>
      </c>
      <c r="F54" s="201"/>
      <c r="G54" s="190"/>
      <c r="H54" s="24"/>
      <c r="I54" s="24"/>
      <c r="J54" s="24"/>
      <c r="K54" s="187"/>
      <c r="L54" s="187"/>
      <c r="M54" s="187"/>
      <c r="N54" s="187"/>
      <c r="O54" s="187"/>
      <c r="P54" s="188"/>
      <c r="Q54" s="188"/>
      <c r="R54" s="188"/>
      <c r="S54" s="188"/>
      <c r="T54" s="188"/>
      <c r="U54" s="188"/>
      <c r="V54" s="188"/>
      <c r="W54" s="188"/>
      <c r="X54" s="188"/>
      <c r="Y54" s="188"/>
      <c r="Z54" s="188"/>
      <c r="AA54" s="188"/>
      <c r="AB54" s="188"/>
      <c r="AC54" s="188"/>
      <c r="AD54" s="188"/>
    </row>
    <row r="55" ht="21.0" customHeight="1">
      <c r="A55" s="168"/>
      <c r="B55" s="102" t="s">
        <v>131</v>
      </c>
      <c r="C55" s="29">
        <v>50.0</v>
      </c>
      <c r="D55" s="195"/>
      <c r="E55" s="88"/>
      <c r="F55" s="201"/>
      <c r="G55" s="190"/>
      <c r="H55" s="24"/>
      <c r="I55" s="24"/>
      <c r="J55" s="24"/>
      <c r="K55" s="187"/>
      <c r="L55" s="187"/>
      <c r="M55" s="187"/>
      <c r="N55" s="187"/>
      <c r="O55" s="187"/>
      <c r="P55" s="188"/>
      <c r="Q55" s="188"/>
      <c r="R55" s="188"/>
      <c r="S55" s="188"/>
      <c r="T55" s="188"/>
      <c r="U55" s="188"/>
      <c r="V55" s="188"/>
      <c r="W55" s="188"/>
      <c r="X55" s="188"/>
      <c r="Y55" s="188"/>
      <c r="Z55" s="188"/>
      <c r="AA55" s="188"/>
      <c r="AB55" s="188"/>
      <c r="AC55" s="188"/>
      <c r="AD55" s="188"/>
    </row>
    <row r="56" ht="21.0" customHeight="1">
      <c r="A56" s="166"/>
      <c r="B56" s="102" t="s">
        <v>132</v>
      </c>
      <c r="C56" s="29">
        <v>0.0</v>
      </c>
      <c r="D56" s="195"/>
      <c r="E56" s="88"/>
      <c r="F56" s="201"/>
      <c r="G56" s="190"/>
      <c r="H56" s="32"/>
      <c r="I56" s="32"/>
      <c r="J56" s="32"/>
      <c r="K56" s="187"/>
      <c r="L56" s="187"/>
      <c r="M56" s="187"/>
      <c r="N56" s="187"/>
      <c r="O56" s="187"/>
      <c r="P56" s="188"/>
      <c r="Q56" s="188"/>
      <c r="R56" s="188"/>
      <c r="S56" s="188"/>
      <c r="T56" s="188"/>
      <c r="U56" s="188"/>
      <c r="V56" s="188"/>
      <c r="W56" s="188"/>
      <c r="X56" s="188"/>
      <c r="Y56" s="188"/>
      <c r="Z56" s="188"/>
      <c r="AA56" s="188"/>
      <c r="AB56" s="188"/>
      <c r="AC56" s="188"/>
      <c r="AD56" s="188"/>
    </row>
    <row r="57" ht="25.5" customHeight="1">
      <c r="A57" s="208"/>
      <c r="B57" s="209" t="s">
        <v>311</v>
      </c>
      <c r="C57" s="210"/>
      <c r="D57" s="210">
        <f>SUM(D10:D56)</f>
        <v>1150</v>
      </c>
      <c r="E57" s="210"/>
      <c r="F57" s="210">
        <f>SUM(F10:F56)</f>
        <v>475</v>
      </c>
      <c r="G57" s="211"/>
      <c r="H57" s="211"/>
      <c r="I57" s="211"/>
      <c r="J57" s="211"/>
      <c r="K57" s="13"/>
      <c r="L57" s="13"/>
      <c r="M57" s="13"/>
      <c r="N57" s="13"/>
      <c r="O57" s="13"/>
      <c r="P57" s="6"/>
      <c r="Q57" s="6"/>
      <c r="R57" s="6"/>
      <c r="S57" s="6"/>
      <c r="T57" s="6"/>
      <c r="U57" s="6"/>
      <c r="V57" s="6"/>
      <c r="W57" s="6"/>
      <c r="X57" s="6"/>
      <c r="Y57" s="6"/>
      <c r="Z57" s="6"/>
      <c r="AA57" s="6"/>
      <c r="AB57" s="6"/>
      <c r="AC57" s="6"/>
      <c r="AD57" s="6"/>
    </row>
    <row r="58" ht="15.75" customHeight="1">
      <c r="A58" s="130"/>
      <c r="B58" s="2"/>
      <c r="C58" s="182" t="s">
        <v>312</v>
      </c>
      <c r="D58" s="182">
        <f>D57/1200*100</f>
        <v>95.83333333</v>
      </c>
      <c r="E58" s="182"/>
      <c r="F58" s="182">
        <f>F57/1200*100</f>
        <v>39.58333333</v>
      </c>
      <c r="G58" s="13"/>
      <c r="H58" s="13"/>
      <c r="I58" s="13"/>
      <c r="J58" s="13"/>
      <c r="K58" s="131"/>
      <c r="L58" s="131"/>
      <c r="M58" s="131"/>
      <c r="N58" s="131"/>
      <c r="O58" s="131"/>
      <c r="P58" s="6"/>
      <c r="Q58" s="6"/>
      <c r="R58" s="6"/>
      <c r="S58" s="6"/>
      <c r="T58" s="6"/>
      <c r="U58" s="6"/>
      <c r="V58" s="6"/>
      <c r="W58" s="6"/>
      <c r="X58" s="6"/>
      <c r="Y58" s="6"/>
      <c r="Z58" s="6"/>
      <c r="AA58" s="6"/>
      <c r="AB58" s="6"/>
      <c r="AC58" s="6"/>
      <c r="AD58" s="6"/>
    </row>
    <row r="59" ht="15.75" customHeight="1">
      <c r="A59" s="130"/>
      <c r="B59" s="6"/>
      <c r="C59" s="182"/>
      <c r="D59" s="182"/>
      <c r="E59" s="182"/>
      <c r="F59" s="182"/>
      <c r="G59" s="6"/>
      <c r="H59" s="6"/>
      <c r="I59" s="6"/>
      <c r="J59" s="6"/>
      <c r="K59" s="131"/>
      <c r="L59" s="131"/>
      <c r="M59" s="131"/>
      <c r="N59" s="131"/>
      <c r="O59" s="131"/>
      <c r="P59" s="6"/>
      <c r="Q59" s="6"/>
      <c r="R59" s="6"/>
      <c r="S59" s="6"/>
      <c r="T59" s="6"/>
      <c r="U59" s="6"/>
      <c r="V59" s="6"/>
      <c r="W59" s="6"/>
      <c r="X59" s="6"/>
      <c r="Y59" s="6"/>
      <c r="Z59" s="6"/>
      <c r="AA59" s="6"/>
      <c r="AB59" s="6"/>
      <c r="AC59" s="6"/>
      <c r="AD59" s="6"/>
    </row>
    <row r="60" ht="15.75" customHeight="1">
      <c r="A60" s="130"/>
      <c r="B60" s="2"/>
      <c r="C60" s="182"/>
      <c r="D60" s="182"/>
      <c r="E60" s="182"/>
      <c r="F60" s="182"/>
      <c r="G60" s="6"/>
      <c r="H60" s="6"/>
      <c r="I60" s="6"/>
      <c r="J60" s="6"/>
      <c r="K60" s="131"/>
      <c r="L60" s="131"/>
      <c r="M60" s="131"/>
      <c r="N60" s="131"/>
      <c r="O60" s="131"/>
      <c r="P60" s="6"/>
      <c r="Q60" s="6"/>
      <c r="R60" s="6"/>
      <c r="S60" s="6"/>
      <c r="T60" s="6"/>
      <c r="U60" s="6"/>
      <c r="V60" s="6"/>
      <c r="W60" s="6"/>
      <c r="X60" s="6"/>
      <c r="Y60" s="6"/>
      <c r="Z60" s="6"/>
      <c r="AA60" s="6"/>
      <c r="AB60" s="6"/>
      <c r="AC60" s="6"/>
      <c r="AD60" s="6"/>
    </row>
    <row r="61" ht="15.75" customHeight="1">
      <c r="A61" s="130"/>
      <c r="B61" s="2"/>
      <c r="C61" s="182"/>
      <c r="D61" s="182"/>
      <c r="E61" s="182"/>
      <c r="F61" s="182"/>
      <c r="G61" s="6"/>
      <c r="H61" s="6"/>
      <c r="I61" s="6"/>
      <c r="J61" s="6"/>
      <c r="K61" s="131"/>
      <c r="L61" s="131"/>
      <c r="M61" s="131"/>
      <c r="N61" s="131"/>
      <c r="O61" s="131"/>
      <c r="P61" s="6"/>
      <c r="Q61" s="6"/>
      <c r="R61" s="6"/>
      <c r="S61" s="6"/>
      <c r="T61" s="6"/>
      <c r="U61" s="6"/>
      <c r="V61" s="6"/>
      <c r="W61" s="6"/>
      <c r="X61" s="6"/>
      <c r="Y61" s="6"/>
      <c r="Z61" s="6"/>
      <c r="AA61" s="6"/>
      <c r="AB61" s="6"/>
      <c r="AC61" s="6"/>
      <c r="AD61" s="6"/>
    </row>
    <row r="62" ht="15.75" customHeight="1">
      <c r="A62" s="130"/>
      <c r="B62" s="2"/>
      <c r="C62" s="182"/>
      <c r="D62" s="182"/>
      <c r="E62" s="182"/>
      <c r="F62" s="182"/>
      <c r="G62" s="6"/>
      <c r="H62" s="6"/>
      <c r="I62" s="6"/>
      <c r="J62" s="6"/>
      <c r="K62" s="131"/>
      <c r="L62" s="131"/>
      <c r="M62" s="131"/>
      <c r="N62" s="131"/>
      <c r="O62" s="131"/>
      <c r="P62" s="6"/>
      <c r="Q62" s="6"/>
      <c r="R62" s="6"/>
      <c r="S62" s="6"/>
      <c r="T62" s="6"/>
      <c r="U62" s="6"/>
      <c r="V62" s="6"/>
      <c r="W62" s="6"/>
      <c r="X62" s="6"/>
      <c r="Y62" s="6"/>
      <c r="Z62" s="6"/>
      <c r="AA62" s="6"/>
      <c r="AB62" s="6"/>
      <c r="AC62" s="6"/>
      <c r="AD62" s="6"/>
    </row>
    <row r="63" ht="15.75" customHeight="1">
      <c r="A63" s="130"/>
      <c r="B63" s="2"/>
      <c r="C63" s="182"/>
      <c r="D63" s="182"/>
      <c r="E63" s="182"/>
      <c r="F63" s="182"/>
      <c r="G63" s="6"/>
      <c r="H63" s="6"/>
      <c r="I63" s="6"/>
      <c r="J63" s="6"/>
      <c r="K63" s="131"/>
      <c r="L63" s="131"/>
      <c r="M63" s="131"/>
      <c r="N63" s="131"/>
      <c r="O63" s="131"/>
      <c r="P63" s="6"/>
      <c r="Q63" s="6"/>
      <c r="R63" s="6"/>
      <c r="S63" s="6"/>
      <c r="T63" s="6"/>
      <c r="U63" s="6"/>
      <c r="V63" s="6"/>
      <c r="W63" s="6"/>
      <c r="X63" s="6"/>
      <c r="Y63" s="6"/>
      <c r="Z63" s="6"/>
      <c r="AA63" s="6"/>
      <c r="AB63" s="6"/>
      <c r="AC63" s="6"/>
      <c r="AD63" s="6"/>
    </row>
    <row r="64" ht="15.75" customHeight="1">
      <c r="A64" s="130"/>
      <c r="B64" s="2"/>
      <c r="C64" s="182"/>
      <c r="D64" s="182"/>
      <c r="E64" s="182"/>
      <c r="F64" s="182"/>
      <c r="G64" s="6"/>
      <c r="H64" s="6"/>
      <c r="I64" s="6"/>
      <c r="J64" s="6"/>
      <c r="K64" s="131"/>
      <c r="L64" s="131"/>
      <c r="M64" s="131"/>
      <c r="N64" s="131"/>
      <c r="O64" s="131"/>
      <c r="P64" s="6"/>
      <c r="Q64" s="6"/>
      <c r="R64" s="6"/>
      <c r="S64" s="6"/>
      <c r="T64" s="6"/>
      <c r="U64" s="6"/>
      <c r="V64" s="6"/>
      <c r="W64" s="6"/>
      <c r="X64" s="6"/>
      <c r="Y64" s="6"/>
      <c r="Z64" s="6"/>
      <c r="AA64" s="6"/>
      <c r="AB64" s="6"/>
      <c r="AC64" s="6"/>
      <c r="AD64" s="6"/>
    </row>
    <row r="65" ht="15.75" customHeight="1">
      <c r="A65" s="130"/>
      <c r="B65" s="2"/>
      <c r="C65" s="182"/>
      <c r="D65" s="182"/>
      <c r="E65" s="182"/>
      <c r="F65" s="182"/>
      <c r="G65" s="6"/>
      <c r="H65" s="6"/>
      <c r="I65" s="6"/>
      <c r="J65" s="6"/>
      <c r="K65" s="131"/>
      <c r="L65" s="131"/>
      <c r="M65" s="131"/>
      <c r="N65" s="131"/>
      <c r="O65" s="131"/>
      <c r="P65" s="6"/>
      <c r="Q65" s="6"/>
      <c r="R65" s="6"/>
      <c r="S65" s="6"/>
      <c r="T65" s="6"/>
      <c r="U65" s="6"/>
      <c r="V65" s="6"/>
      <c r="W65" s="6"/>
      <c r="X65" s="6"/>
      <c r="Y65" s="6"/>
      <c r="Z65" s="6"/>
      <c r="AA65" s="6"/>
      <c r="AB65" s="6"/>
      <c r="AC65" s="6"/>
      <c r="AD65" s="6"/>
    </row>
    <row r="66" ht="15.75" customHeight="1">
      <c r="A66" s="130"/>
      <c r="B66" s="2"/>
      <c r="C66" s="182"/>
      <c r="D66" s="182"/>
      <c r="E66" s="182"/>
      <c r="F66" s="182"/>
      <c r="G66" s="6"/>
      <c r="H66" s="6"/>
      <c r="I66" s="6"/>
      <c r="J66" s="6"/>
      <c r="K66" s="131"/>
      <c r="L66" s="131"/>
      <c r="M66" s="131"/>
      <c r="N66" s="131"/>
      <c r="O66" s="131"/>
      <c r="P66" s="6"/>
      <c r="Q66" s="6"/>
      <c r="R66" s="6"/>
      <c r="S66" s="6"/>
      <c r="T66" s="6"/>
      <c r="U66" s="6"/>
      <c r="V66" s="6"/>
      <c r="W66" s="6"/>
      <c r="X66" s="6"/>
      <c r="Y66" s="6"/>
      <c r="Z66" s="6"/>
      <c r="AA66" s="6"/>
      <c r="AB66" s="6"/>
      <c r="AC66" s="6"/>
      <c r="AD66" s="6"/>
    </row>
    <row r="67" ht="15.75" customHeight="1">
      <c r="A67" s="130"/>
      <c r="B67" s="2"/>
      <c r="C67" s="182"/>
      <c r="D67" s="182"/>
      <c r="E67" s="182"/>
      <c r="F67" s="182"/>
      <c r="G67" s="6"/>
      <c r="H67" s="6"/>
      <c r="I67" s="6"/>
      <c r="J67" s="6"/>
      <c r="K67" s="131"/>
      <c r="L67" s="131"/>
      <c r="M67" s="131"/>
      <c r="N67" s="131"/>
      <c r="O67" s="131"/>
      <c r="P67" s="6"/>
      <c r="Q67" s="6"/>
      <c r="R67" s="6"/>
      <c r="S67" s="6"/>
      <c r="T67" s="6"/>
      <c r="U67" s="6"/>
      <c r="V67" s="6"/>
      <c r="W67" s="6"/>
      <c r="X67" s="6"/>
      <c r="Y67" s="6"/>
      <c r="Z67" s="6"/>
      <c r="AA67" s="6"/>
      <c r="AB67" s="6"/>
      <c r="AC67" s="6"/>
      <c r="AD67" s="6"/>
    </row>
    <row r="68" ht="15.75" customHeight="1">
      <c r="A68" s="130"/>
      <c r="B68" s="2"/>
      <c r="C68" s="182"/>
      <c r="D68" s="182"/>
      <c r="E68" s="182"/>
      <c r="F68" s="182"/>
      <c r="G68" s="6"/>
      <c r="H68" s="6"/>
      <c r="I68" s="6"/>
      <c r="J68" s="6"/>
      <c r="K68" s="131"/>
      <c r="L68" s="131"/>
      <c r="M68" s="131"/>
      <c r="N68" s="131"/>
      <c r="O68" s="131"/>
      <c r="P68" s="6"/>
      <c r="Q68" s="6"/>
      <c r="R68" s="6"/>
      <c r="S68" s="6"/>
      <c r="T68" s="6"/>
      <c r="U68" s="6"/>
      <c r="V68" s="6"/>
      <c r="W68" s="6"/>
      <c r="X68" s="6"/>
      <c r="Y68" s="6"/>
      <c r="Z68" s="6"/>
      <c r="AA68" s="6"/>
      <c r="AB68" s="6"/>
      <c r="AC68" s="6"/>
      <c r="AD68" s="6"/>
    </row>
    <row r="69" ht="15.75" customHeight="1">
      <c r="A69" s="130"/>
      <c r="B69" s="2"/>
      <c r="C69" s="182"/>
      <c r="D69" s="182"/>
      <c r="E69" s="182"/>
      <c r="F69" s="182"/>
      <c r="G69" s="6"/>
      <c r="H69" s="6"/>
      <c r="I69" s="6"/>
      <c r="J69" s="6"/>
      <c r="K69" s="131"/>
      <c r="L69" s="131"/>
      <c r="M69" s="131"/>
      <c r="N69" s="131"/>
      <c r="O69" s="131"/>
      <c r="P69" s="6"/>
      <c r="Q69" s="6"/>
      <c r="R69" s="6"/>
      <c r="S69" s="6"/>
      <c r="T69" s="6"/>
      <c r="U69" s="6"/>
      <c r="V69" s="6"/>
      <c r="W69" s="6"/>
      <c r="X69" s="6"/>
      <c r="Y69" s="6"/>
      <c r="Z69" s="6"/>
      <c r="AA69" s="6"/>
      <c r="AB69" s="6"/>
      <c r="AC69" s="6"/>
      <c r="AD69" s="6"/>
    </row>
    <row r="70" ht="15.75" customHeight="1">
      <c r="A70" s="130"/>
      <c r="B70" s="2"/>
      <c r="C70" s="182"/>
      <c r="D70" s="182"/>
      <c r="E70" s="182"/>
      <c r="F70" s="182"/>
      <c r="G70" s="6"/>
      <c r="H70" s="6"/>
      <c r="I70" s="6"/>
      <c r="J70" s="6"/>
      <c r="K70" s="131"/>
      <c r="L70" s="131"/>
      <c r="M70" s="131"/>
      <c r="N70" s="131"/>
      <c r="O70" s="131"/>
      <c r="P70" s="6"/>
      <c r="Q70" s="6"/>
      <c r="R70" s="6"/>
      <c r="S70" s="6"/>
      <c r="T70" s="6"/>
      <c r="U70" s="6"/>
      <c r="V70" s="6"/>
      <c r="W70" s="6"/>
      <c r="X70" s="6"/>
      <c r="Y70" s="6"/>
      <c r="Z70" s="6"/>
      <c r="AA70" s="6"/>
      <c r="AB70" s="6"/>
      <c r="AC70" s="6"/>
      <c r="AD70" s="6"/>
    </row>
    <row r="71" ht="15.75" customHeight="1">
      <c r="A71" s="130"/>
      <c r="B71" s="2"/>
      <c r="C71" s="182"/>
      <c r="D71" s="182"/>
      <c r="E71" s="182"/>
      <c r="F71" s="182"/>
      <c r="G71" s="6"/>
      <c r="H71" s="6"/>
      <c r="I71" s="6"/>
      <c r="J71" s="6"/>
      <c r="K71" s="131"/>
      <c r="L71" s="131"/>
      <c r="M71" s="131"/>
      <c r="N71" s="131"/>
      <c r="O71" s="131"/>
      <c r="P71" s="6"/>
      <c r="Q71" s="6"/>
      <c r="R71" s="6"/>
      <c r="S71" s="6"/>
      <c r="T71" s="6"/>
      <c r="U71" s="6"/>
      <c r="V71" s="6"/>
      <c r="W71" s="6"/>
      <c r="X71" s="6"/>
      <c r="Y71" s="6"/>
      <c r="Z71" s="6"/>
      <c r="AA71" s="6"/>
      <c r="AB71" s="6"/>
      <c r="AC71" s="6"/>
      <c r="AD71" s="6"/>
    </row>
    <row r="72" ht="15.75" customHeight="1">
      <c r="A72" s="130"/>
      <c r="B72" s="2"/>
      <c r="C72" s="182"/>
      <c r="D72" s="182"/>
      <c r="E72" s="182"/>
      <c r="F72" s="182"/>
      <c r="G72" s="6"/>
      <c r="H72" s="6"/>
      <c r="I72" s="6"/>
      <c r="J72" s="6"/>
      <c r="K72" s="131"/>
      <c r="L72" s="131"/>
      <c r="M72" s="131"/>
      <c r="N72" s="131"/>
      <c r="O72" s="131"/>
      <c r="P72" s="6"/>
      <c r="Q72" s="6"/>
      <c r="R72" s="6"/>
      <c r="S72" s="6"/>
      <c r="T72" s="6"/>
      <c r="U72" s="6"/>
      <c r="V72" s="6"/>
      <c r="W72" s="6"/>
      <c r="X72" s="6"/>
      <c r="Y72" s="6"/>
      <c r="Z72" s="6"/>
      <c r="AA72" s="6"/>
      <c r="AB72" s="6"/>
      <c r="AC72" s="6"/>
      <c r="AD72" s="6"/>
    </row>
    <row r="73" ht="15.75" customHeight="1">
      <c r="A73" s="130"/>
      <c r="B73" s="2"/>
      <c r="C73" s="182"/>
      <c r="D73" s="182"/>
      <c r="E73" s="182"/>
      <c r="F73" s="182"/>
      <c r="G73" s="6"/>
      <c r="H73" s="6"/>
      <c r="I73" s="6"/>
      <c r="J73" s="6"/>
      <c r="K73" s="131"/>
      <c r="L73" s="131"/>
      <c r="M73" s="131"/>
      <c r="N73" s="131"/>
      <c r="O73" s="131"/>
      <c r="P73" s="6"/>
      <c r="Q73" s="6"/>
      <c r="R73" s="6"/>
      <c r="S73" s="6"/>
      <c r="T73" s="6"/>
      <c r="U73" s="6"/>
      <c r="V73" s="6"/>
      <c r="W73" s="6"/>
      <c r="X73" s="6"/>
      <c r="Y73" s="6"/>
      <c r="Z73" s="6"/>
      <c r="AA73" s="6"/>
      <c r="AB73" s="6"/>
      <c r="AC73" s="6"/>
      <c r="AD73" s="6"/>
    </row>
    <row r="74" ht="15.75" customHeight="1">
      <c r="A74" s="130"/>
      <c r="B74" s="2"/>
      <c r="C74" s="182"/>
      <c r="D74" s="182"/>
      <c r="E74" s="182"/>
      <c r="F74" s="182"/>
      <c r="G74" s="6"/>
      <c r="H74" s="6"/>
      <c r="I74" s="6"/>
      <c r="J74" s="6"/>
      <c r="K74" s="131"/>
      <c r="L74" s="131"/>
      <c r="M74" s="131"/>
      <c r="N74" s="131"/>
      <c r="O74" s="131"/>
      <c r="P74" s="6"/>
      <c r="Q74" s="6"/>
      <c r="R74" s="6"/>
      <c r="S74" s="6"/>
      <c r="T74" s="6"/>
      <c r="U74" s="6"/>
      <c r="V74" s="6"/>
      <c r="W74" s="6"/>
      <c r="X74" s="6"/>
      <c r="Y74" s="6"/>
      <c r="Z74" s="6"/>
      <c r="AA74" s="6"/>
      <c r="AB74" s="6"/>
      <c r="AC74" s="6"/>
      <c r="AD74" s="6"/>
    </row>
    <row r="75" ht="15.75" customHeight="1">
      <c r="A75" s="130"/>
      <c r="B75" s="2"/>
      <c r="C75" s="182"/>
      <c r="D75" s="182"/>
      <c r="E75" s="182"/>
      <c r="F75" s="182"/>
      <c r="G75" s="6"/>
      <c r="H75" s="6"/>
      <c r="I75" s="6"/>
      <c r="J75" s="6"/>
      <c r="K75" s="131"/>
      <c r="L75" s="131"/>
      <c r="M75" s="131"/>
      <c r="N75" s="131"/>
      <c r="O75" s="131"/>
      <c r="P75" s="6"/>
      <c r="Q75" s="6"/>
      <c r="R75" s="6"/>
      <c r="S75" s="6"/>
      <c r="T75" s="6"/>
      <c r="U75" s="6"/>
      <c r="V75" s="6"/>
      <c r="W75" s="6"/>
      <c r="X75" s="6"/>
      <c r="Y75" s="6"/>
      <c r="Z75" s="6"/>
      <c r="AA75" s="6"/>
      <c r="AB75" s="6"/>
      <c r="AC75" s="6"/>
      <c r="AD75" s="6"/>
    </row>
    <row r="76" ht="15.75" customHeight="1">
      <c r="A76" s="130"/>
      <c r="B76" s="2"/>
      <c r="C76" s="182"/>
      <c r="D76" s="182"/>
      <c r="E76" s="182"/>
      <c r="F76" s="182"/>
      <c r="G76" s="6"/>
      <c r="H76" s="6"/>
      <c r="I76" s="6"/>
      <c r="J76" s="6"/>
      <c r="K76" s="131"/>
      <c r="L76" s="131"/>
      <c r="M76" s="131"/>
      <c r="N76" s="131"/>
      <c r="O76" s="131"/>
      <c r="P76" s="6"/>
      <c r="Q76" s="6"/>
      <c r="R76" s="6"/>
      <c r="S76" s="6"/>
      <c r="T76" s="6"/>
      <c r="U76" s="6"/>
      <c r="V76" s="6"/>
      <c r="W76" s="6"/>
      <c r="X76" s="6"/>
      <c r="Y76" s="6"/>
      <c r="Z76" s="6"/>
      <c r="AA76" s="6"/>
      <c r="AB76" s="6"/>
      <c r="AC76" s="6"/>
      <c r="AD76" s="6"/>
    </row>
    <row r="77" ht="15.75" customHeight="1">
      <c r="A77" s="130"/>
      <c r="B77" s="2"/>
      <c r="C77" s="182"/>
      <c r="D77" s="182"/>
      <c r="E77" s="182"/>
      <c r="F77" s="182"/>
      <c r="G77" s="6"/>
      <c r="H77" s="6"/>
      <c r="I77" s="6"/>
      <c r="J77" s="6"/>
      <c r="K77" s="131"/>
      <c r="L77" s="131"/>
      <c r="M77" s="131"/>
      <c r="N77" s="131"/>
      <c r="O77" s="131"/>
      <c r="P77" s="6"/>
      <c r="Q77" s="6"/>
      <c r="R77" s="6"/>
      <c r="S77" s="6"/>
      <c r="T77" s="6"/>
      <c r="U77" s="6"/>
      <c r="V77" s="6"/>
      <c r="W77" s="6"/>
      <c r="X77" s="6"/>
      <c r="Y77" s="6"/>
      <c r="Z77" s="6"/>
      <c r="AA77" s="6"/>
      <c r="AB77" s="6"/>
      <c r="AC77" s="6"/>
      <c r="AD77" s="6"/>
    </row>
    <row r="78" ht="15.75" customHeight="1">
      <c r="A78" s="130"/>
      <c r="B78" s="2"/>
      <c r="C78" s="182"/>
      <c r="D78" s="182"/>
      <c r="E78" s="182"/>
      <c r="F78" s="182"/>
      <c r="G78" s="6"/>
      <c r="H78" s="6"/>
      <c r="I78" s="6"/>
      <c r="J78" s="6"/>
      <c r="K78" s="131"/>
      <c r="L78" s="131"/>
      <c r="M78" s="131"/>
      <c r="N78" s="131"/>
      <c r="O78" s="131"/>
      <c r="P78" s="6"/>
      <c r="Q78" s="6"/>
      <c r="R78" s="6"/>
      <c r="S78" s="6"/>
      <c r="T78" s="6"/>
      <c r="U78" s="6"/>
      <c r="V78" s="6"/>
      <c r="W78" s="6"/>
      <c r="X78" s="6"/>
      <c r="Y78" s="6"/>
      <c r="Z78" s="6"/>
      <c r="AA78" s="6"/>
      <c r="AB78" s="6"/>
      <c r="AC78" s="6"/>
      <c r="AD78" s="6"/>
    </row>
    <row r="79" ht="15.75" customHeight="1">
      <c r="A79" s="130"/>
      <c r="B79" s="2"/>
      <c r="C79" s="182"/>
      <c r="D79" s="182"/>
      <c r="E79" s="182"/>
      <c r="F79" s="182"/>
      <c r="G79" s="6"/>
      <c r="H79" s="6"/>
      <c r="I79" s="6"/>
      <c r="J79" s="6"/>
      <c r="K79" s="131"/>
      <c r="L79" s="131"/>
      <c r="M79" s="131"/>
      <c r="N79" s="131"/>
      <c r="O79" s="131"/>
      <c r="P79" s="6"/>
      <c r="Q79" s="6"/>
      <c r="R79" s="6"/>
      <c r="S79" s="6"/>
      <c r="T79" s="6"/>
      <c r="U79" s="6"/>
      <c r="V79" s="6"/>
      <c r="W79" s="6"/>
      <c r="X79" s="6"/>
      <c r="Y79" s="6"/>
      <c r="Z79" s="6"/>
      <c r="AA79" s="6"/>
      <c r="AB79" s="6"/>
      <c r="AC79" s="6"/>
      <c r="AD79" s="6"/>
    </row>
    <row r="80" ht="15.75" customHeight="1">
      <c r="A80" s="130"/>
      <c r="B80" s="2"/>
      <c r="C80" s="182"/>
      <c r="D80" s="182"/>
      <c r="E80" s="182"/>
      <c r="F80" s="182"/>
      <c r="G80" s="6"/>
      <c r="H80" s="6"/>
      <c r="I80" s="6"/>
      <c r="J80" s="6"/>
      <c r="K80" s="131"/>
      <c r="L80" s="131"/>
      <c r="M80" s="131"/>
      <c r="N80" s="131"/>
      <c r="O80" s="131"/>
      <c r="P80" s="6"/>
      <c r="Q80" s="6"/>
      <c r="R80" s="6"/>
      <c r="S80" s="6"/>
      <c r="T80" s="6"/>
      <c r="U80" s="6"/>
      <c r="V80" s="6"/>
      <c r="W80" s="6"/>
      <c r="X80" s="6"/>
      <c r="Y80" s="6"/>
      <c r="Z80" s="6"/>
      <c r="AA80" s="6"/>
      <c r="AB80" s="6"/>
      <c r="AC80" s="6"/>
      <c r="AD80" s="6"/>
    </row>
    <row r="81" ht="15.75" customHeight="1">
      <c r="A81" s="130"/>
      <c r="B81" s="2"/>
      <c r="C81" s="182"/>
      <c r="D81" s="182"/>
      <c r="E81" s="182"/>
      <c r="F81" s="182"/>
      <c r="G81" s="6"/>
      <c r="H81" s="6"/>
      <c r="I81" s="6"/>
      <c r="J81" s="6"/>
      <c r="K81" s="131"/>
      <c r="L81" s="131"/>
      <c r="M81" s="131"/>
      <c r="N81" s="131"/>
      <c r="O81" s="131"/>
      <c r="P81" s="6"/>
      <c r="Q81" s="6"/>
      <c r="R81" s="6"/>
      <c r="S81" s="6"/>
      <c r="T81" s="6"/>
      <c r="U81" s="6"/>
      <c r="V81" s="6"/>
      <c r="W81" s="6"/>
      <c r="X81" s="6"/>
      <c r="Y81" s="6"/>
      <c r="Z81" s="6"/>
      <c r="AA81" s="6"/>
      <c r="AB81" s="6"/>
      <c r="AC81" s="6"/>
      <c r="AD81" s="6"/>
    </row>
    <row r="82" ht="15.75" customHeight="1">
      <c r="A82" s="130"/>
      <c r="B82" s="2"/>
      <c r="C82" s="182"/>
      <c r="D82" s="182"/>
      <c r="E82" s="182"/>
      <c r="F82" s="182"/>
      <c r="G82" s="6"/>
      <c r="H82" s="6"/>
      <c r="I82" s="6"/>
      <c r="J82" s="6"/>
      <c r="K82" s="131"/>
      <c r="L82" s="131"/>
      <c r="M82" s="131"/>
      <c r="N82" s="131"/>
      <c r="O82" s="131"/>
      <c r="P82" s="6"/>
      <c r="Q82" s="6"/>
      <c r="R82" s="6"/>
      <c r="S82" s="6"/>
      <c r="T82" s="6"/>
      <c r="U82" s="6"/>
      <c r="V82" s="6"/>
      <c r="W82" s="6"/>
      <c r="X82" s="6"/>
      <c r="Y82" s="6"/>
      <c r="Z82" s="6"/>
      <c r="AA82" s="6"/>
      <c r="AB82" s="6"/>
      <c r="AC82" s="6"/>
      <c r="AD82" s="6"/>
    </row>
    <row r="83" ht="15.75" customHeight="1">
      <c r="A83" s="130"/>
      <c r="B83" s="2"/>
      <c r="C83" s="182"/>
      <c r="D83" s="182"/>
      <c r="E83" s="182"/>
      <c r="F83" s="182"/>
      <c r="G83" s="6"/>
      <c r="H83" s="6"/>
      <c r="I83" s="6"/>
      <c r="J83" s="6"/>
      <c r="K83" s="131"/>
      <c r="L83" s="131"/>
      <c r="M83" s="131"/>
      <c r="N83" s="131"/>
      <c r="O83" s="131"/>
      <c r="P83" s="6"/>
      <c r="Q83" s="6"/>
      <c r="R83" s="6"/>
      <c r="S83" s="6"/>
      <c r="T83" s="6"/>
      <c r="U83" s="6"/>
      <c r="V83" s="6"/>
      <c r="W83" s="6"/>
      <c r="X83" s="6"/>
      <c r="Y83" s="6"/>
      <c r="Z83" s="6"/>
      <c r="AA83" s="6"/>
      <c r="AB83" s="6"/>
      <c r="AC83" s="6"/>
      <c r="AD83" s="6"/>
    </row>
    <row r="84" ht="15.75" customHeight="1">
      <c r="A84" s="130"/>
      <c r="B84" s="2"/>
      <c r="C84" s="182"/>
      <c r="D84" s="182"/>
      <c r="E84" s="182"/>
      <c r="F84" s="182"/>
      <c r="G84" s="6"/>
      <c r="H84" s="6"/>
      <c r="I84" s="6"/>
      <c r="J84" s="6"/>
      <c r="K84" s="131"/>
      <c r="L84" s="131"/>
      <c r="M84" s="131"/>
      <c r="N84" s="131"/>
      <c r="O84" s="131"/>
      <c r="P84" s="6"/>
      <c r="Q84" s="6"/>
      <c r="R84" s="6"/>
      <c r="S84" s="6"/>
      <c r="T84" s="6"/>
      <c r="U84" s="6"/>
      <c r="V84" s="6"/>
      <c r="W84" s="6"/>
      <c r="X84" s="6"/>
      <c r="Y84" s="6"/>
      <c r="Z84" s="6"/>
      <c r="AA84" s="6"/>
      <c r="AB84" s="6"/>
      <c r="AC84" s="6"/>
      <c r="AD84" s="6"/>
    </row>
    <row r="85" ht="15.75" customHeight="1">
      <c r="A85" s="130"/>
      <c r="B85" s="2"/>
      <c r="C85" s="182"/>
      <c r="D85" s="182"/>
      <c r="E85" s="182"/>
      <c r="F85" s="182"/>
      <c r="G85" s="6"/>
      <c r="H85" s="6"/>
      <c r="I85" s="6"/>
      <c r="J85" s="6"/>
      <c r="K85" s="131"/>
      <c r="L85" s="131"/>
      <c r="M85" s="131"/>
      <c r="N85" s="131"/>
      <c r="O85" s="131"/>
      <c r="P85" s="6"/>
      <c r="Q85" s="6"/>
      <c r="R85" s="6"/>
      <c r="S85" s="6"/>
      <c r="T85" s="6"/>
      <c r="U85" s="6"/>
      <c r="V85" s="6"/>
      <c r="W85" s="6"/>
      <c r="X85" s="6"/>
      <c r="Y85" s="6"/>
      <c r="Z85" s="6"/>
      <c r="AA85" s="6"/>
      <c r="AB85" s="6"/>
      <c r="AC85" s="6"/>
      <c r="AD85" s="6"/>
    </row>
    <row r="86" ht="15.75" customHeight="1">
      <c r="A86" s="130"/>
      <c r="B86" s="2"/>
      <c r="C86" s="182"/>
      <c r="D86" s="182"/>
      <c r="E86" s="182"/>
      <c r="F86" s="182"/>
      <c r="G86" s="6"/>
      <c r="H86" s="6"/>
      <c r="I86" s="6"/>
      <c r="J86" s="6"/>
      <c r="K86" s="131"/>
      <c r="L86" s="131"/>
      <c r="M86" s="131"/>
      <c r="N86" s="131"/>
      <c r="O86" s="131"/>
      <c r="P86" s="6"/>
      <c r="Q86" s="6"/>
      <c r="R86" s="6"/>
      <c r="S86" s="6"/>
      <c r="T86" s="6"/>
      <c r="U86" s="6"/>
      <c r="V86" s="6"/>
      <c r="W86" s="6"/>
      <c r="X86" s="6"/>
      <c r="Y86" s="6"/>
      <c r="Z86" s="6"/>
      <c r="AA86" s="6"/>
      <c r="AB86" s="6"/>
      <c r="AC86" s="6"/>
      <c r="AD86" s="6"/>
    </row>
    <row r="87" ht="15.75" customHeight="1">
      <c r="A87" s="130"/>
      <c r="B87" s="2"/>
      <c r="C87" s="182"/>
      <c r="D87" s="182"/>
      <c r="E87" s="182"/>
      <c r="F87" s="182"/>
      <c r="G87" s="6"/>
      <c r="H87" s="6"/>
      <c r="I87" s="6"/>
      <c r="J87" s="6"/>
      <c r="K87" s="131"/>
      <c r="L87" s="131"/>
      <c r="M87" s="131"/>
      <c r="N87" s="131"/>
      <c r="O87" s="131"/>
      <c r="P87" s="6"/>
      <c r="Q87" s="6"/>
      <c r="R87" s="6"/>
      <c r="S87" s="6"/>
      <c r="T87" s="6"/>
      <c r="U87" s="6"/>
      <c r="V87" s="6"/>
      <c r="W87" s="6"/>
      <c r="X87" s="6"/>
      <c r="Y87" s="6"/>
      <c r="Z87" s="6"/>
      <c r="AA87" s="6"/>
      <c r="AB87" s="6"/>
      <c r="AC87" s="6"/>
      <c r="AD87" s="6"/>
    </row>
    <row r="88" ht="15.75" customHeight="1">
      <c r="A88" s="130"/>
      <c r="B88" s="2"/>
      <c r="C88" s="182"/>
      <c r="D88" s="182"/>
      <c r="E88" s="182"/>
      <c r="F88" s="182"/>
      <c r="G88" s="6"/>
      <c r="H88" s="6"/>
      <c r="I88" s="6"/>
      <c r="J88" s="6"/>
      <c r="K88" s="131"/>
      <c r="L88" s="131"/>
      <c r="M88" s="131"/>
      <c r="N88" s="131"/>
      <c r="O88" s="131"/>
      <c r="P88" s="6"/>
      <c r="Q88" s="6"/>
      <c r="R88" s="6"/>
      <c r="S88" s="6"/>
      <c r="T88" s="6"/>
      <c r="U88" s="6"/>
      <c r="V88" s="6"/>
      <c r="W88" s="6"/>
      <c r="X88" s="6"/>
      <c r="Y88" s="6"/>
      <c r="Z88" s="6"/>
      <c r="AA88" s="6"/>
      <c r="AB88" s="6"/>
      <c r="AC88" s="6"/>
      <c r="AD88" s="6"/>
    </row>
    <row r="89" ht="15.75" customHeight="1">
      <c r="A89" s="130"/>
      <c r="B89" s="2"/>
      <c r="C89" s="182"/>
      <c r="D89" s="182"/>
      <c r="E89" s="182"/>
      <c r="F89" s="182"/>
      <c r="G89" s="6"/>
      <c r="H89" s="6"/>
      <c r="I89" s="6"/>
      <c r="J89" s="6"/>
      <c r="K89" s="131"/>
      <c r="L89" s="131"/>
      <c r="M89" s="131"/>
      <c r="N89" s="131"/>
      <c r="O89" s="131"/>
      <c r="P89" s="6"/>
      <c r="Q89" s="6"/>
      <c r="R89" s="6"/>
      <c r="S89" s="6"/>
      <c r="T89" s="6"/>
      <c r="U89" s="6"/>
      <c r="V89" s="6"/>
      <c r="W89" s="6"/>
      <c r="X89" s="6"/>
      <c r="Y89" s="6"/>
      <c r="Z89" s="6"/>
      <c r="AA89" s="6"/>
      <c r="AB89" s="6"/>
      <c r="AC89" s="6"/>
      <c r="AD89" s="6"/>
    </row>
    <row r="90" ht="15.75" customHeight="1">
      <c r="A90" s="130"/>
      <c r="B90" s="2"/>
      <c r="C90" s="182"/>
      <c r="D90" s="182"/>
      <c r="E90" s="182"/>
      <c r="F90" s="182"/>
      <c r="G90" s="6"/>
      <c r="H90" s="6"/>
      <c r="I90" s="6"/>
      <c r="J90" s="6"/>
      <c r="K90" s="131"/>
      <c r="L90" s="131"/>
      <c r="M90" s="131"/>
      <c r="N90" s="131"/>
      <c r="O90" s="131"/>
      <c r="P90" s="6"/>
      <c r="Q90" s="6"/>
      <c r="R90" s="6"/>
      <c r="S90" s="6"/>
      <c r="T90" s="6"/>
      <c r="U90" s="6"/>
      <c r="V90" s="6"/>
      <c r="W90" s="6"/>
      <c r="X90" s="6"/>
      <c r="Y90" s="6"/>
      <c r="Z90" s="6"/>
      <c r="AA90" s="6"/>
      <c r="AB90" s="6"/>
      <c r="AC90" s="6"/>
      <c r="AD90" s="6"/>
    </row>
    <row r="91" ht="15.75" customHeight="1">
      <c r="A91" s="130"/>
      <c r="B91" s="2"/>
      <c r="C91" s="182"/>
      <c r="D91" s="182"/>
      <c r="E91" s="182"/>
      <c r="F91" s="182"/>
      <c r="G91" s="6"/>
      <c r="H91" s="6"/>
      <c r="I91" s="6"/>
      <c r="J91" s="6"/>
      <c r="K91" s="131"/>
      <c r="L91" s="131"/>
      <c r="M91" s="131"/>
      <c r="N91" s="131"/>
      <c r="O91" s="131"/>
      <c r="P91" s="6"/>
      <c r="Q91" s="6"/>
      <c r="R91" s="6"/>
      <c r="S91" s="6"/>
      <c r="T91" s="6"/>
      <c r="U91" s="6"/>
      <c r="V91" s="6"/>
      <c r="W91" s="6"/>
      <c r="X91" s="6"/>
      <c r="Y91" s="6"/>
      <c r="Z91" s="6"/>
      <c r="AA91" s="6"/>
      <c r="AB91" s="6"/>
      <c r="AC91" s="6"/>
      <c r="AD91" s="6"/>
    </row>
    <row r="92" ht="15.75" customHeight="1">
      <c r="A92" s="130"/>
      <c r="B92" s="2"/>
      <c r="C92" s="182"/>
      <c r="D92" s="182"/>
      <c r="E92" s="182"/>
      <c r="F92" s="182"/>
      <c r="G92" s="6"/>
      <c r="H92" s="6"/>
      <c r="I92" s="6"/>
      <c r="J92" s="6"/>
      <c r="K92" s="131"/>
      <c r="L92" s="131"/>
      <c r="M92" s="131"/>
      <c r="N92" s="131"/>
      <c r="O92" s="131"/>
      <c r="P92" s="6"/>
      <c r="Q92" s="6"/>
      <c r="R92" s="6"/>
      <c r="S92" s="6"/>
      <c r="T92" s="6"/>
      <c r="U92" s="6"/>
      <c r="V92" s="6"/>
      <c r="W92" s="6"/>
      <c r="X92" s="6"/>
      <c r="Y92" s="6"/>
      <c r="Z92" s="6"/>
      <c r="AA92" s="6"/>
      <c r="AB92" s="6"/>
      <c r="AC92" s="6"/>
      <c r="AD92" s="6"/>
    </row>
    <row r="93" ht="15.75" customHeight="1">
      <c r="A93" s="130"/>
      <c r="B93" s="2"/>
      <c r="C93" s="182"/>
      <c r="D93" s="182"/>
      <c r="E93" s="182"/>
      <c r="F93" s="182"/>
      <c r="G93" s="6"/>
      <c r="H93" s="6"/>
      <c r="I93" s="6"/>
      <c r="J93" s="6"/>
      <c r="K93" s="131"/>
      <c r="L93" s="131"/>
      <c r="M93" s="131"/>
      <c r="N93" s="131"/>
      <c r="O93" s="131"/>
      <c r="P93" s="6"/>
      <c r="Q93" s="6"/>
      <c r="R93" s="6"/>
      <c r="S93" s="6"/>
      <c r="T93" s="6"/>
      <c r="U93" s="6"/>
      <c r="V93" s="6"/>
      <c r="W93" s="6"/>
      <c r="X93" s="6"/>
      <c r="Y93" s="6"/>
      <c r="Z93" s="6"/>
      <c r="AA93" s="6"/>
      <c r="AB93" s="6"/>
      <c r="AC93" s="6"/>
      <c r="AD93" s="6"/>
    </row>
    <row r="94" ht="15.75" customHeight="1">
      <c r="A94" s="130"/>
      <c r="B94" s="2"/>
      <c r="C94" s="182"/>
      <c r="D94" s="182"/>
      <c r="E94" s="182"/>
      <c r="F94" s="182"/>
      <c r="G94" s="6"/>
      <c r="H94" s="6"/>
      <c r="I94" s="6"/>
      <c r="J94" s="6"/>
      <c r="K94" s="131"/>
      <c r="L94" s="131"/>
      <c r="M94" s="131"/>
      <c r="N94" s="131"/>
      <c r="O94" s="131"/>
      <c r="P94" s="6"/>
      <c r="Q94" s="6"/>
      <c r="R94" s="6"/>
      <c r="S94" s="6"/>
      <c r="T94" s="6"/>
      <c r="U94" s="6"/>
      <c r="V94" s="6"/>
      <c r="W94" s="6"/>
      <c r="X94" s="6"/>
      <c r="Y94" s="6"/>
      <c r="Z94" s="6"/>
      <c r="AA94" s="6"/>
      <c r="AB94" s="6"/>
      <c r="AC94" s="6"/>
      <c r="AD94" s="6"/>
    </row>
    <row r="95" ht="15.75" customHeight="1">
      <c r="A95" s="130"/>
      <c r="B95" s="2"/>
      <c r="C95" s="182"/>
      <c r="D95" s="182"/>
      <c r="E95" s="182"/>
      <c r="F95" s="182"/>
      <c r="G95" s="6"/>
      <c r="H95" s="6"/>
      <c r="I95" s="6"/>
      <c r="J95" s="6"/>
      <c r="K95" s="131"/>
      <c r="L95" s="131"/>
      <c r="M95" s="131"/>
      <c r="N95" s="131"/>
      <c r="O95" s="131"/>
      <c r="P95" s="6"/>
      <c r="Q95" s="6"/>
      <c r="R95" s="6"/>
      <c r="S95" s="6"/>
      <c r="T95" s="6"/>
      <c r="U95" s="6"/>
      <c r="V95" s="6"/>
      <c r="W95" s="6"/>
      <c r="X95" s="6"/>
      <c r="Y95" s="6"/>
      <c r="Z95" s="6"/>
      <c r="AA95" s="6"/>
      <c r="AB95" s="6"/>
      <c r="AC95" s="6"/>
      <c r="AD95" s="6"/>
    </row>
    <row r="96" ht="15.75" customHeight="1">
      <c r="A96" s="130"/>
      <c r="B96" s="2"/>
      <c r="C96" s="182"/>
      <c r="D96" s="182"/>
      <c r="E96" s="182"/>
      <c r="F96" s="182"/>
      <c r="G96" s="6"/>
      <c r="H96" s="6"/>
      <c r="I96" s="6"/>
      <c r="J96" s="6"/>
      <c r="K96" s="131"/>
      <c r="L96" s="131"/>
      <c r="M96" s="131"/>
      <c r="N96" s="131"/>
      <c r="O96" s="131"/>
      <c r="P96" s="6"/>
      <c r="Q96" s="6"/>
      <c r="R96" s="6"/>
      <c r="S96" s="6"/>
      <c r="T96" s="6"/>
      <c r="U96" s="6"/>
      <c r="V96" s="6"/>
      <c r="W96" s="6"/>
      <c r="X96" s="6"/>
      <c r="Y96" s="6"/>
      <c r="Z96" s="6"/>
      <c r="AA96" s="6"/>
      <c r="AB96" s="6"/>
      <c r="AC96" s="6"/>
      <c r="AD96" s="6"/>
    </row>
    <row r="97" ht="15.75" customHeight="1">
      <c r="A97" s="130"/>
      <c r="B97" s="2"/>
      <c r="C97" s="182"/>
      <c r="D97" s="182"/>
      <c r="E97" s="182"/>
      <c r="F97" s="182"/>
      <c r="G97" s="6"/>
      <c r="H97" s="6"/>
      <c r="I97" s="6"/>
      <c r="J97" s="6"/>
      <c r="K97" s="131"/>
      <c r="L97" s="131"/>
      <c r="M97" s="131"/>
      <c r="N97" s="131"/>
      <c r="O97" s="131"/>
      <c r="P97" s="6"/>
      <c r="Q97" s="6"/>
      <c r="R97" s="6"/>
      <c r="S97" s="6"/>
      <c r="T97" s="6"/>
      <c r="U97" s="6"/>
      <c r="V97" s="6"/>
      <c r="W97" s="6"/>
      <c r="X97" s="6"/>
      <c r="Y97" s="6"/>
      <c r="Z97" s="6"/>
      <c r="AA97" s="6"/>
      <c r="AB97" s="6"/>
      <c r="AC97" s="6"/>
      <c r="AD97" s="6"/>
    </row>
    <row r="98" ht="15.75" customHeight="1">
      <c r="A98" s="130"/>
      <c r="B98" s="2"/>
      <c r="C98" s="182"/>
      <c r="D98" s="182"/>
      <c r="E98" s="182"/>
      <c r="F98" s="182"/>
      <c r="G98" s="6"/>
      <c r="H98" s="6"/>
      <c r="I98" s="6"/>
      <c r="J98" s="6"/>
      <c r="K98" s="131"/>
      <c r="L98" s="131"/>
      <c r="M98" s="131"/>
      <c r="N98" s="131"/>
      <c r="O98" s="131"/>
      <c r="P98" s="6"/>
      <c r="Q98" s="6"/>
      <c r="R98" s="6"/>
      <c r="S98" s="6"/>
      <c r="T98" s="6"/>
      <c r="U98" s="6"/>
      <c r="V98" s="6"/>
      <c r="W98" s="6"/>
      <c r="X98" s="6"/>
      <c r="Y98" s="6"/>
      <c r="Z98" s="6"/>
      <c r="AA98" s="6"/>
      <c r="AB98" s="6"/>
      <c r="AC98" s="6"/>
      <c r="AD98" s="6"/>
    </row>
    <row r="99" ht="15.75" customHeight="1">
      <c r="A99" s="130"/>
      <c r="B99" s="2"/>
      <c r="C99" s="182"/>
      <c r="D99" s="182"/>
      <c r="E99" s="182"/>
      <c r="F99" s="182"/>
      <c r="G99" s="6"/>
      <c r="H99" s="6"/>
      <c r="I99" s="6"/>
      <c r="J99" s="6"/>
      <c r="K99" s="131"/>
      <c r="L99" s="131"/>
      <c r="M99" s="131"/>
      <c r="N99" s="131"/>
      <c r="O99" s="131"/>
      <c r="P99" s="6"/>
      <c r="Q99" s="6"/>
      <c r="R99" s="6"/>
      <c r="S99" s="6"/>
      <c r="T99" s="6"/>
      <c r="U99" s="6"/>
      <c r="V99" s="6"/>
      <c r="W99" s="6"/>
      <c r="X99" s="6"/>
      <c r="Y99" s="6"/>
      <c r="Z99" s="6"/>
      <c r="AA99" s="6"/>
      <c r="AB99" s="6"/>
      <c r="AC99" s="6"/>
      <c r="AD99" s="6"/>
    </row>
    <row r="100" ht="15.75" customHeight="1">
      <c r="A100" s="130"/>
      <c r="B100" s="2"/>
      <c r="C100" s="182"/>
      <c r="D100" s="182"/>
      <c r="E100" s="182"/>
      <c r="F100" s="182"/>
      <c r="G100" s="6"/>
      <c r="H100" s="6"/>
      <c r="I100" s="6"/>
      <c r="J100" s="6"/>
      <c r="K100" s="131"/>
      <c r="L100" s="131"/>
      <c r="M100" s="131"/>
      <c r="N100" s="131"/>
      <c r="O100" s="131"/>
      <c r="P100" s="6"/>
      <c r="Q100" s="6"/>
      <c r="R100" s="6"/>
      <c r="S100" s="6"/>
      <c r="T100" s="6"/>
      <c r="U100" s="6"/>
      <c r="V100" s="6"/>
      <c r="W100" s="6"/>
      <c r="X100" s="6"/>
      <c r="Y100" s="6"/>
      <c r="Z100" s="6"/>
      <c r="AA100" s="6"/>
      <c r="AB100" s="6"/>
      <c r="AC100" s="6"/>
      <c r="AD100" s="6"/>
    </row>
    <row r="101" ht="15.75" customHeight="1">
      <c r="A101" s="130"/>
      <c r="B101" s="2"/>
      <c r="C101" s="182"/>
      <c r="D101" s="182"/>
      <c r="E101" s="182"/>
      <c r="F101" s="182"/>
      <c r="G101" s="6"/>
      <c r="H101" s="6"/>
      <c r="I101" s="6"/>
      <c r="J101" s="6"/>
      <c r="K101" s="131"/>
      <c r="L101" s="131"/>
      <c r="M101" s="131"/>
      <c r="N101" s="131"/>
      <c r="O101" s="131"/>
      <c r="P101" s="6"/>
      <c r="Q101" s="6"/>
      <c r="R101" s="6"/>
      <c r="S101" s="6"/>
      <c r="T101" s="6"/>
      <c r="U101" s="6"/>
      <c r="V101" s="6"/>
      <c r="W101" s="6"/>
      <c r="X101" s="6"/>
      <c r="Y101" s="6"/>
      <c r="Z101" s="6"/>
      <c r="AA101" s="6"/>
      <c r="AB101" s="6"/>
      <c r="AC101" s="6"/>
      <c r="AD101" s="6"/>
    </row>
    <row r="102" ht="15.75" customHeight="1">
      <c r="A102" s="130"/>
      <c r="B102" s="2"/>
      <c r="C102" s="182"/>
      <c r="D102" s="182"/>
      <c r="E102" s="182"/>
      <c r="F102" s="182"/>
      <c r="G102" s="6"/>
      <c r="H102" s="6"/>
      <c r="I102" s="6"/>
      <c r="J102" s="6"/>
      <c r="K102" s="131"/>
      <c r="L102" s="131"/>
      <c r="M102" s="131"/>
      <c r="N102" s="131"/>
      <c r="O102" s="131"/>
      <c r="P102" s="6"/>
      <c r="Q102" s="6"/>
      <c r="R102" s="6"/>
      <c r="S102" s="6"/>
      <c r="T102" s="6"/>
      <c r="U102" s="6"/>
      <c r="V102" s="6"/>
      <c r="W102" s="6"/>
      <c r="X102" s="6"/>
      <c r="Y102" s="6"/>
      <c r="Z102" s="6"/>
      <c r="AA102" s="6"/>
      <c r="AB102" s="6"/>
      <c r="AC102" s="6"/>
      <c r="AD102" s="6"/>
    </row>
    <row r="103" ht="15.75" customHeight="1">
      <c r="A103" s="130"/>
      <c r="B103" s="2"/>
      <c r="C103" s="182"/>
      <c r="D103" s="182"/>
      <c r="E103" s="182"/>
      <c r="F103" s="182"/>
      <c r="G103" s="6"/>
      <c r="H103" s="6"/>
      <c r="I103" s="6"/>
      <c r="J103" s="6"/>
      <c r="K103" s="131"/>
      <c r="L103" s="131"/>
      <c r="M103" s="131"/>
      <c r="N103" s="131"/>
      <c r="O103" s="131"/>
      <c r="P103" s="6"/>
      <c r="Q103" s="6"/>
      <c r="R103" s="6"/>
      <c r="S103" s="6"/>
      <c r="T103" s="6"/>
      <c r="U103" s="6"/>
      <c r="V103" s="6"/>
      <c r="W103" s="6"/>
      <c r="X103" s="6"/>
      <c r="Y103" s="6"/>
      <c r="Z103" s="6"/>
      <c r="AA103" s="6"/>
      <c r="AB103" s="6"/>
      <c r="AC103" s="6"/>
      <c r="AD103" s="6"/>
    </row>
    <row r="104" ht="15.75" customHeight="1">
      <c r="A104" s="130"/>
      <c r="B104" s="2"/>
      <c r="C104" s="182"/>
      <c r="D104" s="182"/>
      <c r="E104" s="182"/>
      <c r="F104" s="182"/>
      <c r="G104" s="6"/>
      <c r="H104" s="6"/>
      <c r="I104" s="6"/>
      <c r="J104" s="6"/>
      <c r="K104" s="131"/>
      <c r="L104" s="131"/>
      <c r="M104" s="131"/>
      <c r="N104" s="131"/>
      <c r="O104" s="131"/>
      <c r="P104" s="6"/>
      <c r="Q104" s="6"/>
      <c r="R104" s="6"/>
      <c r="S104" s="6"/>
      <c r="T104" s="6"/>
      <c r="U104" s="6"/>
      <c r="V104" s="6"/>
      <c r="W104" s="6"/>
      <c r="X104" s="6"/>
      <c r="Y104" s="6"/>
      <c r="Z104" s="6"/>
      <c r="AA104" s="6"/>
      <c r="AB104" s="6"/>
      <c r="AC104" s="6"/>
      <c r="AD104" s="6"/>
    </row>
    <row r="105" ht="15.75" customHeight="1">
      <c r="A105" s="130"/>
      <c r="B105" s="2"/>
      <c r="C105" s="182"/>
      <c r="D105" s="182"/>
      <c r="E105" s="182"/>
      <c r="F105" s="182"/>
      <c r="G105" s="6"/>
      <c r="H105" s="6"/>
      <c r="I105" s="6"/>
      <c r="J105" s="6"/>
      <c r="K105" s="131"/>
      <c r="L105" s="131"/>
      <c r="M105" s="131"/>
      <c r="N105" s="131"/>
      <c r="O105" s="131"/>
      <c r="P105" s="6"/>
      <c r="Q105" s="6"/>
      <c r="R105" s="6"/>
      <c r="S105" s="6"/>
      <c r="T105" s="6"/>
      <c r="U105" s="6"/>
      <c r="V105" s="6"/>
      <c r="W105" s="6"/>
      <c r="X105" s="6"/>
      <c r="Y105" s="6"/>
      <c r="Z105" s="6"/>
      <c r="AA105" s="6"/>
      <c r="AB105" s="6"/>
      <c r="AC105" s="6"/>
      <c r="AD105" s="6"/>
    </row>
    <row r="106" ht="15.75" customHeight="1">
      <c r="A106" s="130"/>
      <c r="B106" s="2"/>
      <c r="C106" s="182"/>
      <c r="D106" s="182"/>
      <c r="E106" s="182"/>
      <c r="F106" s="182"/>
      <c r="G106" s="6"/>
      <c r="H106" s="6"/>
      <c r="I106" s="6"/>
      <c r="J106" s="6"/>
      <c r="K106" s="131"/>
      <c r="L106" s="131"/>
      <c r="M106" s="131"/>
      <c r="N106" s="131"/>
      <c r="O106" s="131"/>
      <c r="P106" s="6"/>
      <c r="Q106" s="6"/>
      <c r="R106" s="6"/>
      <c r="S106" s="6"/>
      <c r="T106" s="6"/>
      <c r="U106" s="6"/>
      <c r="V106" s="6"/>
      <c r="W106" s="6"/>
      <c r="X106" s="6"/>
      <c r="Y106" s="6"/>
      <c r="Z106" s="6"/>
      <c r="AA106" s="6"/>
      <c r="AB106" s="6"/>
      <c r="AC106" s="6"/>
      <c r="AD106" s="6"/>
    </row>
    <row r="107" ht="15.75" customHeight="1">
      <c r="A107" s="130"/>
      <c r="B107" s="2"/>
      <c r="C107" s="182"/>
      <c r="D107" s="182"/>
      <c r="E107" s="182"/>
      <c r="F107" s="182"/>
      <c r="G107" s="6"/>
      <c r="H107" s="6"/>
      <c r="I107" s="6"/>
      <c r="J107" s="6"/>
      <c r="K107" s="131"/>
      <c r="L107" s="131"/>
      <c r="M107" s="131"/>
      <c r="N107" s="131"/>
      <c r="O107" s="131"/>
      <c r="P107" s="6"/>
      <c r="Q107" s="6"/>
      <c r="R107" s="6"/>
      <c r="S107" s="6"/>
      <c r="T107" s="6"/>
      <c r="U107" s="6"/>
      <c r="V107" s="6"/>
      <c r="W107" s="6"/>
      <c r="X107" s="6"/>
      <c r="Y107" s="6"/>
      <c r="Z107" s="6"/>
      <c r="AA107" s="6"/>
      <c r="AB107" s="6"/>
      <c r="AC107" s="6"/>
      <c r="AD107" s="6"/>
    </row>
    <row r="108" ht="15.75" customHeight="1">
      <c r="A108" s="130"/>
      <c r="B108" s="2"/>
      <c r="C108" s="182"/>
      <c r="D108" s="182"/>
      <c r="E108" s="182"/>
      <c r="F108" s="182"/>
      <c r="G108" s="6"/>
      <c r="H108" s="6"/>
      <c r="I108" s="6"/>
      <c r="J108" s="6"/>
      <c r="K108" s="131"/>
      <c r="L108" s="131"/>
      <c r="M108" s="131"/>
      <c r="N108" s="131"/>
      <c r="O108" s="131"/>
      <c r="P108" s="6"/>
      <c r="Q108" s="6"/>
      <c r="R108" s="6"/>
      <c r="S108" s="6"/>
      <c r="T108" s="6"/>
      <c r="U108" s="6"/>
      <c r="V108" s="6"/>
      <c r="W108" s="6"/>
      <c r="X108" s="6"/>
      <c r="Y108" s="6"/>
      <c r="Z108" s="6"/>
      <c r="AA108" s="6"/>
      <c r="AB108" s="6"/>
      <c r="AC108" s="6"/>
      <c r="AD108" s="6"/>
    </row>
    <row r="109" ht="15.75" customHeight="1">
      <c r="A109" s="130"/>
      <c r="B109" s="2"/>
      <c r="C109" s="182"/>
      <c r="D109" s="182"/>
      <c r="E109" s="182"/>
      <c r="F109" s="182"/>
      <c r="G109" s="6"/>
      <c r="H109" s="6"/>
      <c r="I109" s="6"/>
      <c r="J109" s="6"/>
      <c r="K109" s="131"/>
      <c r="L109" s="131"/>
      <c r="M109" s="131"/>
      <c r="N109" s="131"/>
      <c r="O109" s="131"/>
      <c r="P109" s="6"/>
      <c r="Q109" s="6"/>
      <c r="R109" s="6"/>
      <c r="S109" s="6"/>
      <c r="T109" s="6"/>
      <c r="U109" s="6"/>
      <c r="V109" s="6"/>
      <c r="W109" s="6"/>
      <c r="X109" s="6"/>
      <c r="Y109" s="6"/>
      <c r="Z109" s="6"/>
      <c r="AA109" s="6"/>
      <c r="AB109" s="6"/>
      <c r="AC109" s="6"/>
      <c r="AD109" s="6"/>
    </row>
    <row r="110" ht="15.75" customHeight="1">
      <c r="A110" s="130"/>
      <c r="B110" s="2"/>
      <c r="C110" s="182"/>
      <c r="D110" s="182"/>
      <c r="E110" s="182"/>
      <c r="F110" s="182"/>
      <c r="G110" s="6"/>
      <c r="H110" s="6"/>
      <c r="I110" s="6"/>
      <c r="J110" s="6"/>
      <c r="K110" s="131"/>
      <c r="L110" s="131"/>
      <c r="M110" s="131"/>
      <c r="N110" s="131"/>
      <c r="O110" s="131"/>
      <c r="P110" s="6"/>
      <c r="Q110" s="6"/>
      <c r="R110" s="6"/>
      <c r="S110" s="6"/>
      <c r="T110" s="6"/>
      <c r="U110" s="6"/>
      <c r="V110" s="6"/>
      <c r="W110" s="6"/>
      <c r="X110" s="6"/>
      <c r="Y110" s="6"/>
      <c r="Z110" s="6"/>
      <c r="AA110" s="6"/>
      <c r="AB110" s="6"/>
      <c r="AC110" s="6"/>
      <c r="AD110" s="6"/>
    </row>
    <row r="111" ht="15.75" customHeight="1">
      <c r="A111" s="130"/>
      <c r="B111" s="2"/>
      <c r="C111" s="182"/>
      <c r="D111" s="182"/>
      <c r="E111" s="182"/>
      <c r="F111" s="182"/>
      <c r="G111" s="6"/>
      <c r="H111" s="6"/>
      <c r="I111" s="6"/>
      <c r="J111" s="6"/>
      <c r="K111" s="131"/>
      <c r="L111" s="131"/>
      <c r="M111" s="131"/>
      <c r="N111" s="131"/>
      <c r="O111" s="131"/>
      <c r="P111" s="6"/>
      <c r="Q111" s="6"/>
      <c r="R111" s="6"/>
      <c r="S111" s="6"/>
      <c r="T111" s="6"/>
      <c r="U111" s="6"/>
      <c r="V111" s="6"/>
      <c r="W111" s="6"/>
      <c r="X111" s="6"/>
      <c r="Y111" s="6"/>
      <c r="Z111" s="6"/>
      <c r="AA111" s="6"/>
      <c r="AB111" s="6"/>
      <c r="AC111" s="6"/>
      <c r="AD111" s="6"/>
    </row>
    <row r="112" ht="15.75" customHeight="1">
      <c r="A112" s="130"/>
      <c r="B112" s="2"/>
      <c r="C112" s="182"/>
      <c r="D112" s="182"/>
      <c r="E112" s="182"/>
      <c r="F112" s="182"/>
      <c r="G112" s="6"/>
      <c r="H112" s="6"/>
      <c r="I112" s="6"/>
      <c r="J112" s="6"/>
      <c r="K112" s="131"/>
      <c r="L112" s="131"/>
      <c r="M112" s="131"/>
      <c r="N112" s="131"/>
      <c r="O112" s="131"/>
      <c r="P112" s="6"/>
      <c r="Q112" s="6"/>
      <c r="R112" s="6"/>
      <c r="S112" s="6"/>
      <c r="T112" s="6"/>
      <c r="U112" s="6"/>
      <c r="V112" s="6"/>
      <c r="W112" s="6"/>
      <c r="X112" s="6"/>
      <c r="Y112" s="6"/>
      <c r="Z112" s="6"/>
      <c r="AA112" s="6"/>
      <c r="AB112" s="6"/>
      <c r="AC112" s="6"/>
      <c r="AD112" s="6"/>
    </row>
    <row r="113" ht="15.75" customHeight="1">
      <c r="A113" s="130"/>
      <c r="B113" s="2"/>
      <c r="C113" s="182"/>
      <c r="D113" s="182"/>
      <c r="E113" s="182"/>
      <c r="F113" s="182"/>
      <c r="G113" s="6"/>
      <c r="H113" s="6"/>
      <c r="I113" s="6"/>
      <c r="J113" s="6"/>
      <c r="K113" s="131"/>
      <c r="L113" s="131"/>
      <c r="M113" s="131"/>
      <c r="N113" s="131"/>
      <c r="O113" s="131"/>
      <c r="P113" s="6"/>
      <c r="Q113" s="6"/>
      <c r="R113" s="6"/>
      <c r="S113" s="6"/>
      <c r="T113" s="6"/>
      <c r="U113" s="6"/>
      <c r="V113" s="6"/>
      <c r="W113" s="6"/>
      <c r="X113" s="6"/>
      <c r="Y113" s="6"/>
      <c r="Z113" s="6"/>
      <c r="AA113" s="6"/>
      <c r="AB113" s="6"/>
      <c r="AC113" s="6"/>
      <c r="AD113" s="6"/>
    </row>
    <row r="114" ht="15.75" customHeight="1">
      <c r="A114" s="130"/>
      <c r="B114" s="2"/>
      <c r="C114" s="182"/>
      <c r="D114" s="182"/>
      <c r="E114" s="182"/>
      <c r="F114" s="182"/>
      <c r="G114" s="6"/>
      <c r="H114" s="6"/>
      <c r="I114" s="6"/>
      <c r="J114" s="6"/>
      <c r="K114" s="131"/>
      <c r="L114" s="131"/>
      <c r="M114" s="131"/>
      <c r="N114" s="131"/>
      <c r="O114" s="131"/>
      <c r="P114" s="6"/>
      <c r="Q114" s="6"/>
      <c r="R114" s="6"/>
      <c r="S114" s="6"/>
      <c r="T114" s="6"/>
      <c r="U114" s="6"/>
      <c r="V114" s="6"/>
      <c r="W114" s="6"/>
      <c r="X114" s="6"/>
      <c r="Y114" s="6"/>
      <c r="Z114" s="6"/>
      <c r="AA114" s="6"/>
      <c r="AB114" s="6"/>
      <c r="AC114" s="6"/>
      <c r="AD114" s="6"/>
    </row>
    <row r="115" ht="15.75" customHeight="1">
      <c r="A115" s="130"/>
      <c r="B115" s="2"/>
      <c r="C115" s="182"/>
      <c r="D115" s="182"/>
      <c r="E115" s="182"/>
      <c r="F115" s="182"/>
      <c r="G115" s="6"/>
      <c r="H115" s="6"/>
      <c r="I115" s="6"/>
      <c r="J115" s="6"/>
      <c r="K115" s="131"/>
      <c r="L115" s="131"/>
      <c r="M115" s="131"/>
      <c r="N115" s="131"/>
      <c r="O115" s="131"/>
      <c r="P115" s="6"/>
      <c r="Q115" s="6"/>
      <c r="R115" s="6"/>
      <c r="S115" s="6"/>
      <c r="T115" s="6"/>
      <c r="U115" s="6"/>
      <c r="V115" s="6"/>
      <c r="W115" s="6"/>
      <c r="X115" s="6"/>
      <c r="Y115" s="6"/>
      <c r="Z115" s="6"/>
      <c r="AA115" s="6"/>
      <c r="AB115" s="6"/>
      <c r="AC115" s="6"/>
      <c r="AD115" s="6"/>
    </row>
    <row r="116" ht="15.75" customHeight="1">
      <c r="A116" s="130"/>
      <c r="B116" s="2"/>
      <c r="C116" s="182"/>
      <c r="D116" s="182"/>
      <c r="E116" s="182"/>
      <c r="F116" s="182"/>
      <c r="G116" s="6"/>
      <c r="H116" s="6"/>
      <c r="I116" s="6"/>
      <c r="J116" s="6"/>
      <c r="K116" s="131"/>
      <c r="L116" s="131"/>
      <c r="M116" s="131"/>
      <c r="N116" s="131"/>
      <c r="O116" s="131"/>
      <c r="P116" s="6"/>
      <c r="Q116" s="6"/>
      <c r="R116" s="6"/>
      <c r="S116" s="6"/>
      <c r="T116" s="6"/>
      <c r="U116" s="6"/>
      <c r="V116" s="6"/>
      <c r="W116" s="6"/>
      <c r="X116" s="6"/>
      <c r="Y116" s="6"/>
      <c r="Z116" s="6"/>
      <c r="AA116" s="6"/>
      <c r="AB116" s="6"/>
      <c r="AC116" s="6"/>
      <c r="AD116" s="6"/>
    </row>
    <row r="117" ht="15.75" customHeight="1">
      <c r="A117" s="130"/>
      <c r="B117" s="2"/>
      <c r="C117" s="182"/>
      <c r="D117" s="182"/>
      <c r="E117" s="182"/>
      <c r="F117" s="182"/>
      <c r="G117" s="6"/>
      <c r="H117" s="6"/>
      <c r="I117" s="6"/>
      <c r="J117" s="6"/>
      <c r="K117" s="131"/>
      <c r="L117" s="131"/>
      <c r="M117" s="131"/>
      <c r="N117" s="131"/>
      <c r="O117" s="131"/>
      <c r="P117" s="6"/>
      <c r="Q117" s="6"/>
      <c r="R117" s="6"/>
      <c r="S117" s="6"/>
      <c r="T117" s="6"/>
      <c r="U117" s="6"/>
      <c r="V117" s="6"/>
      <c r="W117" s="6"/>
      <c r="X117" s="6"/>
      <c r="Y117" s="6"/>
      <c r="Z117" s="6"/>
      <c r="AA117" s="6"/>
      <c r="AB117" s="6"/>
      <c r="AC117" s="6"/>
      <c r="AD117" s="6"/>
    </row>
    <row r="118" ht="15.75" customHeight="1">
      <c r="A118" s="130"/>
      <c r="B118" s="2"/>
      <c r="C118" s="182"/>
      <c r="D118" s="182"/>
      <c r="E118" s="182"/>
      <c r="F118" s="182"/>
      <c r="G118" s="6"/>
      <c r="H118" s="6"/>
      <c r="I118" s="6"/>
      <c r="J118" s="6"/>
      <c r="K118" s="131"/>
      <c r="L118" s="131"/>
      <c r="M118" s="131"/>
      <c r="N118" s="131"/>
      <c r="O118" s="131"/>
      <c r="P118" s="6"/>
      <c r="Q118" s="6"/>
      <c r="R118" s="6"/>
      <c r="S118" s="6"/>
      <c r="T118" s="6"/>
      <c r="U118" s="6"/>
      <c r="V118" s="6"/>
      <c r="W118" s="6"/>
      <c r="X118" s="6"/>
      <c r="Y118" s="6"/>
      <c r="Z118" s="6"/>
      <c r="AA118" s="6"/>
      <c r="AB118" s="6"/>
      <c r="AC118" s="6"/>
      <c r="AD118" s="6"/>
    </row>
    <row r="119" ht="15.75" customHeight="1">
      <c r="A119" s="130"/>
      <c r="B119" s="2"/>
      <c r="C119" s="182"/>
      <c r="D119" s="182"/>
      <c r="E119" s="182"/>
      <c r="F119" s="182"/>
      <c r="G119" s="6"/>
      <c r="H119" s="6"/>
      <c r="I119" s="6"/>
      <c r="J119" s="6"/>
      <c r="K119" s="131"/>
      <c r="L119" s="131"/>
      <c r="M119" s="131"/>
      <c r="N119" s="131"/>
      <c r="O119" s="131"/>
      <c r="P119" s="6"/>
      <c r="Q119" s="6"/>
      <c r="R119" s="6"/>
      <c r="S119" s="6"/>
      <c r="T119" s="6"/>
      <c r="U119" s="6"/>
      <c r="V119" s="6"/>
      <c r="W119" s="6"/>
      <c r="X119" s="6"/>
      <c r="Y119" s="6"/>
      <c r="Z119" s="6"/>
      <c r="AA119" s="6"/>
      <c r="AB119" s="6"/>
      <c r="AC119" s="6"/>
      <c r="AD119" s="6"/>
    </row>
    <row r="120" ht="15.75" customHeight="1">
      <c r="A120" s="130"/>
      <c r="B120" s="2"/>
      <c r="C120" s="182"/>
      <c r="D120" s="182"/>
      <c r="E120" s="182"/>
      <c r="F120" s="182"/>
      <c r="G120" s="6"/>
      <c r="H120" s="6"/>
      <c r="I120" s="6"/>
      <c r="J120" s="6"/>
      <c r="K120" s="131"/>
      <c r="L120" s="131"/>
      <c r="M120" s="131"/>
      <c r="N120" s="131"/>
      <c r="O120" s="131"/>
      <c r="P120" s="6"/>
      <c r="Q120" s="6"/>
      <c r="R120" s="6"/>
      <c r="S120" s="6"/>
      <c r="T120" s="6"/>
      <c r="U120" s="6"/>
      <c r="V120" s="6"/>
      <c r="W120" s="6"/>
      <c r="X120" s="6"/>
      <c r="Y120" s="6"/>
      <c r="Z120" s="6"/>
      <c r="AA120" s="6"/>
      <c r="AB120" s="6"/>
      <c r="AC120" s="6"/>
      <c r="AD120" s="6"/>
    </row>
    <row r="121" ht="15.75" customHeight="1">
      <c r="A121" s="130"/>
      <c r="B121" s="2"/>
      <c r="C121" s="182"/>
      <c r="D121" s="182"/>
      <c r="E121" s="182"/>
      <c r="F121" s="182"/>
      <c r="G121" s="6"/>
      <c r="H121" s="6"/>
      <c r="I121" s="6"/>
      <c r="J121" s="6"/>
      <c r="K121" s="131"/>
      <c r="L121" s="131"/>
      <c r="M121" s="131"/>
      <c r="N121" s="131"/>
      <c r="O121" s="131"/>
      <c r="P121" s="6"/>
      <c r="Q121" s="6"/>
      <c r="R121" s="6"/>
      <c r="S121" s="6"/>
      <c r="T121" s="6"/>
      <c r="U121" s="6"/>
      <c r="V121" s="6"/>
      <c r="W121" s="6"/>
      <c r="X121" s="6"/>
      <c r="Y121" s="6"/>
      <c r="Z121" s="6"/>
      <c r="AA121" s="6"/>
      <c r="AB121" s="6"/>
      <c r="AC121" s="6"/>
      <c r="AD121" s="6"/>
    </row>
    <row r="122" ht="15.75" customHeight="1">
      <c r="A122" s="130"/>
      <c r="B122" s="2"/>
      <c r="C122" s="182"/>
      <c r="D122" s="182"/>
      <c r="E122" s="182"/>
      <c r="F122" s="182"/>
      <c r="G122" s="6"/>
      <c r="H122" s="6"/>
      <c r="I122" s="6"/>
      <c r="J122" s="6"/>
      <c r="K122" s="131"/>
      <c r="L122" s="131"/>
      <c r="M122" s="131"/>
      <c r="N122" s="131"/>
      <c r="O122" s="131"/>
      <c r="P122" s="6"/>
      <c r="Q122" s="6"/>
      <c r="R122" s="6"/>
      <c r="S122" s="6"/>
      <c r="T122" s="6"/>
      <c r="U122" s="6"/>
      <c r="V122" s="6"/>
      <c r="W122" s="6"/>
      <c r="X122" s="6"/>
      <c r="Y122" s="6"/>
      <c r="Z122" s="6"/>
      <c r="AA122" s="6"/>
      <c r="AB122" s="6"/>
      <c r="AC122" s="6"/>
      <c r="AD122" s="6"/>
    </row>
    <row r="123" ht="15.75" customHeight="1">
      <c r="A123" s="130"/>
      <c r="B123" s="2"/>
      <c r="C123" s="182"/>
      <c r="D123" s="182"/>
      <c r="E123" s="182"/>
      <c r="F123" s="182"/>
      <c r="G123" s="6"/>
      <c r="H123" s="6"/>
      <c r="I123" s="6"/>
      <c r="J123" s="6"/>
      <c r="K123" s="131"/>
      <c r="L123" s="131"/>
      <c r="M123" s="131"/>
      <c r="N123" s="131"/>
      <c r="O123" s="131"/>
      <c r="P123" s="6"/>
      <c r="Q123" s="6"/>
      <c r="R123" s="6"/>
      <c r="S123" s="6"/>
      <c r="T123" s="6"/>
      <c r="U123" s="6"/>
      <c r="V123" s="6"/>
      <c r="W123" s="6"/>
      <c r="X123" s="6"/>
      <c r="Y123" s="6"/>
      <c r="Z123" s="6"/>
      <c r="AA123" s="6"/>
      <c r="AB123" s="6"/>
      <c r="AC123" s="6"/>
      <c r="AD123" s="6"/>
    </row>
    <row r="124" ht="15.75" customHeight="1">
      <c r="A124" s="130"/>
      <c r="B124" s="2"/>
      <c r="C124" s="182"/>
      <c r="D124" s="182"/>
      <c r="E124" s="182"/>
      <c r="F124" s="182"/>
      <c r="G124" s="6"/>
      <c r="H124" s="6"/>
      <c r="I124" s="6"/>
      <c r="J124" s="6"/>
      <c r="K124" s="131"/>
      <c r="L124" s="131"/>
      <c r="M124" s="131"/>
      <c r="N124" s="131"/>
      <c r="O124" s="131"/>
      <c r="P124" s="6"/>
      <c r="Q124" s="6"/>
      <c r="R124" s="6"/>
      <c r="S124" s="6"/>
      <c r="T124" s="6"/>
      <c r="U124" s="6"/>
      <c r="V124" s="6"/>
      <c r="W124" s="6"/>
      <c r="X124" s="6"/>
      <c r="Y124" s="6"/>
      <c r="Z124" s="6"/>
      <c r="AA124" s="6"/>
      <c r="AB124" s="6"/>
      <c r="AC124" s="6"/>
      <c r="AD124" s="6"/>
    </row>
    <row r="125" ht="15.75" customHeight="1">
      <c r="A125" s="130"/>
      <c r="B125" s="2"/>
      <c r="C125" s="182"/>
      <c r="D125" s="182"/>
      <c r="E125" s="182"/>
      <c r="F125" s="182"/>
      <c r="G125" s="6"/>
      <c r="H125" s="6"/>
      <c r="I125" s="6"/>
      <c r="J125" s="6"/>
      <c r="K125" s="131"/>
      <c r="L125" s="131"/>
      <c r="M125" s="131"/>
      <c r="N125" s="131"/>
      <c r="O125" s="131"/>
      <c r="P125" s="6"/>
      <c r="Q125" s="6"/>
      <c r="R125" s="6"/>
      <c r="S125" s="6"/>
      <c r="T125" s="6"/>
      <c r="U125" s="6"/>
      <c r="V125" s="6"/>
      <c r="W125" s="6"/>
      <c r="X125" s="6"/>
      <c r="Y125" s="6"/>
      <c r="Z125" s="6"/>
      <c r="AA125" s="6"/>
      <c r="AB125" s="6"/>
      <c r="AC125" s="6"/>
      <c r="AD125" s="6"/>
    </row>
    <row r="126" ht="15.75" customHeight="1">
      <c r="A126" s="130"/>
      <c r="B126" s="2"/>
      <c r="C126" s="182"/>
      <c r="D126" s="182"/>
      <c r="E126" s="182"/>
      <c r="F126" s="182"/>
      <c r="G126" s="6"/>
      <c r="H126" s="6"/>
      <c r="I126" s="6"/>
      <c r="J126" s="6"/>
      <c r="K126" s="131"/>
      <c r="L126" s="131"/>
      <c r="M126" s="131"/>
      <c r="N126" s="131"/>
      <c r="O126" s="131"/>
      <c r="P126" s="6"/>
      <c r="Q126" s="6"/>
      <c r="R126" s="6"/>
      <c r="S126" s="6"/>
      <c r="T126" s="6"/>
      <c r="U126" s="6"/>
      <c r="V126" s="6"/>
      <c r="W126" s="6"/>
      <c r="X126" s="6"/>
      <c r="Y126" s="6"/>
      <c r="Z126" s="6"/>
      <c r="AA126" s="6"/>
      <c r="AB126" s="6"/>
      <c r="AC126" s="6"/>
      <c r="AD126" s="6"/>
    </row>
    <row r="127" ht="15.75" customHeight="1">
      <c r="A127" s="130"/>
      <c r="B127" s="2"/>
      <c r="C127" s="182"/>
      <c r="D127" s="182"/>
      <c r="E127" s="182"/>
      <c r="F127" s="182"/>
      <c r="G127" s="6"/>
      <c r="H127" s="6"/>
      <c r="I127" s="6"/>
      <c r="J127" s="6"/>
      <c r="K127" s="131"/>
      <c r="L127" s="131"/>
      <c r="M127" s="131"/>
      <c r="N127" s="131"/>
      <c r="O127" s="131"/>
      <c r="P127" s="6"/>
      <c r="Q127" s="6"/>
      <c r="R127" s="6"/>
      <c r="S127" s="6"/>
      <c r="T127" s="6"/>
      <c r="U127" s="6"/>
      <c r="V127" s="6"/>
      <c r="W127" s="6"/>
      <c r="X127" s="6"/>
      <c r="Y127" s="6"/>
      <c r="Z127" s="6"/>
      <c r="AA127" s="6"/>
      <c r="AB127" s="6"/>
      <c r="AC127" s="6"/>
      <c r="AD127" s="6"/>
    </row>
    <row r="128" ht="15.75" customHeight="1">
      <c r="A128" s="130"/>
      <c r="B128" s="2"/>
      <c r="C128" s="182"/>
      <c r="D128" s="182"/>
      <c r="E128" s="182"/>
      <c r="F128" s="182"/>
      <c r="G128" s="6"/>
      <c r="H128" s="6"/>
      <c r="I128" s="6"/>
      <c r="J128" s="6"/>
      <c r="K128" s="131"/>
      <c r="L128" s="131"/>
      <c r="M128" s="131"/>
      <c r="N128" s="131"/>
      <c r="O128" s="131"/>
      <c r="P128" s="6"/>
      <c r="Q128" s="6"/>
      <c r="R128" s="6"/>
      <c r="S128" s="6"/>
      <c r="T128" s="6"/>
      <c r="U128" s="6"/>
      <c r="V128" s="6"/>
      <c r="W128" s="6"/>
      <c r="X128" s="6"/>
      <c r="Y128" s="6"/>
      <c r="Z128" s="6"/>
      <c r="AA128" s="6"/>
      <c r="AB128" s="6"/>
      <c r="AC128" s="6"/>
      <c r="AD128" s="6"/>
    </row>
    <row r="129" ht="15.75" customHeight="1">
      <c r="A129" s="130"/>
      <c r="B129" s="2"/>
      <c r="C129" s="182"/>
      <c r="D129" s="182"/>
      <c r="E129" s="182"/>
      <c r="F129" s="182"/>
      <c r="G129" s="6"/>
      <c r="H129" s="6"/>
      <c r="I129" s="6"/>
      <c r="J129" s="6"/>
      <c r="K129" s="131"/>
      <c r="L129" s="131"/>
      <c r="M129" s="131"/>
      <c r="N129" s="131"/>
      <c r="O129" s="131"/>
      <c r="P129" s="6"/>
      <c r="Q129" s="6"/>
      <c r="R129" s="6"/>
      <c r="S129" s="6"/>
      <c r="T129" s="6"/>
      <c r="U129" s="6"/>
      <c r="V129" s="6"/>
      <c r="W129" s="6"/>
      <c r="X129" s="6"/>
      <c r="Y129" s="6"/>
      <c r="Z129" s="6"/>
      <c r="AA129" s="6"/>
      <c r="AB129" s="6"/>
      <c r="AC129" s="6"/>
      <c r="AD129" s="6"/>
    </row>
    <row r="130" ht="15.75" customHeight="1">
      <c r="A130" s="130"/>
      <c r="B130" s="2"/>
      <c r="C130" s="182"/>
      <c r="D130" s="182"/>
      <c r="E130" s="182"/>
      <c r="F130" s="182"/>
      <c r="G130" s="6"/>
      <c r="H130" s="6"/>
      <c r="I130" s="6"/>
      <c r="J130" s="6"/>
      <c r="K130" s="131"/>
      <c r="L130" s="131"/>
      <c r="M130" s="131"/>
      <c r="N130" s="131"/>
      <c r="O130" s="131"/>
      <c r="P130" s="6"/>
      <c r="Q130" s="6"/>
      <c r="R130" s="6"/>
      <c r="S130" s="6"/>
      <c r="T130" s="6"/>
      <c r="U130" s="6"/>
      <c r="V130" s="6"/>
      <c r="W130" s="6"/>
      <c r="X130" s="6"/>
      <c r="Y130" s="6"/>
      <c r="Z130" s="6"/>
      <c r="AA130" s="6"/>
      <c r="AB130" s="6"/>
      <c r="AC130" s="6"/>
      <c r="AD130" s="6"/>
    </row>
    <row r="131" ht="15.75" customHeight="1">
      <c r="A131" s="130"/>
      <c r="B131" s="2"/>
      <c r="C131" s="182"/>
      <c r="D131" s="182"/>
      <c r="E131" s="182"/>
      <c r="F131" s="182"/>
      <c r="G131" s="6"/>
      <c r="H131" s="6"/>
      <c r="I131" s="6"/>
      <c r="J131" s="6"/>
      <c r="K131" s="131"/>
      <c r="L131" s="131"/>
      <c r="M131" s="131"/>
      <c r="N131" s="131"/>
      <c r="O131" s="131"/>
      <c r="P131" s="6"/>
      <c r="Q131" s="6"/>
      <c r="R131" s="6"/>
      <c r="S131" s="6"/>
      <c r="T131" s="6"/>
      <c r="U131" s="6"/>
      <c r="V131" s="6"/>
      <c r="W131" s="6"/>
      <c r="X131" s="6"/>
      <c r="Y131" s="6"/>
      <c r="Z131" s="6"/>
      <c r="AA131" s="6"/>
      <c r="AB131" s="6"/>
      <c r="AC131" s="6"/>
      <c r="AD131" s="6"/>
    </row>
    <row r="132" ht="15.75" customHeight="1">
      <c r="A132" s="130"/>
      <c r="B132" s="2"/>
      <c r="C132" s="182"/>
      <c r="D132" s="182"/>
      <c r="E132" s="182"/>
      <c r="F132" s="182"/>
      <c r="G132" s="6"/>
      <c r="H132" s="6"/>
      <c r="I132" s="6"/>
      <c r="J132" s="6"/>
      <c r="K132" s="131"/>
      <c r="L132" s="131"/>
      <c r="M132" s="131"/>
      <c r="N132" s="131"/>
      <c r="O132" s="131"/>
      <c r="P132" s="6"/>
      <c r="Q132" s="6"/>
      <c r="R132" s="6"/>
      <c r="S132" s="6"/>
      <c r="T132" s="6"/>
      <c r="U132" s="6"/>
      <c r="V132" s="6"/>
      <c r="W132" s="6"/>
      <c r="X132" s="6"/>
      <c r="Y132" s="6"/>
      <c r="Z132" s="6"/>
      <c r="AA132" s="6"/>
      <c r="AB132" s="6"/>
      <c r="AC132" s="6"/>
      <c r="AD132" s="6"/>
    </row>
    <row r="133" ht="15.75" customHeight="1">
      <c r="A133" s="130"/>
      <c r="B133" s="2"/>
      <c r="C133" s="182"/>
      <c r="D133" s="182"/>
      <c r="E133" s="182"/>
      <c r="F133" s="182"/>
      <c r="G133" s="6"/>
      <c r="H133" s="6"/>
      <c r="I133" s="6"/>
      <c r="J133" s="6"/>
      <c r="K133" s="131"/>
      <c r="L133" s="131"/>
      <c r="M133" s="131"/>
      <c r="N133" s="131"/>
      <c r="O133" s="131"/>
      <c r="P133" s="6"/>
      <c r="Q133" s="6"/>
      <c r="R133" s="6"/>
      <c r="S133" s="6"/>
      <c r="T133" s="6"/>
      <c r="U133" s="6"/>
      <c r="V133" s="6"/>
      <c r="W133" s="6"/>
      <c r="X133" s="6"/>
      <c r="Y133" s="6"/>
      <c r="Z133" s="6"/>
      <c r="AA133" s="6"/>
      <c r="AB133" s="6"/>
      <c r="AC133" s="6"/>
      <c r="AD133" s="6"/>
    </row>
    <row r="134" ht="15.75" customHeight="1">
      <c r="A134" s="130"/>
      <c r="B134" s="2"/>
      <c r="C134" s="182"/>
      <c r="D134" s="182"/>
      <c r="E134" s="182"/>
      <c r="F134" s="182"/>
      <c r="G134" s="6"/>
      <c r="H134" s="6"/>
      <c r="I134" s="6"/>
      <c r="J134" s="6"/>
      <c r="K134" s="131"/>
      <c r="L134" s="131"/>
      <c r="M134" s="131"/>
      <c r="N134" s="131"/>
      <c r="O134" s="131"/>
      <c r="P134" s="6"/>
      <c r="Q134" s="6"/>
      <c r="R134" s="6"/>
      <c r="S134" s="6"/>
      <c r="T134" s="6"/>
      <c r="U134" s="6"/>
      <c r="V134" s="6"/>
      <c r="W134" s="6"/>
      <c r="X134" s="6"/>
      <c r="Y134" s="6"/>
      <c r="Z134" s="6"/>
      <c r="AA134" s="6"/>
      <c r="AB134" s="6"/>
      <c r="AC134" s="6"/>
      <c r="AD134" s="6"/>
    </row>
    <row r="135" ht="15.75" customHeight="1">
      <c r="A135" s="130"/>
      <c r="B135" s="2"/>
      <c r="C135" s="182"/>
      <c r="D135" s="182"/>
      <c r="E135" s="182"/>
      <c r="F135" s="182"/>
      <c r="G135" s="6"/>
      <c r="H135" s="6"/>
      <c r="I135" s="6"/>
      <c r="J135" s="6"/>
      <c r="K135" s="131"/>
      <c r="L135" s="131"/>
      <c r="M135" s="131"/>
      <c r="N135" s="131"/>
      <c r="O135" s="131"/>
      <c r="P135" s="6"/>
      <c r="Q135" s="6"/>
      <c r="R135" s="6"/>
      <c r="S135" s="6"/>
      <c r="T135" s="6"/>
      <c r="U135" s="6"/>
      <c r="V135" s="6"/>
      <c r="W135" s="6"/>
      <c r="X135" s="6"/>
      <c r="Y135" s="6"/>
      <c r="Z135" s="6"/>
      <c r="AA135" s="6"/>
      <c r="AB135" s="6"/>
      <c r="AC135" s="6"/>
      <c r="AD135" s="6"/>
    </row>
    <row r="136" ht="15.75" customHeight="1">
      <c r="A136" s="130"/>
      <c r="B136" s="2"/>
      <c r="C136" s="182"/>
      <c r="D136" s="182"/>
      <c r="E136" s="182"/>
      <c r="F136" s="182"/>
      <c r="G136" s="6"/>
      <c r="H136" s="6"/>
      <c r="I136" s="6"/>
      <c r="J136" s="6"/>
      <c r="K136" s="131"/>
      <c r="L136" s="131"/>
      <c r="M136" s="131"/>
      <c r="N136" s="131"/>
      <c r="O136" s="131"/>
      <c r="P136" s="6"/>
      <c r="Q136" s="6"/>
      <c r="R136" s="6"/>
      <c r="S136" s="6"/>
      <c r="T136" s="6"/>
      <c r="U136" s="6"/>
      <c r="V136" s="6"/>
      <c r="W136" s="6"/>
      <c r="X136" s="6"/>
      <c r="Y136" s="6"/>
      <c r="Z136" s="6"/>
      <c r="AA136" s="6"/>
      <c r="AB136" s="6"/>
      <c r="AC136" s="6"/>
      <c r="AD136" s="6"/>
    </row>
    <row r="137" ht="15.75" customHeight="1">
      <c r="A137" s="130"/>
      <c r="B137" s="2"/>
      <c r="C137" s="182"/>
      <c r="D137" s="182"/>
      <c r="E137" s="182"/>
      <c r="F137" s="182"/>
      <c r="G137" s="6"/>
      <c r="H137" s="6"/>
      <c r="I137" s="6"/>
      <c r="J137" s="6"/>
      <c r="K137" s="131"/>
      <c r="L137" s="131"/>
      <c r="M137" s="131"/>
      <c r="N137" s="131"/>
      <c r="O137" s="131"/>
      <c r="P137" s="6"/>
      <c r="Q137" s="6"/>
      <c r="R137" s="6"/>
      <c r="S137" s="6"/>
      <c r="T137" s="6"/>
      <c r="U137" s="6"/>
      <c r="V137" s="6"/>
      <c r="W137" s="6"/>
      <c r="X137" s="6"/>
      <c r="Y137" s="6"/>
      <c r="Z137" s="6"/>
      <c r="AA137" s="6"/>
      <c r="AB137" s="6"/>
      <c r="AC137" s="6"/>
      <c r="AD137" s="6"/>
    </row>
    <row r="138" ht="15.75" customHeight="1">
      <c r="A138" s="130"/>
      <c r="B138" s="2"/>
      <c r="C138" s="182"/>
      <c r="D138" s="182"/>
      <c r="E138" s="182"/>
      <c r="F138" s="182"/>
      <c r="G138" s="6"/>
      <c r="H138" s="6"/>
      <c r="I138" s="6"/>
      <c r="J138" s="6"/>
      <c r="K138" s="131"/>
      <c r="L138" s="131"/>
      <c r="M138" s="131"/>
      <c r="N138" s="131"/>
      <c r="O138" s="131"/>
      <c r="P138" s="6"/>
      <c r="Q138" s="6"/>
      <c r="R138" s="6"/>
      <c r="S138" s="6"/>
      <c r="T138" s="6"/>
      <c r="U138" s="6"/>
      <c r="V138" s="6"/>
      <c r="W138" s="6"/>
      <c r="X138" s="6"/>
      <c r="Y138" s="6"/>
      <c r="Z138" s="6"/>
      <c r="AA138" s="6"/>
      <c r="AB138" s="6"/>
      <c r="AC138" s="6"/>
      <c r="AD138" s="6"/>
    </row>
    <row r="139" ht="15.75" customHeight="1">
      <c r="A139" s="130"/>
      <c r="B139" s="2"/>
      <c r="C139" s="182"/>
      <c r="D139" s="182"/>
      <c r="E139" s="182"/>
      <c r="F139" s="182"/>
      <c r="G139" s="6"/>
      <c r="H139" s="6"/>
      <c r="I139" s="6"/>
      <c r="J139" s="6"/>
      <c r="K139" s="131"/>
      <c r="L139" s="131"/>
      <c r="M139" s="131"/>
      <c r="N139" s="131"/>
      <c r="O139" s="131"/>
      <c r="P139" s="6"/>
      <c r="Q139" s="6"/>
      <c r="R139" s="6"/>
      <c r="S139" s="6"/>
      <c r="T139" s="6"/>
      <c r="U139" s="6"/>
      <c r="V139" s="6"/>
      <c r="W139" s="6"/>
      <c r="X139" s="6"/>
      <c r="Y139" s="6"/>
      <c r="Z139" s="6"/>
      <c r="AA139" s="6"/>
      <c r="AB139" s="6"/>
      <c r="AC139" s="6"/>
      <c r="AD139" s="6"/>
    </row>
    <row r="140" ht="15.75" customHeight="1">
      <c r="A140" s="130"/>
      <c r="B140" s="2"/>
      <c r="C140" s="182"/>
      <c r="D140" s="182"/>
      <c r="E140" s="182"/>
      <c r="F140" s="182"/>
      <c r="G140" s="6"/>
      <c r="H140" s="6"/>
      <c r="I140" s="6"/>
      <c r="J140" s="6"/>
      <c r="K140" s="131"/>
      <c r="L140" s="131"/>
      <c r="M140" s="131"/>
      <c r="N140" s="131"/>
      <c r="O140" s="131"/>
      <c r="P140" s="6"/>
      <c r="Q140" s="6"/>
      <c r="R140" s="6"/>
      <c r="S140" s="6"/>
      <c r="T140" s="6"/>
      <c r="U140" s="6"/>
      <c r="V140" s="6"/>
      <c r="W140" s="6"/>
      <c r="X140" s="6"/>
      <c r="Y140" s="6"/>
      <c r="Z140" s="6"/>
      <c r="AA140" s="6"/>
      <c r="AB140" s="6"/>
      <c r="AC140" s="6"/>
      <c r="AD140" s="6"/>
    </row>
    <row r="141" ht="15.75" customHeight="1">
      <c r="A141" s="130"/>
      <c r="B141" s="2"/>
      <c r="C141" s="182"/>
      <c r="D141" s="182"/>
      <c r="E141" s="182"/>
      <c r="F141" s="182"/>
      <c r="G141" s="6"/>
      <c r="H141" s="6"/>
      <c r="I141" s="6"/>
      <c r="J141" s="6"/>
      <c r="K141" s="131"/>
      <c r="L141" s="131"/>
      <c r="M141" s="131"/>
      <c r="N141" s="131"/>
      <c r="O141" s="131"/>
      <c r="P141" s="6"/>
      <c r="Q141" s="6"/>
      <c r="R141" s="6"/>
      <c r="S141" s="6"/>
      <c r="T141" s="6"/>
      <c r="U141" s="6"/>
      <c r="V141" s="6"/>
      <c r="W141" s="6"/>
      <c r="X141" s="6"/>
      <c r="Y141" s="6"/>
      <c r="Z141" s="6"/>
      <c r="AA141" s="6"/>
      <c r="AB141" s="6"/>
      <c r="AC141" s="6"/>
      <c r="AD141" s="6"/>
    </row>
    <row r="142" ht="15.75" customHeight="1">
      <c r="A142" s="130"/>
      <c r="B142" s="2"/>
      <c r="C142" s="182"/>
      <c r="D142" s="182"/>
      <c r="E142" s="182"/>
      <c r="F142" s="182"/>
      <c r="G142" s="6"/>
      <c r="H142" s="6"/>
      <c r="I142" s="6"/>
      <c r="J142" s="6"/>
      <c r="K142" s="131"/>
      <c r="L142" s="131"/>
      <c r="M142" s="131"/>
      <c r="N142" s="131"/>
      <c r="O142" s="131"/>
      <c r="P142" s="6"/>
      <c r="Q142" s="6"/>
      <c r="R142" s="6"/>
      <c r="S142" s="6"/>
      <c r="T142" s="6"/>
      <c r="U142" s="6"/>
      <c r="V142" s="6"/>
      <c r="W142" s="6"/>
      <c r="X142" s="6"/>
      <c r="Y142" s="6"/>
      <c r="Z142" s="6"/>
      <c r="AA142" s="6"/>
      <c r="AB142" s="6"/>
      <c r="AC142" s="6"/>
      <c r="AD142" s="6"/>
    </row>
    <row r="143" ht="15.75" customHeight="1">
      <c r="A143" s="130"/>
      <c r="B143" s="2"/>
      <c r="C143" s="182"/>
      <c r="D143" s="182"/>
      <c r="E143" s="182"/>
      <c r="F143" s="182"/>
      <c r="G143" s="6"/>
      <c r="H143" s="6"/>
      <c r="I143" s="6"/>
      <c r="J143" s="6"/>
      <c r="K143" s="131"/>
      <c r="L143" s="131"/>
      <c r="M143" s="131"/>
      <c r="N143" s="131"/>
      <c r="O143" s="131"/>
      <c r="P143" s="6"/>
      <c r="Q143" s="6"/>
      <c r="R143" s="6"/>
      <c r="S143" s="6"/>
      <c r="T143" s="6"/>
      <c r="U143" s="6"/>
      <c r="V143" s="6"/>
      <c r="W143" s="6"/>
      <c r="X143" s="6"/>
      <c r="Y143" s="6"/>
      <c r="Z143" s="6"/>
      <c r="AA143" s="6"/>
      <c r="AB143" s="6"/>
      <c r="AC143" s="6"/>
      <c r="AD143" s="6"/>
    </row>
    <row r="144" ht="15.75" customHeight="1">
      <c r="A144" s="130"/>
      <c r="B144" s="2"/>
      <c r="C144" s="182"/>
      <c r="D144" s="182"/>
      <c r="E144" s="182"/>
      <c r="F144" s="182"/>
      <c r="G144" s="6"/>
      <c r="H144" s="6"/>
      <c r="I144" s="6"/>
      <c r="J144" s="6"/>
      <c r="K144" s="131"/>
      <c r="L144" s="131"/>
      <c r="M144" s="131"/>
      <c r="N144" s="131"/>
      <c r="O144" s="131"/>
      <c r="P144" s="6"/>
      <c r="Q144" s="6"/>
      <c r="R144" s="6"/>
      <c r="S144" s="6"/>
      <c r="T144" s="6"/>
      <c r="U144" s="6"/>
      <c r="V144" s="6"/>
      <c r="W144" s="6"/>
      <c r="X144" s="6"/>
      <c r="Y144" s="6"/>
      <c r="Z144" s="6"/>
      <c r="AA144" s="6"/>
      <c r="AB144" s="6"/>
      <c r="AC144" s="6"/>
      <c r="AD144" s="6"/>
    </row>
    <row r="145" ht="15.75" customHeight="1">
      <c r="A145" s="130"/>
      <c r="B145" s="2"/>
      <c r="C145" s="182"/>
      <c r="D145" s="182"/>
      <c r="E145" s="182"/>
      <c r="F145" s="182"/>
      <c r="G145" s="6"/>
      <c r="H145" s="6"/>
      <c r="I145" s="6"/>
      <c r="J145" s="6"/>
      <c r="K145" s="131"/>
      <c r="L145" s="131"/>
      <c r="M145" s="131"/>
      <c r="N145" s="131"/>
      <c r="O145" s="131"/>
      <c r="P145" s="6"/>
      <c r="Q145" s="6"/>
      <c r="R145" s="6"/>
      <c r="S145" s="6"/>
      <c r="T145" s="6"/>
      <c r="U145" s="6"/>
      <c r="V145" s="6"/>
      <c r="W145" s="6"/>
      <c r="X145" s="6"/>
      <c r="Y145" s="6"/>
      <c r="Z145" s="6"/>
      <c r="AA145" s="6"/>
      <c r="AB145" s="6"/>
      <c r="AC145" s="6"/>
      <c r="AD145" s="6"/>
    </row>
    <row r="146" ht="15.75" customHeight="1">
      <c r="A146" s="130"/>
      <c r="B146" s="2"/>
      <c r="C146" s="182"/>
      <c r="D146" s="182"/>
      <c r="E146" s="182"/>
      <c r="F146" s="182"/>
      <c r="G146" s="6"/>
      <c r="H146" s="6"/>
      <c r="I146" s="6"/>
      <c r="J146" s="6"/>
      <c r="K146" s="131"/>
      <c r="L146" s="131"/>
      <c r="M146" s="131"/>
      <c r="N146" s="131"/>
      <c r="O146" s="131"/>
      <c r="P146" s="6"/>
      <c r="Q146" s="6"/>
      <c r="R146" s="6"/>
      <c r="S146" s="6"/>
      <c r="T146" s="6"/>
      <c r="U146" s="6"/>
      <c r="V146" s="6"/>
      <c r="W146" s="6"/>
      <c r="X146" s="6"/>
      <c r="Y146" s="6"/>
      <c r="Z146" s="6"/>
      <c r="AA146" s="6"/>
      <c r="AB146" s="6"/>
      <c r="AC146" s="6"/>
      <c r="AD146" s="6"/>
    </row>
    <row r="147" ht="15.75" customHeight="1">
      <c r="A147" s="130"/>
      <c r="B147" s="2"/>
      <c r="C147" s="182"/>
      <c r="D147" s="182"/>
      <c r="E147" s="182"/>
      <c r="F147" s="182"/>
      <c r="G147" s="6"/>
      <c r="H147" s="6"/>
      <c r="I147" s="6"/>
      <c r="J147" s="6"/>
      <c r="K147" s="131"/>
      <c r="L147" s="131"/>
      <c r="M147" s="131"/>
      <c r="N147" s="131"/>
      <c r="O147" s="131"/>
      <c r="P147" s="6"/>
      <c r="Q147" s="6"/>
      <c r="R147" s="6"/>
      <c r="S147" s="6"/>
      <c r="T147" s="6"/>
      <c r="U147" s="6"/>
      <c r="V147" s="6"/>
      <c r="W147" s="6"/>
      <c r="X147" s="6"/>
      <c r="Y147" s="6"/>
      <c r="Z147" s="6"/>
      <c r="AA147" s="6"/>
      <c r="AB147" s="6"/>
      <c r="AC147" s="6"/>
      <c r="AD147" s="6"/>
    </row>
    <row r="148" ht="15.75" customHeight="1">
      <c r="A148" s="130"/>
      <c r="B148" s="2"/>
      <c r="C148" s="182"/>
      <c r="D148" s="182"/>
      <c r="E148" s="182"/>
      <c r="F148" s="182"/>
      <c r="G148" s="6"/>
      <c r="H148" s="6"/>
      <c r="I148" s="6"/>
      <c r="J148" s="6"/>
      <c r="K148" s="131"/>
      <c r="L148" s="131"/>
      <c r="M148" s="131"/>
      <c r="N148" s="131"/>
      <c r="O148" s="131"/>
      <c r="P148" s="6"/>
      <c r="Q148" s="6"/>
      <c r="R148" s="6"/>
      <c r="S148" s="6"/>
      <c r="T148" s="6"/>
      <c r="U148" s="6"/>
      <c r="V148" s="6"/>
      <c r="W148" s="6"/>
      <c r="X148" s="6"/>
      <c r="Y148" s="6"/>
      <c r="Z148" s="6"/>
      <c r="AA148" s="6"/>
      <c r="AB148" s="6"/>
      <c r="AC148" s="6"/>
      <c r="AD148" s="6"/>
    </row>
    <row r="149" ht="15.75" customHeight="1">
      <c r="A149" s="130"/>
      <c r="B149" s="2"/>
      <c r="C149" s="182"/>
      <c r="D149" s="182"/>
      <c r="E149" s="182"/>
      <c r="F149" s="182"/>
      <c r="G149" s="6"/>
      <c r="H149" s="6"/>
      <c r="I149" s="6"/>
      <c r="J149" s="6"/>
      <c r="K149" s="131"/>
      <c r="L149" s="131"/>
      <c r="M149" s="131"/>
      <c r="N149" s="131"/>
      <c r="O149" s="131"/>
      <c r="P149" s="6"/>
      <c r="Q149" s="6"/>
      <c r="R149" s="6"/>
      <c r="S149" s="6"/>
      <c r="T149" s="6"/>
      <c r="U149" s="6"/>
      <c r="V149" s="6"/>
      <c r="W149" s="6"/>
      <c r="X149" s="6"/>
      <c r="Y149" s="6"/>
      <c r="Z149" s="6"/>
      <c r="AA149" s="6"/>
      <c r="AB149" s="6"/>
      <c r="AC149" s="6"/>
      <c r="AD149" s="6"/>
    </row>
    <row r="150" ht="15.75" customHeight="1">
      <c r="A150" s="130"/>
      <c r="B150" s="2"/>
      <c r="C150" s="182"/>
      <c r="D150" s="182"/>
      <c r="E150" s="182"/>
      <c r="F150" s="182"/>
      <c r="G150" s="6"/>
      <c r="H150" s="6"/>
      <c r="I150" s="6"/>
      <c r="J150" s="6"/>
      <c r="K150" s="131"/>
      <c r="L150" s="131"/>
      <c r="M150" s="131"/>
      <c r="N150" s="131"/>
      <c r="O150" s="131"/>
      <c r="P150" s="6"/>
      <c r="Q150" s="6"/>
      <c r="R150" s="6"/>
      <c r="S150" s="6"/>
      <c r="T150" s="6"/>
      <c r="U150" s="6"/>
      <c r="V150" s="6"/>
      <c r="W150" s="6"/>
      <c r="X150" s="6"/>
      <c r="Y150" s="6"/>
      <c r="Z150" s="6"/>
      <c r="AA150" s="6"/>
      <c r="AB150" s="6"/>
      <c r="AC150" s="6"/>
      <c r="AD150" s="6"/>
    </row>
    <row r="151" ht="15.75" customHeight="1">
      <c r="A151" s="130"/>
      <c r="B151" s="2"/>
      <c r="C151" s="182"/>
      <c r="D151" s="182"/>
      <c r="E151" s="182"/>
      <c r="F151" s="182"/>
      <c r="G151" s="6"/>
      <c r="H151" s="6"/>
      <c r="I151" s="6"/>
      <c r="J151" s="6"/>
      <c r="K151" s="131"/>
      <c r="L151" s="131"/>
      <c r="M151" s="131"/>
      <c r="N151" s="131"/>
      <c r="O151" s="131"/>
      <c r="P151" s="6"/>
      <c r="Q151" s="6"/>
      <c r="R151" s="6"/>
      <c r="S151" s="6"/>
      <c r="T151" s="6"/>
      <c r="U151" s="6"/>
      <c r="V151" s="6"/>
      <c r="W151" s="6"/>
      <c r="X151" s="6"/>
      <c r="Y151" s="6"/>
      <c r="Z151" s="6"/>
      <c r="AA151" s="6"/>
      <c r="AB151" s="6"/>
      <c r="AC151" s="6"/>
      <c r="AD151" s="6"/>
    </row>
    <row r="152" ht="15.75" customHeight="1">
      <c r="A152" s="130"/>
      <c r="B152" s="2"/>
      <c r="C152" s="182"/>
      <c r="D152" s="182"/>
      <c r="E152" s="182"/>
      <c r="F152" s="182"/>
      <c r="G152" s="6"/>
      <c r="H152" s="6"/>
      <c r="I152" s="6"/>
      <c r="J152" s="6"/>
      <c r="K152" s="131"/>
      <c r="L152" s="131"/>
      <c r="M152" s="131"/>
      <c r="N152" s="131"/>
      <c r="O152" s="131"/>
      <c r="P152" s="6"/>
      <c r="Q152" s="6"/>
      <c r="R152" s="6"/>
      <c r="S152" s="6"/>
      <c r="T152" s="6"/>
      <c r="U152" s="6"/>
      <c r="V152" s="6"/>
      <c r="W152" s="6"/>
      <c r="X152" s="6"/>
      <c r="Y152" s="6"/>
      <c r="Z152" s="6"/>
      <c r="AA152" s="6"/>
      <c r="AB152" s="6"/>
      <c r="AC152" s="6"/>
      <c r="AD152" s="6"/>
    </row>
    <row r="153" ht="15.75" customHeight="1">
      <c r="A153" s="130"/>
      <c r="B153" s="2"/>
      <c r="C153" s="182"/>
      <c r="D153" s="182"/>
      <c r="E153" s="182"/>
      <c r="F153" s="182"/>
      <c r="G153" s="6"/>
      <c r="H153" s="6"/>
      <c r="I153" s="6"/>
      <c r="J153" s="6"/>
      <c r="K153" s="131"/>
      <c r="L153" s="131"/>
      <c r="M153" s="131"/>
      <c r="N153" s="131"/>
      <c r="O153" s="131"/>
      <c r="P153" s="6"/>
      <c r="Q153" s="6"/>
      <c r="R153" s="6"/>
      <c r="S153" s="6"/>
      <c r="T153" s="6"/>
      <c r="U153" s="6"/>
      <c r="V153" s="6"/>
      <c r="W153" s="6"/>
      <c r="X153" s="6"/>
      <c r="Y153" s="6"/>
      <c r="Z153" s="6"/>
      <c r="AA153" s="6"/>
      <c r="AB153" s="6"/>
      <c r="AC153" s="6"/>
      <c r="AD153" s="6"/>
    </row>
    <row r="154" ht="15.75" customHeight="1">
      <c r="A154" s="130"/>
      <c r="B154" s="2"/>
      <c r="C154" s="182"/>
      <c r="D154" s="182"/>
      <c r="E154" s="182"/>
      <c r="F154" s="182"/>
      <c r="G154" s="131"/>
      <c r="H154" s="131"/>
      <c r="I154" s="131"/>
      <c r="J154" s="131"/>
      <c r="K154" s="131"/>
      <c r="L154" s="131"/>
      <c r="M154" s="131"/>
      <c r="N154" s="131"/>
      <c r="O154" s="131"/>
      <c r="P154" s="6"/>
      <c r="Q154" s="6"/>
      <c r="R154" s="6"/>
      <c r="S154" s="6"/>
      <c r="T154" s="6"/>
      <c r="U154" s="6"/>
      <c r="V154" s="6"/>
      <c r="W154" s="6"/>
      <c r="X154" s="6"/>
      <c r="Y154" s="6"/>
      <c r="Z154" s="6"/>
      <c r="AA154" s="6"/>
      <c r="AB154" s="6"/>
      <c r="AC154" s="6"/>
      <c r="AD154" s="6"/>
    </row>
    <row r="155" ht="15.75" customHeight="1">
      <c r="A155" s="130"/>
      <c r="B155" s="2"/>
      <c r="C155" s="182"/>
      <c r="D155" s="182"/>
      <c r="E155" s="182"/>
      <c r="F155" s="182"/>
      <c r="G155" s="131"/>
      <c r="H155" s="131"/>
      <c r="I155" s="131"/>
      <c r="J155" s="131"/>
      <c r="K155" s="131"/>
      <c r="L155" s="131"/>
      <c r="M155" s="131"/>
      <c r="N155" s="131"/>
      <c r="O155" s="131"/>
      <c r="P155" s="6"/>
      <c r="Q155" s="6"/>
      <c r="R155" s="6"/>
      <c r="S155" s="6"/>
      <c r="T155" s="6"/>
      <c r="U155" s="6"/>
      <c r="V155" s="6"/>
      <c r="W155" s="6"/>
      <c r="X155" s="6"/>
      <c r="Y155" s="6"/>
      <c r="Z155" s="6"/>
      <c r="AA155" s="6"/>
      <c r="AB155" s="6"/>
      <c r="AC155" s="6"/>
      <c r="AD155" s="6"/>
    </row>
    <row r="156" ht="15.75" customHeight="1">
      <c r="A156" s="130"/>
      <c r="B156" s="2"/>
      <c r="C156" s="182"/>
      <c r="D156" s="182"/>
      <c r="E156" s="182"/>
      <c r="F156" s="182"/>
      <c r="G156" s="131"/>
      <c r="H156" s="131"/>
      <c r="I156" s="131"/>
      <c r="J156" s="131"/>
      <c r="K156" s="131"/>
      <c r="L156" s="131"/>
      <c r="M156" s="131"/>
      <c r="N156" s="131"/>
      <c r="O156" s="131"/>
      <c r="P156" s="6"/>
      <c r="Q156" s="6"/>
      <c r="R156" s="6"/>
      <c r="S156" s="6"/>
      <c r="T156" s="6"/>
      <c r="U156" s="6"/>
      <c r="V156" s="6"/>
      <c r="W156" s="6"/>
      <c r="X156" s="6"/>
      <c r="Y156" s="6"/>
      <c r="Z156" s="6"/>
      <c r="AA156" s="6"/>
      <c r="AB156" s="6"/>
      <c r="AC156" s="6"/>
      <c r="AD156" s="6"/>
    </row>
    <row r="157" ht="15.75" customHeight="1">
      <c r="A157" s="130"/>
      <c r="B157" s="2"/>
      <c r="C157" s="182"/>
      <c r="D157" s="182"/>
      <c r="E157" s="182"/>
      <c r="F157" s="182"/>
      <c r="G157" s="131"/>
      <c r="H157" s="131"/>
      <c r="I157" s="131"/>
      <c r="J157" s="131"/>
      <c r="K157" s="131"/>
      <c r="L157" s="131"/>
      <c r="M157" s="131"/>
      <c r="N157" s="131"/>
      <c r="O157" s="131"/>
      <c r="P157" s="6"/>
      <c r="Q157" s="6"/>
      <c r="R157" s="6"/>
      <c r="S157" s="6"/>
      <c r="T157" s="6"/>
      <c r="U157" s="6"/>
      <c r="V157" s="6"/>
      <c r="W157" s="6"/>
      <c r="X157" s="6"/>
      <c r="Y157" s="6"/>
      <c r="Z157" s="6"/>
      <c r="AA157" s="6"/>
      <c r="AB157" s="6"/>
      <c r="AC157" s="6"/>
      <c r="AD157" s="6"/>
    </row>
    <row r="158" ht="15.75" customHeight="1">
      <c r="A158" s="130"/>
      <c r="B158" s="2"/>
      <c r="C158" s="182"/>
      <c r="D158" s="182"/>
      <c r="E158" s="182"/>
      <c r="F158" s="182"/>
      <c r="G158" s="131"/>
      <c r="H158" s="131"/>
      <c r="I158" s="131"/>
      <c r="J158" s="131"/>
      <c r="K158" s="131"/>
      <c r="L158" s="131"/>
      <c r="M158" s="131"/>
      <c r="N158" s="131"/>
      <c r="O158" s="131"/>
      <c r="P158" s="6"/>
      <c r="Q158" s="6"/>
      <c r="R158" s="6"/>
      <c r="S158" s="6"/>
      <c r="T158" s="6"/>
      <c r="U158" s="6"/>
      <c r="V158" s="6"/>
      <c r="W158" s="6"/>
      <c r="X158" s="6"/>
      <c r="Y158" s="6"/>
      <c r="Z158" s="6"/>
      <c r="AA158" s="6"/>
      <c r="AB158" s="6"/>
      <c r="AC158" s="6"/>
      <c r="AD158" s="6"/>
    </row>
    <row r="159" ht="15.75" customHeight="1">
      <c r="A159" s="130"/>
      <c r="B159" s="2"/>
      <c r="C159" s="182"/>
      <c r="D159" s="182"/>
      <c r="E159" s="182"/>
      <c r="F159" s="182"/>
      <c r="G159" s="13"/>
      <c r="H159" s="13"/>
      <c r="I159" s="13"/>
      <c r="J159" s="13"/>
      <c r="K159" s="131"/>
      <c r="L159" s="131"/>
      <c r="M159" s="131"/>
      <c r="N159" s="131"/>
      <c r="O159" s="131"/>
      <c r="P159" s="6"/>
      <c r="Q159" s="6"/>
      <c r="R159" s="6"/>
      <c r="S159" s="6"/>
      <c r="T159" s="6"/>
      <c r="U159" s="6"/>
      <c r="V159" s="6"/>
      <c r="W159" s="6"/>
      <c r="X159" s="6"/>
      <c r="Y159" s="6"/>
      <c r="Z159" s="6"/>
      <c r="AA159" s="6"/>
      <c r="AB159" s="6"/>
      <c r="AC159" s="6"/>
      <c r="AD159" s="6"/>
    </row>
    <row r="160" ht="15.75" customHeight="1">
      <c r="A160" s="130"/>
      <c r="B160" s="2"/>
      <c r="C160" s="182"/>
      <c r="D160" s="182"/>
      <c r="E160" s="182"/>
      <c r="F160" s="182"/>
      <c r="G160" s="13"/>
      <c r="H160" s="13"/>
      <c r="I160" s="13"/>
      <c r="J160" s="13"/>
      <c r="K160" s="131"/>
      <c r="L160" s="131"/>
      <c r="M160" s="131"/>
      <c r="N160" s="131"/>
      <c r="O160" s="131"/>
      <c r="P160" s="6"/>
      <c r="Q160" s="6"/>
      <c r="R160" s="6"/>
      <c r="S160" s="6"/>
      <c r="T160" s="6"/>
      <c r="U160" s="6"/>
      <c r="V160" s="6"/>
      <c r="W160" s="6"/>
      <c r="X160" s="6"/>
      <c r="Y160" s="6"/>
      <c r="Z160" s="6"/>
      <c r="AA160" s="6"/>
      <c r="AB160" s="6"/>
      <c r="AC160" s="6"/>
      <c r="AD160" s="6"/>
    </row>
    <row r="161" ht="15.75" customHeight="1">
      <c r="A161" s="130"/>
      <c r="B161" s="2"/>
      <c r="C161" s="182"/>
      <c r="D161" s="182"/>
      <c r="E161" s="182"/>
      <c r="F161" s="182"/>
      <c r="G161" s="13"/>
      <c r="H161" s="13"/>
      <c r="I161" s="13"/>
      <c r="J161" s="13"/>
      <c r="K161" s="131"/>
      <c r="L161" s="131"/>
      <c r="M161" s="131"/>
      <c r="N161" s="131"/>
      <c r="O161" s="131"/>
      <c r="P161" s="6"/>
      <c r="Q161" s="6"/>
      <c r="R161" s="6"/>
      <c r="S161" s="6"/>
      <c r="T161" s="6"/>
      <c r="U161" s="6"/>
      <c r="V161" s="6"/>
      <c r="W161" s="6"/>
      <c r="X161" s="6"/>
      <c r="Y161" s="6"/>
      <c r="Z161" s="6"/>
      <c r="AA161" s="6"/>
      <c r="AB161" s="6"/>
      <c r="AC161" s="6"/>
      <c r="AD161" s="6"/>
    </row>
    <row r="162" ht="15.75" customHeight="1">
      <c r="A162" s="130"/>
      <c r="B162" s="2"/>
      <c r="C162" s="182"/>
      <c r="D162" s="182"/>
      <c r="E162" s="182"/>
      <c r="F162" s="182"/>
      <c r="G162" s="131"/>
      <c r="H162" s="131"/>
      <c r="I162" s="131"/>
      <c r="J162" s="131"/>
      <c r="K162" s="131"/>
      <c r="L162" s="131"/>
      <c r="M162" s="131"/>
      <c r="N162" s="131"/>
      <c r="O162" s="131"/>
      <c r="P162" s="6"/>
      <c r="Q162" s="6"/>
      <c r="R162" s="6"/>
      <c r="S162" s="6"/>
      <c r="T162" s="6"/>
      <c r="U162" s="6"/>
      <c r="V162" s="6"/>
      <c r="W162" s="6"/>
      <c r="X162" s="6"/>
      <c r="Y162" s="6"/>
      <c r="Z162" s="6"/>
      <c r="AA162" s="6"/>
      <c r="AB162" s="6"/>
      <c r="AC162" s="6"/>
      <c r="AD162" s="6"/>
    </row>
    <row r="163" ht="15.75" customHeight="1">
      <c r="A163" s="130"/>
      <c r="B163" s="2"/>
      <c r="C163" s="182"/>
      <c r="D163" s="182"/>
      <c r="E163" s="182"/>
      <c r="F163" s="182"/>
      <c r="G163" s="131"/>
      <c r="H163" s="131"/>
      <c r="I163" s="131"/>
      <c r="J163" s="131"/>
      <c r="K163" s="131"/>
      <c r="L163" s="131"/>
      <c r="M163" s="131"/>
      <c r="N163" s="131"/>
      <c r="O163" s="131"/>
      <c r="P163" s="6"/>
      <c r="Q163" s="6"/>
      <c r="R163" s="6"/>
      <c r="S163" s="6"/>
      <c r="T163" s="6"/>
      <c r="U163" s="6"/>
      <c r="V163" s="6"/>
      <c r="W163" s="6"/>
      <c r="X163" s="6"/>
      <c r="Y163" s="6"/>
      <c r="Z163" s="6"/>
      <c r="AA163" s="6"/>
      <c r="AB163" s="6"/>
      <c r="AC163" s="6"/>
      <c r="AD163" s="6"/>
    </row>
    <row r="164" ht="15.75" customHeight="1">
      <c r="A164" s="130"/>
      <c r="B164" s="2"/>
      <c r="C164" s="182"/>
      <c r="D164" s="182"/>
      <c r="E164" s="182"/>
      <c r="F164" s="182"/>
      <c r="G164" s="131"/>
      <c r="H164" s="131"/>
      <c r="I164" s="131"/>
      <c r="J164" s="131"/>
      <c r="K164" s="131"/>
      <c r="L164" s="131"/>
      <c r="M164" s="131"/>
      <c r="N164" s="131"/>
      <c r="O164" s="131"/>
      <c r="P164" s="6"/>
      <c r="Q164" s="6"/>
      <c r="R164" s="6"/>
      <c r="S164" s="6"/>
      <c r="T164" s="6"/>
      <c r="U164" s="6"/>
      <c r="V164" s="6"/>
      <c r="W164" s="6"/>
      <c r="X164" s="6"/>
      <c r="Y164" s="6"/>
      <c r="Z164" s="6"/>
      <c r="AA164" s="6"/>
      <c r="AB164" s="6"/>
      <c r="AC164" s="6"/>
      <c r="AD164" s="6"/>
    </row>
    <row r="165" ht="15.75" customHeight="1">
      <c r="A165" s="130"/>
      <c r="B165" s="2"/>
      <c r="C165" s="182"/>
      <c r="D165" s="182"/>
      <c r="E165" s="182"/>
      <c r="F165" s="182"/>
      <c r="G165" s="131"/>
      <c r="H165" s="131"/>
      <c r="I165" s="131"/>
      <c r="J165" s="131"/>
      <c r="K165" s="131"/>
      <c r="L165" s="131"/>
      <c r="M165" s="131"/>
      <c r="N165" s="131"/>
      <c r="O165" s="131"/>
      <c r="P165" s="6"/>
      <c r="Q165" s="6"/>
      <c r="R165" s="6"/>
      <c r="S165" s="6"/>
      <c r="T165" s="6"/>
      <c r="U165" s="6"/>
      <c r="V165" s="6"/>
      <c r="W165" s="6"/>
      <c r="X165" s="6"/>
      <c r="Y165" s="6"/>
      <c r="Z165" s="6"/>
      <c r="AA165" s="6"/>
      <c r="AB165" s="6"/>
      <c r="AC165" s="6"/>
      <c r="AD165" s="6"/>
    </row>
    <row r="166" ht="15.75" customHeight="1">
      <c r="A166" s="130"/>
      <c r="B166" s="2"/>
      <c r="C166" s="182"/>
      <c r="D166" s="182"/>
      <c r="E166" s="182"/>
      <c r="F166" s="182"/>
      <c r="G166" s="131"/>
      <c r="H166" s="131"/>
      <c r="I166" s="131"/>
      <c r="J166" s="131"/>
      <c r="K166" s="131"/>
      <c r="L166" s="131"/>
      <c r="M166" s="131"/>
      <c r="N166" s="131"/>
      <c r="O166" s="131"/>
      <c r="P166" s="6"/>
      <c r="Q166" s="6"/>
      <c r="R166" s="6"/>
      <c r="S166" s="6"/>
      <c r="T166" s="6"/>
      <c r="U166" s="6"/>
      <c r="V166" s="6"/>
      <c r="W166" s="6"/>
      <c r="X166" s="6"/>
      <c r="Y166" s="6"/>
      <c r="Z166" s="6"/>
      <c r="AA166" s="6"/>
      <c r="AB166" s="6"/>
      <c r="AC166" s="6"/>
      <c r="AD166" s="6"/>
    </row>
    <row r="167" ht="15.75" customHeight="1">
      <c r="A167" s="130"/>
      <c r="B167" s="2"/>
      <c r="C167" s="182"/>
      <c r="D167" s="182"/>
      <c r="E167" s="182"/>
      <c r="F167" s="182"/>
      <c r="G167" s="6"/>
      <c r="H167" s="6"/>
      <c r="I167" s="6"/>
      <c r="J167" s="6"/>
      <c r="K167" s="131"/>
      <c r="L167" s="131"/>
      <c r="M167" s="131"/>
      <c r="N167" s="131"/>
      <c r="O167" s="131"/>
      <c r="P167" s="6"/>
      <c r="Q167" s="6"/>
      <c r="R167" s="6"/>
      <c r="S167" s="6"/>
      <c r="T167" s="6"/>
      <c r="U167" s="6"/>
      <c r="V167" s="6"/>
      <c r="W167" s="6"/>
      <c r="X167" s="6"/>
      <c r="Y167" s="6"/>
      <c r="Z167" s="6"/>
      <c r="AA167" s="6"/>
      <c r="AB167" s="6"/>
      <c r="AC167" s="6"/>
      <c r="AD167" s="6"/>
    </row>
    <row r="168" ht="15.75" customHeight="1">
      <c r="A168" s="130"/>
      <c r="B168" s="2"/>
      <c r="C168" s="182"/>
      <c r="D168" s="182"/>
      <c r="E168" s="182"/>
      <c r="F168" s="182"/>
      <c r="G168" s="6"/>
      <c r="H168" s="6"/>
      <c r="I168" s="6"/>
      <c r="J168" s="6"/>
      <c r="K168" s="131"/>
      <c r="L168" s="131"/>
      <c r="M168" s="131"/>
      <c r="N168" s="131"/>
      <c r="O168" s="131"/>
      <c r="P168" s="6"/>
      <c r="Q168" s="6"/>
      <c r="R168" s="6"/>
      <c r="S168" s="6"/>
      <c r="T168" s="6"/>
      <c r="U168" s="6"/>
      <c r="V168" s="6"/>
      <c r="W168" s="6"/>
      <c r="X168" s="6"/>
      <c r="Y168" s="6"/>
      <c r="Z168" s="6"/>
      <c r="AA168" s="6"/>
      <c r="AB168" s="6"/>
      <c r="AC168" s="6"/>
      <c r="AD168" s="6"/>
    </row>
    <row r="169" ht="15.75" customHeight="1">
      <c r="A169" s="130"/>
      <c r="B169" s="2"/>
      <c r="C169" s="182"/>
      <c r="D169" s="182"/>
      <c r="E169" s="182"/>
      <c r="F169" s="182"/>
      <c r="G169" s="6"/>
      <c r="H169" s="6"/>
      <c r="I169" s="6"/>
      <c r="J169" s="6"/>
      <c r="K169" s="131"/>
      <c r="L169" s="131"/>
      <c r="M169" s="131"/>
      <c r="N169" s="131"/>
      <c r="O169" s="131"/>
      <c r="P169" s="6"/>
      <c r="Q169" s="6"/>
      <c r="R169" s="6"/>
      <c r="S169" s="6"/>
      <c r="T169" s="6"/>
      <c r="U169" s="6"/>
      <c r="V169" s="6"/>
      <c r="W169" s="6"/>
      <c r="X169" s="6"/>
      <c r="Y169" s="6"/>
      <c r="Z169" s="6"/>
      <c r="AA169" s="6"/>
      <c r="AB169" s="6"/>
      <c r="AC169" s="6"/>
      <c r="AD169" s="6"/>
    </row>
    <row r="170" ht="15.75" customHeight="1">
      <c r="A170" s="130"/>
      <c r="B170" s="2"/>
      <c r="C170" s="182"/>
      <c r="D170" s="182"/>
      <c r="E170" s="182"/>
      <c r="F170" s="182"/>
      <c r="G170" s="6"/>
      <c r="H170" s="6"/>
      <c r="I170" s="6"/>
      <c r="J170" s="6"/>
      <c r="K170" s="131"/>
      <c r="L170" s="131"/>
      <c r="M170" s="131"/>
      <c r="N170" s="131"/>
      <c r="O170" s="131"/>
      <c r="P170" s="6"/>
      <c r="Q170" s="6"/>
      <c r="R170" s="6"/>
      <c r="S170" s="6"/>
      <c r="T170" s="6"/>
      <c r="U170" s="6"/>
      <c r="V170" s="6"/>
      <c r="W170" s="6"/>
      <c r="X170" s="6"/>
      <c r="Y170" s="6"/>
      <c r="Z170" s="6"/>
      <c r="AA170" s="6"/>
      <c r="AB170" s="6"/>
      <c r="AC170" s="6"/>
      <c r="AD170" s="6"/>
    </row>
    <row r="171" ht="15.75" customHeight="1">
      <c r="A171" s="130"/>
      <c r="B171" s="2"/>
      <c r="C171" s="182"/>
      <c r="D171" s="182"/>
      <c r="E171" s="182"/>
      <c r="F171" s="182"/>
      <c r="G171" s="6"/>
      <c r="H171" s="6"/>
      <c r="I171" s="6"/>
      <c r="J171" s="6"/>
      <c r="K171" s="131"/>
      <c r="L171" s="131"/>
      <c r="M171" s="131"/>
      <c r="N171" s="131"/>
      <c r="O171" s="131"/>
      <c r="P171" s="6"/>
      <c r="Q171" s="6"/>
      <c r="R171" s="6"/>
      <c r="S171" s="6"/>
      <c r="T171" s="6"/>
      <c r="U171" s="6"/>
      <c r="V171" s="6"/>
      <c r="W171" s="6"/>
      <c r="X171" s="6"/>
      <c r="Y171" s="6"/>
      <c r="Z171" s="6"/>
      <c r="AA171" s="6"/>
      <c r="AB171" s="6"/>
      <c r="AC171" s="6"/>
      <c r="AD171" s="6"/>
    </row>
    <row r="172" ht="15.75" customHeight="1">
      <c r="A172" s="130"/>
      <c r="B172" s="2"/>
      <c r="C172" s="182"/>
      <c r="D172" s="182"/>
      <c r="E172" s="182"/>
      <c r="F172" s="182"/>
      <c r="G172" s="6"/>
      <c r="H172" s="6"/>
      <c r="I172" s="6"/>
      <c r="J172" s="6"/>
      <c r="K172" s="131"/>
      <c r="L172" s="131"/>
      <c r="M172" s="131"/>
      <c r="N172" s="131"/>
      <c r="O172" s="131"/>
      <c r="P172" s="6"/>
      <c r="Q172" s="6"/>
      <c r="R172" s="6"/>
      <c r="S172" s="6"/>
      <c r="T172" s="6"/>
      <c r="U172" s="6"/>
      <c r="V172" s="6"/>
      <c r="W172" s="6"/>
      <c r="X172" s="6"/>
      <c r="Y172" s="6"/>
      <c r="Z172" s="6"/>
      <c r="AA172" s="6"/>
      <c r="AB172" s="6"/>
      <c r="AC172" s="6"/>
      <c r="AD172" s="6"/>
    </row>
    <row r="173" ht="15.75" customHeight="1">
      <c r="A173" s="130"/>
      <c r="B173" s="2"/>
      <c r="C173" s="182"/>
      <c r="D173" s="182"/>
      <c r="E173" s="182"/>
      <c r="F173" s="182"/>
      <c r="G173" s="6"/>
      <c r="H173" s="6"/>
      <c r="I173" s="6"/>
      <c r="J173" s="6"/>
      <c r="K173" s="131"/>
      <c r="L173" s="131"/>
      <c r="M173" s="131"/>
      <c r="N173" s="131"/>
      <c r="O173" s="131"/>
      <c r="P173" s="6"/>
      <c r="Q173" s="6"/>
      <c r="R173" s="6"/>
      <c r="S173" s="6"/>
      <c r="T173" s="6"/>
      <c r="U173" s="6"/>
      <c r="V173" s="6"/>
      <c r="W173" s="6"/>
      <c r="X173" s="6"/>
      <c r="Y173" s="6"/>
      <c r="Z173" s="6"/>
      <c r="AA173" s="6"/>
      <c r="AB173" s="6"/>
      <c r="AC173" s="6"/>
      <c r="AD173" s="6"/>
    </row>
    <row r="174" ht="15.75" customHeight="1">
      <c r="A174" s="130"/>
      <c r="B174" s="2"/>
      <c r="C174" s="182"/>
      <c r="D174" s="182"/>
      <c r="E174" s="182"/>
      <c r="F174" s="182"/>
      <c r="G174" s="6"/>
      <c r="H174" s="6"/>
      <c r="I174" s="6"/>
      <c r="J174" s="6"/>
      <c r="K174" s="131"/>
      <c r="L174" s="131"/>
      <c r="M174" s="131"/>
      <c r="N174" s="131"/>
      <c r="O174" s="131"/>
      <c r="P174" s="6"/>
      <c r="Q174" s="6"/>
      <c r="R174" s="6"/>
      <c r="S174" s="6"/>
      <c r="T174" s="6"/>
      <c r="U174" s="6"/>
      <c r="V174" s="6"/>
      <c r="W174" s="6"/>
      <c r="X174" s="6"/>
      <c r="Y174" s="6"/>
      <c r="Z174" s="6"/>
      <c r="AA174" s="6"/>
      <c r="AB174" s="6"/>
      <c r="AC174" s="6"/>
      <c r="AD174" s="6"/>
    </row>
    <row r="175" ht="15.75" customHeight="1">
      <c r="A175" s="130"/>
      <c r="B175" s="2"/>
      <c r="C175" s="182"/>
      <c r="D175" s="182"/>
      <c r="E175" s="182"/>
      <c r="F175" s="182"/>
      <c r="G175" s="6"/>
      <c r="H175" s="6"/>
      <c r="I175" s="6"/>
      <c r="J175" s="6"/>
      <c r="K175" s="131"/>
      <c r="L175" s="131"/>
      <c r="M175" s="131"/>
      <c r="N175" s="131"/>
      <c r="O175" s="131"/>
      <c r="P175" s="6"/>
      <c r="Q175" s="6"/>
      <c r="R175" s="6"/>
      <c r="S175" s="6"/>
      <c r="T175" s="6"/>
      <c r="U175" s="6"/>
      <c r="V175" s="6"/>
      <c r="W175" s="6"/>
      <c r="X175" s="6"/>
      <c r="Y175" s="6"/>
      <c r="Z175" s="6"/>
      <c r="AA175" s="6"/>
      <c r="AB175" s="6"/>
      <c r="AC175" s="6"/>
      <c r="AD175" s="6"/>
    </row>
    <row r="176" ht="15.75" customHeight="1">
      <c r="A176" s="130"/>
      <c r="B176" s="2"/>
      <c r="C176" s="182"/>
      <c r="D176" s="182"/>
      <c r="E176" s="182"/>
      <c r="F176" s="182"/>
      <c r="G176" s="6"/>
      <c r="H176" s="6"/>
      <c r="I176" s="6"/>
      <c r="J176" s="6"/>
      <c r="K176" s="131"/>
      <c r="L176" s="131"/>
      <c r="M176" s="131"/>
      <c r="N176" s="131"/>
      <c r="O176" s="131"/>
      <c r="P176" s="6"/>
      <c r="Q176" s="6"/>
      <c r="R176" s="6"/>
      <c r="S176" s="6"/>
      <c r="T176" s="6"/>
      <c r="U176" s="6"/>
      <c r="V176" s="6"/>
      <c r="W176" s="6"/>
      <c r="X176" s="6"/>
      <c r="Y176" s="6"/>
      <c r="Z176" s="6"/>
      <c r="AA176" s="6"/>
      <c r="AB176" s="6"/>
      <c r="AC176" s="6"/>
      <c r="AD176" s="6"/>
    </row>
    <row r="177" ht="15.75" customHeight="1">
      <c r="A177" s="130"/>
      <c r="B177" s="2"/>
      <c r="C177" s="182"/>
      <c r="D177" s="182"/>
      <c r="E177" s="182"/>
      <c r="F177" s="182"/>
      <c r="G177" s="6"/>
      <c r="H177" s="6"/>
      <c r="I177" s="6"/>
      <c r="J177" s="6"/>
      <c r="K177" s="131"/>
      <c r="L177" s="131"/>
      <c r="M177" s="131"/>
      <c r="N177" s="131"/>
      <c r="O177" s="131"/>
      <c r="P177" s="6"/>
      <c r="Q177" s="6"/>
      <c r="R177" s="6"/>
      <c r="S177" s="6"/>
      <c r="T177" s="6"/>
      <c r="U177" s="6"/>
      <c r="V177" s="6"/>
      <c r="W177" s="6"/>
      <c r="X177" s="6"/>
      <c r="Y177" s="6"/>
      <c r="Z177" s="6"/>
      <c r="AA177" s="6"/>
      <c r="AB177" s="6"/>
      <c r="AC177" s="6"/>
      <c r="AD177" s="6"/>
    </row>
    <row r="178" ht="15.75" customHeight="1">
      <c r="A178" s="130"/>
      <c r="B178" s="2"/>
      <c r="C178" s="182"/>
      <c r="D178" s="182"/>
      <c r="E178" s="182"/>
      <c r="F178" s="182"/>
      <c r="G178" s="6"/>
      <c r="H178" s="6"/>
      <c r="I178" s="6"/>
      <c r="J178" s="6"/>
      <c r="K178" s="131"/>
      <c r="L178" s="131"/>
      <c r="M178" s="131"/>
      <c r="N178" s="131"/>
      <c r="O178" s="131"/>
      <c r="P178" s="6"/>
      <c r="Q178" s="6"/>
      <c r="R178" s="6"/>
      <c r="S178" s="6"/>
      <c r="T178" s="6"/>
      <c r="U178" s="6"/>
      <c r="V178" s="6"/>
      <c r="W178" s="6"/>
      <c r="X178" s="6"/>
      <c r="Y178" s="6"/>
      <c r="Z178" s="6"/>
      <c r="AA178" s="6"/>
      <c r="AB178" s="6"/>
      <c r="AC178" s="6"/>
      <c r="AD178" s="6"/>
    </row>
    <row r="179" ht="15.75" customHeight="1">
      <c r="A179" s="130"/>
      <c r="B179" s="2"/>
      <c r="C179" s="182"/>
      <c r="D179" s="182"/>
      <c r="E179" s="182"/>
      <c r="F179" s="182"/>
      <c r="G179" s="6"/>
      <c r="H179" s="6"/>
      <c r="I179" s="6"/>
      <c r="J179" s="6"/>
      <c r="K179" s="131"/>
      <c r="L179" s="131"/>
      <c r="M179" s="131"/>
      <c r="N179" s="131"/>
      <c r="O179" s="131"/>
      <c r="P179" s="6"/>
      <c r="Q179" s="6"/>
      <c r="R179" s="6"/>
      <c r="S179" s="6"/>
      <c r="T179" s="6"/>
      <c r="U179" s="6"/>
      <c r="V179" s="6"/>
      <c r="W179" s="6"/>
      <c r="X179" s="6"/>
      <c r="Y179" s="6"/>
      <c r="Z179" s="6"/>
      <c r="AA179" s="6"/>
      <c r="AB179" s="6"/>
      <c r="AC179" s="6"/>
      <c r="AD179" s="6"/>
    </row>
    <row r="180" ht="15.75" customHeight="1">
      <c r="A180" s="130"/>
      <c r="B180" s="2"/>
      <c r="C180" s="182"/>
      <c r="D180" s="182"/>
      <c r="E180" s="182"/>
      <c r="F180" s="182"/>
      <c r="G180" s="6"/>
      <c r="H180" s="6"/>
      <c r="I180" s="6"/>
      <c r="J180" s="6"/>
      <c r="K180" s="131"/>
      <c r="L180" s="131"/>
      <c r="M180" s="131"/>
      <c r="N180" s="131"/>
      <c r="O180" s="131"/>
      <c r="P180" s="6"/>
      <c r="Q180" s="6"/>
      <c r="R180" s="6"/>
      <c r="S180" s="6"/>
      <c r="T180" s="6"/>
      <c r="U180" s="6"/>
      <c r="V180" s="6"/>
      <c r="W180" s="6"/>
      <c r="X180" s="6"/>
      <c r="Y180" s="6"/>
      <c r="Z180" s="6"/>
      <c r="AA180" s="6"/>
      <c r="AB180" s="6"/>
      <c r="AC180" s="6"/>
      <c r="AD180" s="6"/>
    </row>
    <row r="181" ht="15.75" customHeight="1">
      <c r="A181" s="130"/>
      <c r="B181" s="2"/>
      <c r="C181" s="182"/>
      <c r="D181" s="182"/>
      <c r="E181" s="182"/>
      <c r="F181" s="182"/>
      <c r="G181" s="6"/>
      <c r="H181" s="6"/>
      <c r="I181" s="6"/>
      <c r="J181" s="6"/>
      <c r="K181" s="131"/>
      <c r="L181" s="131"/>
      <c r="M181" s="131"/>
      <c r="N181" s="131"/>
      <c r="O181" s="131"/>
      <c r="P181" s="6"/>
      <c r="Q181" s="6"/>
      <c r="R181" s="6"/>
      <c r="S181" s="6"/>
      <c r="T181" s="6"/>
      <c r="U181" s="6"/>
      <c r="V181" s="6"/>
      <c r="W181" s="6"/>
      <c r="X181" s="6"/>
      <c r="Y181" s="6"/>
      <c r="Z181" s="6"/>
      <c r="AA181" s="6"/>
      <c r="AB181" s="6"/>
      <c r="AC181" s="6"/>
      <c r="AD181" s="6"/>
    </row>
    <row r="182" ht="15.75" customHeight="1">
      <c r="A182" s="130"/>
      <c r="B182" s="2"/>
      <c r="C182" s="182"/>
      <c r="D182" s="182"/>
      <c r="E182" s="182"/>
      <c r="F182" s="182"/>
      <c r="G182" s="6"/>
      <c r="H182" s="6"/>
      <c r="I182" s="6"/>
      <c r="J182" s="6"/>
      <c r="K182" s="131"/>
      <c r="L182" s="131"/>
      <c r="M182" s="131"/>
      <c r="N182" s="131"/>
      <c r="O182" s="131"/>
      <c r="P182" s="6"/>
      <c r="Q182" s="6"/>
      <c r="R182" s="6"/>
      <c r="S182" s="6"/>
      <c r="T182" s="6"/>
      <c r="U182" s="6"/>
      <c r="V182" s="6"/>
      <c r="W182" s="6"/>
      <c r="X182" s="6"/>
      <c r="Y182" s="6"/>
      <c r="Z182" s="6"/>
      <c r="AA182" s="6"/>
      <c r="AB182" s="6"/>
      <c r="AC182" s="6"/>
      <c r="AD182" s="6"/>
    </row>
    <row r="183" ht="15.75" customHeight="1">
      <c r="A183" s="130"/>
      <c r="B183" s="2"/>
      <c r="C183" s="182"/>
      <c r="D183" s="182"/>
      <c r="E183" s="182"/>
      <c r="F183" s="182"/>
      <c r="G183" s="6"/>
      <c r="H183" s="6"/>
      <c r="I183" s="6"/>
      <c r="J183" s="6"/>
      <c r="K183" s="131"/>
      <c r="L183" s="131"/>
      <c r="M183" s="131"/>
      <c r="N183" s="131"/>
      <c r="O183" s="131"/>
      <c r="P183" s="6"/>
      <c r="Q183" s="6"/>
      <c r="R183" s="6"/>
      <c r="S183" s="6"/>
      <c r="T183" s="6"/>
      <c r="U183" s="6"/>
      <c r="V183" s="6"/>
      <c r="W183" s="6"/>
      <c r="X183" s="6"/>
      <c r="Y183" s="6"/>
      <c r="Z183" s="6"/>
      <c r="AA183" s="6"/>
      <c r="AB183" s="6"/>
      <c r="AC183" s="6"/>
      <c r="AD183" s="6"/>
    </row>
    <row r="184" ht="15.75" customHeight="1">
      <c r="A184" s="130"/>
      <c r="B184" s="2"/>
      <c r="C184" s="182"/>
      <c r="D184" s="182"/>
      <c r="E184" s="182"/>
      <c r="F184" s="182"/>
      <c r="G184" s="6"/>
      <c r="H184" s="6"/>
      <c r="I184" s="6"/>
      <c r="J184" s="6"/>
      <c r="K184" s="131"/>
      <c r="L184" s="131"/>
      <c r="M184" s="131"/>
      <c r="N184" s="131"/>
      <c r="O184" s="131"/>
      <c r="P184" s="6"/>
      <c r="Q184" s="6"/>
      <c r="R184" s="6"/>
      <c r="S184" s="6"/>
      <c r="T184" s="6"/>
      <c r="U184" s="6"/>
      <c r="V184" s="6"/>
      <c r="W184" s="6"/>
      <c r="X184" s="6"/>
      <c r="Y184" s="6"/>
      <c r="Z184" s="6"/>
      <c r="AA184" s="6"/>
      <c r="AB184" s="6"/>
      <c r="AC184" s="6"/>
      <c r="AD184" s="6"/>
    </row>
    <row r="185" ht="15.75" customHeight="1">
      <c r="A185" s="130"/>
      <c r="B185" s="2"/>
      <c r="C185" s="182"/>
      <c r="D185" s="182"/>
      <c r="E185" s="182"/>
      <c r="F185" s="182"/>
      <c r="G185" s="6"/>
      <c r="H185" s="6"/>
      <c r="I185" s="6"/>
      <c r="J185" s="6"/>
      <c r="K185" s="131"/>
      <c r="L185" s="131"/>
      <c r="M185" s="131"/>
      <c r="N185" s="131"/>
      <c r="O185" s="131"/>
      <c r="P185" s="6"/>
      <c r="Q185" s="6"/>
      <c r="R185" s="6"/>
      <c r="S185" s="6"/>
      <c r="T185" s="6"/>
      <c r="U185" s="6"/>
      <c r="V185" s="6"/>
      <c r="W185" s="6"/>
      <c r="X185" s="6"/>
      <c r="Y185" s="6"/>
      <c r="Z185" s="6"/>
      <c r="AA185" s="6"/>
      <c r="AB185" s="6"/>
      <c r="AC185" s="6"/>
      <c r="AD185" s="6"/>
    </row>
    <row r="186" ht="15.75" customHeight="1">
      <c r="A186" s="130"/>
      <c r="B186" s="2"/>
      <c r="C186" s="182"/>
      <c r="D186" s="182"/>
      <c r="E186" s="182"/>
      <c r="F186" s="182"/>
      <c r="G186" s="6"/>
      <c r="H186" s="6"/>
      <c r="I186" s="6"/>
      <c r="J186" s="6"/>
      <c r="K186" s="131"/>
      <c r="L186" s="131"/>
      <c r="M186" s="131"/>
      <c r="N186" s="131"/>
      <c r="O186" s="131"/>
      <c r="P186" s="6"/>
      <c r="Q186" s="6"/>
      <c r="R186" s="6"/>
      <c r="S186" s="6"/>
      <c r="T186" s="6"/>
      <c r="U186" s="6"/>
      <c r="V186" s="6"/>
      <c r="W186" s="6"/>
      <c r="X186" s="6"/>
      <c r="Y186" s="6"/>
      <c r="Z186" s="6"/>
      <c r="AA186" s="6"/>
      <c r="AB186" s="6"/>
      <c r="AC186" s="6"/>
      <c r="AD186" s="6"/>
    </row>
    <row r="187" ht="15.75" customHeight="1">
      <c r="A187" s="130"/>
      <c r="B187" s="2"/>
      <c r="C187" s="182"/>
      <c r="D187" s="182"/>
      <c r="E187" s="182"/>
      <c r="F187" s="182"/>
      <c r="G187" s="6"/>
      <c r="H187" s="6"/>
      <c r="I187" s="6"/>
      <c r="J187" s="6"/>
      <c r="K187" s="131"/>
      <c r="L187" s="131"/>
      <c r="M187" s="131"/>
      <c r="N187" s="131"/>
      <c r="O187" s="131"/>
      <c r="P187" s="6"/>
      <c r="Q187" s="6"/>
      <c r="R187" s="6"/>
      <c r="S187" s="6"/>
      <c r="T187" s="6"/>
      <c r="U187" s="6"/>
      <c r="V187" s="6"/>
      <c r="W187" s="6"/>
      <c r="X187" s="6"/>
      <c r="Y187" s="6"/>
      <c r="Z187" s="6"/>
      <c r="AA187" s="6"/>
      <c r="AB187" s="6"/>
      <c r="AC187" s="6"/>
      <c r="AD187" s="6"/>
    </row>
    <row r="188" ht="15.75" customHeight="1">
      <c r="A188" s="130"/>
      <c r="B188" s="2"/>
      <c r="C188" s="182"/>
      <c r="D188" s="182"/>
      <c r="E188" s="182"/>
      <c r="F188" s="182"/>
      <c r="G188" s="6"/>
      <c r="H188" s="6"/>
      <c r="I188" s="6"/>
      <c r="J188" s="6"/>
      <c r="K188" s="131"/>
      <c r="L188" s="131"/>
      <c r="M188" s="131"/>
      <c r="N188" s="131"/>
      <c r="O188" s="131"/>
      <c r="P188" s="6"/>
      <c r="Q188" s="6"/>
      <c r="R188" s="6"/>
      <c r="S188" s="6"/>
      <c r="T188" s="6"/>
      <c r="U188" s="6"/>
      <c r="V188" s="6"/>
      <c r="W188" s="6"/>
      <c r="X188" s="6"/>
      <c r="Y188" s="6"/>
      <c r="Z188" s="6"/>
      <c r="AA188" s="6"/>
      <c r="AB188" s="6"/>
      <c r="AC188" s="6"/>
      <c r="AD188" s="6"/>
    </row>
    <row r="189" ht="15.75" customHeight="1">
      <c r="A189" s="130"/>
      <c r="B189" s="2"/>
      <c r="C189" s="182"/>
      <c r="D189" s="182"/>
      <c r="E189" s="182"/>
      <c r="F189" s="182"/>
      <c r="G189" s="6"/>
      <c r="H189" s="6"/>
      <c r="I189" s="6"/>
      <c r="J189" s="6"/>
      <c r="K189" s="131"/>
      <c r="L189" s="131"/>
      <c r="M189" s="131"/>
      <c r="N189" s="131"/>
      <c r="O189" s="131"/>
      <c r="P189" s="6"/>
      <c r="Q189" s="6"/>
      <c r="R189" s="6"/>
      <c r="S189" s="6"/>
      <c r="T189" s="6"/>
      <c r="U189" s="6"/>
      <c r="V189" s="6"/>
      <c r="W189" s="6"/>
      <c r="X189" s="6"/>
      <c r="Y189" s="6"/>
      <c r="Z189" s="6"/>
      <c r="AA189" s="6"/>
      <c r="AB189" s="6"/>
      <c r="AC189" s="6"/>
      <c r="AD189" s="6"/>
    </row>
    <row r="190" ht="15.75" customHeight="1">
      <c r="A190" s="130"/>
      <c r="B190" s="2"/>
      <c r="C190" s="182"/>
      <c r="D190" s="182"/>
      <c r="E190" s="182"/>
      <c r="F190" s="182"/>
      <c r="G190" s="6"/>
      <c r="H190" s="6"/>
      <c r="I190" s="6"/>
      <c r="J190" s="6"/>
      <c r="K190" s="131"/>
      <c r="L190" s="131"/>
      <c r="M190" s="131"/>
      <c r="N190" s="131"/>
      <c r="O190" s="131"/>
      <c r="P190" s="6"/>
      <c r="Q190" s="6"/>
      <c r="R190" s="6"/>
      <c r="S190" s="6"/>
      <c r="T190" s="6"/>
      <c r="U190" s="6"/>
      <c r="V190" s="6"/>
      <c r="W190" s="6"/>
      <c r="X190" s="6"/>
      <c r="Y190" s="6"/>
      <c r="Z190" s="6"/>
      <c r="AA190" s="6"/>
      <c r="AB190" s="6"/>
      <c r="AC190" s="6"/>
      <c r="AD190" s="6"/>
    </row>
    <row r="191" ht="15.75" customHeight="1">
      <c r="A191" s="130"/>
      <c r="B191" s="2"/>
      <c r="C191" s="182"/>
      <c r="D191" s="182"/>
      <c r="E191" s="182"/>
      <c r="F191" s="182"/>
      <c r="G191" s="6"/>
      <c r="H191" s="6"/>
      <c r="I191" s="6"/>
      <c r="J191" s="6"/>
      <c r="K191" s="131"/>
      <c r="L191" s="131"/>
      <c r="M191" s="131"/>
      <c r="N191" s="131"/>
      <c r="O191" s="131"/>
      <c r="P191" s="6"/>
      <c r="Q191" s="6"/>
      <c r="R191" s="6"/>
      <c r="S191" s="6"/>
      <c r="T191" s="6"/>
      <c r="U191" s="6"/>
      <c r="V191" s="6"/>
      <c r="W191" s="6"/>
      <c r="X191" s="6"/>
      <c r="Y191" s="6"/>
      <c r="Z191" s="6"/>
      <c r="AA191" s="6"/>
      <c r="AB191" s="6"/>
      <c r="AC191" s="6"/>
      <c r="AD191" s="6"/>
    </row>
    <row r="192" ht="15.75" customHeight="1">
      <c r="A192" s="130"/>
      <c r="B192" s="2"/>
      <c r="C192" s="182"/>
      <c r="D192" s="182"/>
      <c r="E192" s="182"/>
      <c r="F192" s="182"/>
      <c r="G192" s="6"/>
      <c r="H192" s="6"/>
      <c r="I192" s="6"/>
      <c r="J192" s="6"/>
      <c r="K192" s="131"/>
      <c r="L192" s="131"/>
      <c r="M192" s="131"/>
      <c r="N192" s="131"/>
      <c r="O192" s="131"/>
      <c r="P192" s="6"/>
      <c r="Q192" s="6"/>
      <c r="R192" s="6"/>
      <c r="S192" s="6"/>
      <c r="T192" s="6"/>
      <c r="U192" s="6"/>
      <c r="V192" s="6"/>
      <c r="W192" s="6"/>
      <c r="X192" s="6"/>
      <c r="Y192" s="6"/>
      <c r="Z192" s="6"/>
      <c r="AA192" s="6"/>
      <c r="AB192" s="6"/>
      <c r="AC192" s="6"/>
      <c r="AD192" s="6"/>
    </row>
    <row r="193" ht="15.75" customHeight="1">
      <c r="A193" s="130"/>
      <c r="B193" s="2"/>
      <c r="C193" s="182"/>
      <c r="D193" s="182"/>
      <c r="E193" s="182"/>
      <c r="F193" s="182"/>
      <c r="G193" s="6"/>
      <c r="H193" s="6"/>
      <c r="I193" s="6"/>
      <c r="J193" s="6"/>
      <c r="K193" s="131"/>
      <c r="L193" s="131"/>
      <c r="M193" s="131"/>
      <c r="N193" s="131"/>
      <c r="O193" s="131"/>
      <c r="P193" s="6"/>
      <c r="Q193" s="6"/>
      <c r="R193" s="6"/>
      <c r="S193" s="6"/>
      <c r="T193" s="6"/>
      <c r="U193" s="6"/>
      <c r="V193" s="6"/>
      <c r="W193" s="6"/>
      <c r="X193" s="6"/>
      <c r="Y193" s="6"/>
      <c r="Z193" s="6"/>
      <c r="AA193" s="6"/>
      <c r="AB193" s="6"/>
      <c r="AC193" s="6"/>
      <c r="AD193" s="6"/>
    </row>
    <row r="194" ht="15.75" customHeight="1">
      <c r="A194" s="130"/>
      <c r="B194" s="2"/>
      <c r="C194" s="182"/>
      <c r="D194" s="182"/>
      <c r="E194" s="182"/>
      <c r="F194" s="182"/>
      <c r="G194" s="6"/>
      <c r="H194" s="6"/>
      <c r="I194" s="6"/>
      <c r="J194" s="6"/>
      <c r="K194" s="131"/>
      <c r="L194" s="131"/>
      <c r="M194" s="131"/>
      <c r="N194" s="131"/>
      <c r="O194" s="131"/>
      <c r="P194" s="6"/>
      <c r="Q194" s="6"/>
      <c r="R194" s="6"/>
      <c r="S194" s="6"/>
      <c r="T194" s="6"/>
      <c r="U194" s="6"/>
      <c r="V194" s="6"/>
      <c r="W194" s="6"/>
      <c r="X194" s="6"/>
      <c r="Y194" s="6"/>
      <c r="Z194" s="6"/>
      <c r="AA194" s="6"/>
      <c r="AB194" s="6"/>
      <c r="AC194" s="6"/>
      <c r="AD194" s="6"/>
    </row>
    <row r="195" ht="15.75" customHeight="1">
      <c r="A195" s="130"/>
      <c r="B195" s="2"/>
      <c r="C195" s="182"/>
      <c r="D195" s="182"/>
      <c r="E195" s="182"/>
      <c r="F195" s="182"/>
      <c r="G195" s="6"/>
      <c r="H195" s="6"/>
      <c r="I195" s="6"/>
      <c r="J195" s="6"/>
      <c r="K195" s="131"/>
      <c r="L195" s="131"/>
      <c r="M195" s="131"/>
      <c r="N195" s="131"/>
      <c r="O195" s="131"/>
      <c r="P195" s="6"/>
      <c r="Q195" s="6"/>
      <c r="R195" s="6"/>
      <c r="S195" s="6"/>
      <c r="T195" s="6"/>
      <c r="U195" s="6"/>
      <c r="V195" s="6"/>
      <c r="W195" s="6"/>
      <c r="X195" s="6"/>
      <c r="Y195" s="6"/>
      <c r="Z195" s="6"/>
      <c r="AA195" s="6"/>
      <c r="AB195" s="6"/>
      <c r="AC195" s="6"/>
      <c r="AD195" s="6"/>
    </row>
    <row r="196" ht="15.75" customHeight="1">
      <c r="A196" s="130"/>
      <c r="B196" s="2"/>
      <c r="C196" s="182"/>
      <c r="D196" s="182"/>
      <c r="E196" s="182"/>
      <c r="F196" s="182"/>
      <c r="G196" s="6"/>
      <c r="H196" s="6"/>
      <c r="I196" s="6"/>
      <c r="J196" s="6"/>
      <c r="K196" s="131"/>
      <c r="L196" s="131"/>
      <c r="M196" s="131"/>
      <c r="N196" s="131"/>
      <c r="O196" s="131"/>
      <c r="P196" s="6"/>
      <c r="Q196" s="6"/>
      <c r="R196" s="6"/>
      <c r="S196" s="6"/>
      <c r="T196" s="6"/>
      <c r="U196" s="6"/>
      <c r="V196" s="6"/>
      <c r="W196" s="6"/>
      <c r="X196" s="6"/>
      <c r="Y196" s="6"/>
      <c r="Z196" s="6"/>
      <c r="AA196" s="6"/>
      <c r="AB196" s="6"/>
      <c r="AC196" s="6"/>
      <c r="AD196" s="6"/>
    </row>
    <row r="197" ht="15.75" customHeight="1">
      <c r="A197" s="130"/>
      <c r="B197" s="2"/>
      <c r="C197" s="182"/>
      <c r="D197" s="182"/>
      <c r="E197" s="182"/>
      <c r="F197" s="182"/>
      <c r="G197" s="6"/>
      <c r="H197" s="6"/>
      <c r="I197" s="6"/>
      <c r="J197" s="6"/>
      <c r="K197" s="131"/>
      <c r="L197" s="131"/>
      <c r="M197" s="131"/>
      <c r="N197" s="131"/>
      <c r="O197" s="131"/>
      <c r="P197" s="6"/>
      <c r="Q197" s="6"/>
      <c r="R197" s="6"/>
      <c r="S197" s="6"/>
      <c r="T197" s="6"/>
      <c r="U197" s="6"/>
      <c r="V197" s="6"/>
      <c r="W197" s="6"/>
      <c r="X197" s="6"/>
      <c r="Y197" s="6"/>
      <c r="Z197" s="6"/>
      <c r="AA197" s="6"/>
      <c r="AB197" s="6"/>
      <c r="AC197" s="6"/>
      <c r="AD197" s="6"/>
    </row>
    <row r="198" ht="15.75" customHeight="1">
      <c r="A198" s="130"/>
      <c r="B198" s="2"/>
      <c r="C198" s="182"/>
      <c r="D198" s="182"/>
      <c r="E198" s="182"/>
      <c r="F198" s="182"/>
      <c r="G198" s="6"/>
      <c r="H198" s="6"/>
      <c r="I198" s="6"/>
      <c r="J198" s="6"/>
      <c r="K198" s="131"/>
      <c r="L198" s="131"/>
      <c r="M198" s="131"/>
      <c r="N198" s="131"/>
      <c r="O198" s="131"/>
      <c r="P198" s="6"/>
      <c r="Q198" s="6"/>
      <c r="R198" s="6"/>
      <c r="S198" s="6"/>
      <c r="T198" s="6"/>
      <c r="U198" s="6"/>
      <c r="V198" s="6"/>
      <c r="W198" s="6"/>
      <c r="X198" s="6"/>
      <c r="Y198" s="6"/>
      <c r="Z198" s="6"/>
      <c r="AA198" s="6"/>
      <c r="AB198" s="6"/>
      <c r="AC198" s="6"/>
      <c r="AD198" s="6"/>
    </row>
    <row r="199" ht="15.75" customHeight="1">
      <c r="A199" s="130"/>
      <c r="B199" s="2"/>
      <c r="C199" s="182"/>
      <c r="D199" s="182"/>
      <c r="E199" s="182"/>
      <c r="F199" s="182"/>
      <c r="G199" s="6"/>
      <c r="H199" s="6"/>
      <c r="I199" s="6"/>
      <c r="J199" s="6"/>
      <c r="K199" s="131"/>
      <c r="L199" s="131"/>
      <c r="M199" s="131"/>
      <c r="N199" s="131"/>
      <c r="O199" s="131"/>
      <c r="P199" s="6"/>
      <c r="Q199" s="6"/>
      <c r="R199" s="6"/>
      <c r="S199" s="6"/>
      <c r="T199" s="6"/>
      <c r="U199" s="6"/>
      <c r="V199" s="6"/>
      <c r="W199" s="6"/>
      <c r="X199" s="6"/>
      <c r="Y199" s="6"/>
      <c r="Z199" s="6"/>
      <c r="AA199" s="6"/>
      <c r="AB199" s="6"/>
      <c r="AC199" s="6"/>
      <c r="AD199" s="6"/>
    </row>
    <row r="200" ht="15.75" customHeight="1">
      <c r="A200" s="130"/>
      <c r="B200" s="2"/>
      <c r="C200" s="182"/>
      <c r="D200" s="182"/>
      <c r="E200" s="182"/>
      <c r="F200" s="182"/>
      <c r="G200" s="6"/>
      <c r="H200" s="6"/>
      <c r="I200" s="6"/>
      <c r="J200" s="6"/>
      <c r="K200" s="131"/>
      <c r="L200" s="131"/>
      <c r="M200" s="131"/>
      <c r="N200" s="131"/>
      <c r="O200" s="131"/>
      <c r="P200" s="6"/>
      <c r="Q200" s="6"/>
      <c r="R200" s="6"/>
      <c r="S200" s="6"/>
      <c r="T200" s="6"/>
      <c r="U200" s="6"/>
      <c r="V200" s="6"/>
      <c r="W200" s="6"/>
      <c r="X200" s="6"/>
      <c r="Y200" s="6"/>
      <c r="Z200" s="6"/>
      <c r="AA200" s="6"/>
      <c r="AB200" s="6"/>
      <c r="AC200" s="6"/>
      <c r="AD200" s="6"/>
    </row>
    <row r="201" ht="15.75" customHeight="1">
      <c r="A201" s="130"/>
      <c r="B201" s="2"/>
      <c r="C201" s="182"/>
      <c r="D201" s="182"/>
      <c r="E201" s="182"/>
      <c r="F201" s="182"/>
      <c r="G201" s="6"/>
      <c r="H201" s="6"/>
      <c r="I201" s="6"/>
      <c r="J201" s="6"/>
      <c r="K201" s="131"/>
      <c r="L201" s="131"/>
      <c r="M201" s="131"/>
      <c r="N201" s="131"/>
      <c r="O201" s="131"/>
      <c r="P201" s="6"/>
      <c r="Q201" s="6"/>
      <c r="R201" s="6"/>
      <c r="S201" s="6"/>
      <c r="T201" s="6"/>
      <c r="U201" s="6"/>
      <c r="V201" s="6"/>
      <c r="W201" s="6"/>
      <c r="X201" s="6"/>
      <c r="Y201" s="6"/>
      <c r="Z201" s="6"/>
      <c r="AA201" s="6"/>
      <c r="AB201" s="6"/>
      <c r="AC201" s="6"/>
      <c r="AD201" s="6"/>
    </row>
    <row r="202" ht="15.75" customHeight="1">
      <c r="A202" s="130"/>
      <c r="B202" s="2"/>
      <c r="C202" s="182"/>
      <c r="D202" s="182"/>
      <c r="E202" s="182"/>
      <c r="F202" s="182"/>
      <c r="G202" s="6"/>
      <c r="H202" s="6"/>
      <c r="I202" s="6"/>
      <c r="J202" s="6"/>
      <c r="K202" s="131"/>
      <c r="L202" s="131"/>
      <c r="M202" s="131"/>
      <c r="N202" s="131"/>
      <c r="O202" s="131"/>
      <c r="P202" s="6"/>
      <c r="Q202" s="6"/>
      <c r="R202" s="6"/>
      <c r="S202" s="6"/>
      <c r="T202" s="6"/>
      <c r="U202" s="6"/>
      <c r="V202" s="6"/>
      <c r="W202" s="6"/>
      <c r="X202" s="6"/>
      <c r="Y202" s="6"/>
      <c r="Z202" s="6"/>
      <c r="AA202" s="6"/>
      <c r="AB202" s="6"/>
      <c r="AC202" s="6"/>
      <c r="AD202" s="6"/>
    </row>
    <row r="203" ht="15.75" customHeight="1">
      <c r="A203" s="130"/>
      <c r="B203" s="2"/>
      <c r="C203" s="182"/>
      <c r="D203" s="182"/>
      <c r="E203" s="182"/>
      <c r="F203" s="182"/>
      <c r="G203" s="6"/>
      <c r="H203" s="6"/>
      <c r="I203" s="6"/>
      <c r="J203" s="6"/>
      <c r="K203" s="131"/>
      <c r="L203" s="131"/>
      <c r="M203" s="131"/>
      <c r="N203" s="131"/>
      <c r="O203" s="131"/>
      <c r="P203" s="6"/>
      <c r="Q203" s="6"/>
      <c r="R203" s="6"/>
      <c r="S203" s="6"/>
      <c r="T203" s="6"/>
      <c r="U203" s="6"/>
      <c r="V203" s="6"/>
      <c r="W203" s="6"/>
      <c r="X203" s="6"/>
      <c r="Y203" s="6"/>
      <c r="Z203" s="6"/>
      <c r="AA203" s="6"/>
      <c r="AB203" s="6"/>
      <c r="AC203" s="6"/>
      <c r="AD203" s="6"/>
    </row>
    <row r="204" ht="15.75" customHeight="1">
      <c r="A204" s="130"/>
      <c r="B204" s="2"/>
      <c r="C204" s="182"/>
      <c r="D204" s="182"/>
      <c r="E204" s="182"/>
      <c r="F204" s="182"/>
      <c r="G204" s="6"/>
      <c r="H204" s="6"/>
      <c r="I204" s="6"/>
      <c r="J204" s="6"/>
      <c r="K204" s="131"/>
      <c r="L204" s="131"/>
      <c r="M204" s="131"/>
      <c r="N204" s="131"/>
      <c r="O204" s="131"/>
      <c r="P204" s="6"/>
      <c r="Q204" s="6"/>
      <c r="R204" s="6"/>
      <c r="S204" s="6"/>
      <c r="T204" s="6"/>
      <c r="U204" s="6"/>
      <c r="V204" s="6"/>
      <c r="W204" s="6"/>
      <c r="X204" s="6"/>
      <c r="Y204" s="6"/>
      <c r="Z204" s="6"/>
      <c r="AA204" s="6"/>
      <c r="AB204" s="6"/>
      <c r="AC204" s="6"/>
      <c r="AD204" s="6"/>
    </row>
    <row r="205" ht="15.75" customHeight="1">
      <c r="A205" s="130"/>
      <c r="B205" s="2"/>
      <c r="C205" s="182"/>
      <c r="D205" s="182"/>
      <c r="E205" s="182"/>
      <c r="F205" s="182"/>
      <c r="G205" s="6"/>
      <c r="H205" s="6"/>
      <c r="I205" s="6"/>
      <c r="J205" s="6"/>
      <c r="K205" s="131"/>
      <c r="L205" s="131"/>
      <c r="M205" s="131"/>
      <c r="N205" s="131"/>
      <c r="O205" s="131"/>
      <c r="P205" s="6"/>
      <c r="Q205" s="6"/>
      <c r="R205" s="6"/>
      <c r="S205" s="6"/>
      <c r="T205" s="6"/>
      <c r="U205" s="6"/>
      <c r="V205" s="6"/>
      <c r="W205" s="6"/>
      <c r="X205" s="6"/>
      <c r="Y205" s="6"/>
      <c r="Z205" s="6"/>
      <c r="AA205" s="6"/>
      <c r="AB205" s="6"/>
      <c r="AC205" s="6"/>
      <c r="AD205" s="6"/>
    </row>
    <row r="206" ht="15.75" customHeight="1">
      <c r="A206" s="130"/>
      <c r="B206" s="2"/>
      <c r="C206" s="182"/>
      <c r="D206" s="182"/>
      <c r="E206" s="182"/>
      <c r="F206" s="182"/>
      <c r="G206" s="6"/>
      <c r="H206" s="6"/>
      <c r="I206" s="6"/>
      <c r="J206" s="6"/>
      <c r="K206" s="131"/>
      <c r="L206" s="131"/>
      <c r="M206" s="131"/>
      <c r="N206" s="131"/>
      <c r="O206" s="131"/>
      <c r="P206" s="6"/>
      <c r="Q206" s="6"/>
      <c r="R206" s="6"/>
      <c r="S206" s="6"/>
      <c r="T206" s="6"/>
      <c r="U206" s="6"/>
      <c r="V206" s="6"/>
      <c r="W206" s="6"/>
      <c r="X206" s="6"/>
      <c r="Y206" s="6"/>
      <c r="Z206" s="6"/>
      <c r="AA206" s="6"/>
      <c r="AB206" s="6"/>
      <c r="AC206" s="6"/>
      <c r="AD206" s="6"/>
    </row>
    <row r="207" ht="15.75" customHeight="1">
      <c r="A207" s="130"/>
      <c r="B207" s="2"/>
      <c r="C207" s="182"/>
      <c r="D207" s="182"/>
      <c r="E207" s="182"/>
      <c r="F207" s="182"/>
      <c r="G207" s="6"/>
      <c r="H207" s="6"/>
      <c r="I207" s="6"/>
      <c r="J207" s="6"/>
      <c r="K207" s="131"/>
      <c r="L207" s="131"/>
      <c r="M207" s="131"/>
      <c r="N207" s="131"/>
      <c r="O207" s="131"/>
      <c r="P207" s="6"/>
      <c r="Q207" s="6"/>
      <c r="R207" s="6"/>
      <c r="S207" s="6"/>
      <c r="T207" s="6"/>
      <c r="U207" s="6"/>
      <c r="V207" s="6"/>
      <c r="W207" s="6"/>
      <c r="X207" s="6"/>
      <c r="Y207" s="6"/>
      <c r="Z207" s="6"/>
      <c r="AA207" s="6"/>
      <c r="AB207" s="6"/>
      <c r="AC207" s="6"/>
      <c r="AD207" s="6"/>
    </row>
    <row r="208" ht="15.75" customHeight="1">
      <c r="A208" s="130"/>
      <c r="B208" s="2"/>
      <c r="C208" s="182"/>
      <c r="D208" s="182"/>
      <c r="E208" s="182"/>
      <c r="F208" s="182"/>
      <c r="G208" s="6"/>
      <c r="H208" s="6"/>
      <c r="I208" s="6"/>
      <c r="J208" s="6"/>
      <c r="K208" s="131"/>
      <c r="L208" s="131"/>
      <c r="M208" s="131"/>
      <c r="N208" s="131"/>
      <c r="O208" s="131"/>
      <c r="P208" s="6"/>
      <c r="Q208" s="6"/>
      <c r="R208" s="6"/>
      <c r="S208" s="6"/>
      <c r="T208" s="6"/>
      <c r="U208" s="6"/>
      <c r="V208" s="6"/>
      <c r="W208" s="6"/>
      <c r="X208" s="6"/>
      <c r="Y208" s="6"/>
      <c r="Z208" s="6"/>
      <c r="AA208" s="6"/>
      <c r="AB208" s="6"/>
      <c r="AC208" s="6"/>
      <c r="AD208" s="6"/>
    </row>
    <row r="209" ht="15.75" customHeight="1">
      <c r="A209" s="130"/>
      <c r="B209" s="2"/>
      <c r="C209" s="182"/>
      <c r="D209" s="182"/>
      <c r="E209" s="182"/>
      <c r="F209" s="182"/>
      <c r="G209" s="6"/>
      <c r="H209" s="6"/>
      <c r="I209" s="6"/>
      <c r="J209" s="6"/>
      <c r="K209" s="131"/>
      <c r="L209" s="131"/>
      <c r="M209" s="131"/>
      <c r="N209" s="131"/>
      <c r="O209" s="131"/>
      <c r="P209" s="6"/>
      <c r="Q209" s="6"/>
      <c r="R209" s="6"/>
      <c r="S209" s="6"/>
      <c r="T209" s="6"/>
      <c r="U209" s="6"/>
      <c r="V209" s="6"/>
      <c r="W209" s="6"/>
      <c r="X209" s="6"/>
      <c r="Y209" s="6"/>
      <c r="Z209" s="6"/>
      <c r="AA209" s="6"/>
      <c r="AB209" s="6"/>
      <c r="AC209" s="6"/>
      <c r="AD209" s="6"/>
    </row>
    <row r="210" ht="15.75" customHeight="1">
      <c r="A210" s="130"/>
      <c r="B210" s="2"/>
      <c r="C210" s="182"/>
      <c r="D210" s="182"/>
      <c r="E210" s="182"/>
      <c r="F210" s="182"/>
      <c r="G210" s="6"/>
      <c r="H210" s="6"/>
      <c r="I210" s="6"/>
      <c r="J210" s="6"/>
      <c r="K210" s="131"/>
      <c r="L210" s="131"/>
      <c r="M210" s="131"/>
      <c r="N210" s="131"/>
      <c r="O210" s="131"/>
      <c r="P210" s="6"/>
      <c r="Q210" s="6"/>
      <c r="R210" s="6"/>
      <c r="S210" s="6"/>
      <c r="T210" s="6"/>
      <c r="U210" s="6"/>
      <c r="V210" s="6"/>
      <c r="W210" s="6"/>
      <c r="X210" s="6"/>
      <c r="Y210" s="6"/>
      <c r="Z210" s="6"/>
      <c r="AA210" s="6"/>
      <c r="AB210" s="6"/>
      <c r="AC210" s="6"/>
      <c r="AD210" s="6"/>
    </row>
    <row r="211" ht="15.75" customHeight="1">
      <c r="A211" s="130"/>
      <c r="B211" s="2"/>
      <c r="C211" s="182"/>
      <c r="D211" s="182"/>
      <c r="E211" s="182"/>
      <c r="F211" s="182"/>
      <c r="G211" s="6"/>
      <c r="H211" s="6"/>
      <c r="I211" s="6"/>
      <c r="J211" s="6"/>
      <c r="K211" s="131"/>
      <c r="L211" s="131"/>
      <c r="M211" s="131"/>
      <c r="N211" s="131"/>
      <c r="O211" s="131"/>
      <c r="P211" s="6"/>
      <c r="Q211" s="6"/>
      <c r="R211" s="6"/>
      <c r="S211" s="6"/>
      <c r="T211" s="6"/>
      <c r="U211" s="6"/>
      <c r="V211" s="6"/>
      <c r="W211" s="6"/>
      <c r="X211" s="6"/>
      <c r="Y211" s="6"/>
      <c r="Z211" s="6"/>
      <c r="AA211" s="6"/>
      <c r="AB211" s="6"/>
      <c r="AC211" s="6"/>
      <c r="AD211" s="6"/>
    </row>
    <row r="212" ht="15.75" customHeight="1">
      <c r="A212" s="130"/>
      <c r="B212" s="2"/>
      <c r="C212" s="182"/>
      <c r="D212" s="182"/>
      <c r="E212" s="182"/>
      <c r="F212" s="182"/>
      <c r="G212" s="6"/>
      <c r="H212" s="6"/>
      <c r="I212" s="6"/>
      <c r="J212" s="6"/>
      <c r="K212" s="131"/>
      <c r="L212" s="131"/>
      <c r="M212" s="131"/>
      <c r="N212" s="131"/>
      <c r="O212" s="131"/>
      <c r="P212" s="6"/>
      <c r="Q212" s="6"/>
      <c r="R212" s="6"/>
      <c r="S212" s="6"/>
      <c r="T212" s="6"/>
      <c r="U212" s="6"/>
      <c r="V212" s="6"/>
      <c r="W212" s="6"/>
      <c r="X212" s="6"/>
      <c r="Y212" s="6"/>
      <c r="Z212" s="6"/>
      <c r="AA212" s="6"/>
      <c r="AB212" s="6"/>
      <c r="AC212" s="6"/>
      <c r="AD212" s="6"/>
    </row>
    <row r="213" ht="15.75" customHeight="1">
      <c r="A213" s="130"/>
      <c r="B213" s="2"/>
      <c r="C213" s="182"/>
      <c r="D213" s="182"/>
      <c r="E213" s="182"/>
      <c r="F213" s="182"/>
      <c r="G213" s="6"/>
      <c r="H213" s="6"/>
      <c r="I213" s="6"/>
      <c r="J213" s="6"/>
      <c r="K213" s="131"/>
      <c r="L213" s="131"/>
      <c r="M213" s="131"/>
      <c r="N213" s="131"/>
      <c r="O213" s="131"/>
      <c r="P213" s="6"/>
      <c r="Q213" s="6"/>
      <c r="R213" s="6"/>
      <c r="S213" s="6"/>
      <c r="T213" s="6"/>
      <c r="U213" s="6"/>
      <c r="V213" s="6"/>
      <c r="W213" s="6"/>
      <c r="X213" s="6"/>
      <c r="Y213" s="6"/>
      <c r="Z213" s="6"/>
      <c r="AA213" s="6"/>
      <c r="AB213" s="6"/>
      <c r="AC213" s="6"/>
      <c r="AD213" s="6"/>
    </row>
    <row r="214" ht="15.75" customHeight="1">
      <c r="A214" s="130"/>
      <c r="B214" s="2"/>
      <c r="C214" s="182"/>
      <c r="D214" s="182"/>
      <c r="E214" s="182"/>
      <c r="F214" s="182"/>
      <c r="G214" s="6"/>
      <c r="H214" s="6"/>
      <c r="I214" s="6"/>
      <c r="J214" s="6"/>
      <c r="K214" s="131"/>
      <c r="L214" s="131"/>
      <c r="M214" s="131"/>
      <c r="N214" s="131"/>
      <c r="O214" s="131"/>
      <c r="P214" s="6"/>
      <c r="Q214" s="6"/>
      <c r="R214" s="6"/>
      <c r="S214" s="6"/>
      <c r="T214" s="6"/>
      <c r="U214" s="6"/>
      <c r="V214" s="6"/>
      <c r="W214" s="6"/>
      <c r="X214" s="6"/>
      <c r="Y214" s="6"/>
      <c r="Z214" s="6"/>
      <c r="AA214" s="6"/>
      <c r="AB214" s="6"/>
      <c r="AC214" s="6"/>
      <c r="AD214" s="6"/>
    </row>
    <row r="215" ht="15.75" customHeight="1">
      <c r="A215" s="130"/>
      <c r="B215" s="2"/>
      <c r="C215" s="182"/>
      <c r="D215" s="182"/>
      <c r="E215" s="182"/>
      <c r="F215" s="182"/>
      <c r="G215" s="6"/>
      <c r="H215" s="6"/>
      <c r="I215" s="6"/>
      <c r="J215" s="6"/>
      <c r="K215" s="131"/>
      <c r="L215" s="131"/>
      <c r="M215" s="131"/>
      <c r="N215" s="131"/>
      <c r="O215" s="131"/>
      <c r="P215" s="6"/>
      <c r="Q215" s="6"/>
      <c r="R215" s="6"/>
      <c r="S215" s="6"/>
      <c r="T215" s="6"/>
      <c r="U215" s="6"/>
      <c r="V215" s="6"/>
      <c r="W215" s="6"/>
      <c r="X215" s="6"/>
      <c r="Y215" s="6"/>
      <c r="Z215" s="6"/>
      <c r="AA215" s="6"/>
      <c r="AB215" s="6"/>
      <c r="AC215" s="6"/>
      <c r="AD215" s="6"/>
    </row>
    <row r="216" ht="15.75" customHeight="1">
      <c r="A216" s="130"/>
      <c r="B216" s="2"/>
      <c r="C216" s="182"/>
      <c r="D216" s="182"/>
      <c r="E216" s="182"/>
      <c r="F216" s="182"/>
      <c r="G216" s="6"/>
      <c r="H216" s="6"/>
      <c r="I216" s="6"/>
      <c r="J216" s="6"/>
      <c r="K216" s="131"/>
      <c r="L216" s="131"/>
      <c r="M216" s="131"/>
      <c r="N216" s="131"/>
      <c r="O216" s="131"/>
      <c r="P216" s="6"/>
      <c r="Q216" s="6"/>
      <c r="R216" s="6"/>
      <c r="S216" s="6"/>
      <c r="T216" s="6"/>
      <c r="U216" s="6"/>
      <c r="V216" s="6"/>
      <c r="W216" s="6"/>
      <c r="X216" s="6"/>
      <c r="Y216" s="6"/>
      <c r="Z216" s="6"/>
      <c r="AA216" s="6"/>
      <c r="AB216" s="6"/>
      <c r="AC216" s="6"/>
      <c r="AD216" s="6"/>
    </row>
    <row r="217" ht="15.75" customHeight="1">
      <c r="A217" s="130"/>
      <c r="B217" s="2"/>
      <c r="C217" s="182"/>
      <c r="D217" s="182"/>
      <c r="E217" s="182"/>
      <c r="F217" s="182"/>
      <c r="G217" s="6"/>
      <c r="H217" s="6"/>
      <c r="I217" s="6"/>
      <c r="J217" s="6"/>
      <c r="K217" s="131"/>
      <c r="L217" s="131"/>
      <c r="M217" s="131"/>
      <c r="N217" s="131"/>
      <c r="O217" s="131"/>
      <c r="P217" s="6"/>
      <c r="Q217" s="6"/>
      <c r="R217" s="6"/>
      <c r="S217" s="6"/>
      <c r="T217" s="6"/>
      <c r="U217" s="6"/>
      <c r="V217" s="6"/>
      <c r="W217" s="6"/>
      <c r="X217" s="6"/>
      <c r="Y217" s="6"/>
      <c r="Z217" s="6"/>
      <c r="AA217" s="6"/>
      <c r="AB217" s="6"/>
      <c r="AC217" s="6"/>
      <c r="AD217" s="6"/>
    </row>
    <row r="218" ht="15.75" customHeight="1">
      <c r="A218" s="130"/>
      <c r="B218" s="2"/>
      <c r="C218" s="182"/>
      <c r="D218" s="182"/>
      <c r="E218" s="182"/>
      <c r="F218" s="182"/>
      <c r="G218" s="6"/>
      <c r="H218" s="6"/>
      <c r="I218" s="6"/>
      <c r="J218" s="6"/>
      <c r="K218" s="131"/>
      <c r="L218" s="131"/>
      <c r="M218" s="131"/>
      <c r="N218" s="131"/>
      <c r="O218" s="131"/>
      <c r="P218" s="6"/>
      <c r="Q218" s="6"/>
      <c r="R218" s="6"/>
      <c r="S218" s="6"/>
      <c r="T218" s="6"/>
      <c r="U218" s="6"/>
      <c r="V218" s="6"/>
      <c r="W218" s="6"/>
      <c r="X218" s="6"/>
      <c r="Y218" s="6"/>
      <c r="Z218" s="6"/>
      <c r="AA218" s="6"/>
      <c r="AB218" s="6"/>
      <c r="AC218" s="6"/>
      <c r="AD218" s="6"/>
    </row>
    <row r="219" ht="15.75" customHeight="1">
      <c r="A219" s="130"/>
      <c r="B219" s="2"/>
      <c r="C219" s="182"/>
      <c r="D219" s="182"/>
      <c r="E219" s="182"/>
      <c r="F219" s="182"/>
      <c r="G219" s="6"/>
      <c r="H219" s="6"/>
      <c r="I219" s="6"/>
      <c r="J219" s="6"/>
      <c r="K219" s="131"/>
      <c r="L219" s="131"/>
      <c r="M219" s="131"/>
      <c r="N219" s="131"/>
      <c r="O219" s="131"/>
      <c r="P219" s="6"/>
      <c r="Q219" s="6"/>
      <c r="R219" s="6"/>
      <c r="S219" s="6"/>
      <c r="T219" s="6"/>
      <c r="U219" s="6"/>
      <c r="V219" s="6"/>
      <c r="W219" s="6"/>
      <c r="X219" s="6"/>
      <c r="Y219" s="6"/>
      <c r="Z219" s="6"/>
      <c r="AA219" s="6"/>
      <c r="AB219" s="6"/>
      <c r="AC219" s="6"/>
      <c r="AD219" s="6"/>
    </row>
    <row r="220" ht="15.75" customHeight="1">
      <c r="A220" s="130"/>
      <c r="B220" s="2"/>
      <c r="C220" s="182"/>
      <c r="D220" s="182"/>
      <c r="E220" s="182"/>
      <c r="F220" s="182"/>
      <c r="G220" s="6"/>
      <c r="H220" s="6"/>
      <c r="I220" s="6"/>
      <c r="J220" s="6"/>
      <c r="K220" s="131"/>
      <c r="L220" s="131"/>
      <c r="M220" s="131"/>
      <c r="N220" s="131"/>
      <c r="O220" s="131"/>
      <c r="P220" s="6"/>
      <c r="Q220" s="6"/>
      <c r="R220" s="6"/>
      <c r="S220" s="6"/>
      <c r="T220" s="6"/>
      <c r="U220" s="6"/>
      <c r="V220" s="6"/>
      <c r="W220" s="6"/>
      <c r="X220" s="6"/>
      <c r="Y220" s="6"/>
      <c r="Z220" s="6"/>
      <c r="AA220" s="6"/>
      <c r="AB220" s="6"/>
      <c r="AC220" s="6"/>
      <c r="AD220" s="6"/>
    </row>
    <row r="221" ht="15.75" customHeight="1">
      <c r="A221" s="130"/>
      <c r="B221" s="2"/>
      <c r="C221" s="182"/>
      <c r="D221" s="182"/>
      <c r="E221" s="182"/>
      <c r="F221" s="182"/>
      <c r="G221" s="6"/>
      <c r="H221" s="6"/>
      <c r="I221" s="6"/>
      <c r="J221" s="6"/>
      <c r="K221" s="131"/>
      <c r="L221" s="131"/>
      <c r="M221" s="131"/>
      <c r="N221" s="131"/>
      <c r="O221" s="131"/>
      <c r="P221" s="6"/>
      <c r="Q221" s="6"/>
      <c r="R221" s="6"/>
      <c r="S221" s="6"/>
      <c r="T221" s="6"/>
      <c r="U221" s="6"/>
      <c r="V221" s="6"/>
      <c r="W221" s="6"/>
      <c r="X221" s="6"/>
      <c r="Y221" s="6"/>
      <c r="Z221" s="6"/>
      <c r="AA221" s="6"/>
      <c r="AB221" s="6"/>
      <c r="AC221" s="6"/>
      <c r="AD221" s="6"/>
    </row>
    <row r="222" ht="15.75" customHeight="1">
      <c r="A222" s="130"/>
      <c r="B222" s="2"/>
      <c r="C222" s="182"/>
      <c r="D222" s="182"/>
      <c r="E222" s="182"/>
      <c r="F222" s="182"/>
      <c r="G222" s="6"/>
      <c r="H222" s="6"/>
      <c r="I222" s="6"/>
      <c r="J222" s="6"/>
      <c r="K222" s="131"/>
      <c r="L222" s="131"/>
      <c r="M222" s="131"/>
      <c r="N222" s="131"/>
      <c r="O222" s="131"/>
      <c r="P222" s="6"/>
      <c r="Q222" s="6"/>
      <c r="R222" s="6"/>
      <c r="S222" s="6"/>
      <c r="T222" s="6"/>
      <c r="U222" s="6"/>
      <c r="V222" s="6"/>
      <c r="W222" s="6"/>
      <c r="X222" s="6"/>
      <c r="Y222" s="6"/>
      <c r="Z222" s="6"/>
      <c r="AA222" s="6"/>
      <c r="AB222" s="6"/>
      <c r="AC222" s="6"/>
      <c r="AD222" s="6"/>
    </row>
    <row r="223" ht="15.75" customHeight="1">
      <c r="A223" s="130"/>
      <c r="B223" s="2"/>
      <c r="C223" s="182"/>
      <c r="D223" s="182"/>
      <c r="E223" s="182"/>
      <c r="F223" s="182"/>
      <c r="G223" s="6"/>
      <c r="H223" s="6"/>
      <c r="I223" s="6"/>
      <c r="J223" s="6"/>
      <c r="K223" s="131"/>
      <c r="L223" s="131"/>
      <c r="M223" s="131"/>
      <c r="N223" s="131"/>
      <c r="O223" s="131"/>
      <c r="P223" s="6"/>
      <c r="Q223" s="6"/>
      <c r="R223" s="6"/>
      <c r="S223" s="6"/>
      <c r="T223" s="6"/>
      <c r="U223" s="6"/>
      <c r="V223" s="6"/>
      <c r="W223" s="6"/>
      <c r="X223" s="6"/>
      <c r="Y223" s="6"/>
      <c r="Z223" s="6"/>
      <c r="AA223" s="6"/>
      <c r="AB223" s="6"/>
      <c r="AC223" s="6"/>
      <c r="AD223" s="6"/>
    </row>
    <row r="224" ht="15.75" customHeight="1">
      <c r="A224" s="130"/>
      <c r="B224" s="2"/>
      <c r="C224" s="182"/>
      <c r="D224" s="182"/>
      <c r="E224" s="182"/>
      <c r="F224" s="182"/>
      <c r="G224" s="6"/>
      <c r="H224" s="6"/>
      <c r="I224" s="6"/>
      <c r="J224" s="6"/>
      <c r="K224" s="131"/>
      <c r="L224" s="131"/>
      <c r="M224" s="131"/>
      <c r="N224" s="131"/>
      <c r="O224" s="131"/>
      <c r="P224" s="6"/>
      <c r="Q224" s="6"/>
      <c r="R224" s="6"/>
      <c r="S224" s="6"/>
      <c r="T224" s="6"/>
      <c r="U224" s="6"/>
      <c r="V224" s="6"/>
      <c r="W224" s="6"/>
      <c r="X224" s="6"/>
      <c r="Y224" s="6"/>
      <c r="Z224" s="6"/>
      <c r="AA224" s="6"/>
      <c r="AB224" s="6"/>
      <c r="AC224" s="6"/>
      <c r="AD224" s="6"/>
    </row>
    <row r="225" ht="15.75" customHeight="1">
      <c r="A225" s="130"/>
      <c r="B225" s="2"/>
      <c r="C225" s="182"/>
      <c r="D225" s="182"/>
      <c r="E225" s="182"/>
      <c r="F225" s="182"/>
      <c r="G225" s="6"/>
      <c r="H225" s="6"/>
      <c r="I225" s="6"/>
      <c r="J225" s="6"/>
      <c r="K225" s="131"/>
      <c r="L225" s="131"/>
      <c r="M225" s="131"/>
      <c r="N225" s="131"/>
      <c r="O225" s="131"/>
      <c r="P225" s="6"/>
      <c r="Q225" s="6"/>
      <c r="R225" s="6"/>
      <c r="S225" s="6"/>
      <c r="T225" s="6"/>
      <c r="U225" s="6"/>
      <c r="V225" s="6"/>
      <c r="W225" s="6"/>
      <c r="X225" s="6"/>
      <c r="Y225" s="6"/>
      <c r="Z225" s="6"/>
      <c r="AA225" s="6"/>
      <c r="AB225" s="6"/>
      <c r="AC225" s="6"/>
      <c r="AD225" s="6"/>
    </row>
    <row r="226" ht="15.75" customHeight="1">
      <c r="A226" s="130"/>
      <c r="B226" s="2"/>
      <c r="C226" s="182"/>
      <c r="D226" s="182"/>
      <c r="E226" s="182"/>
      <c r="F226" s="182"/>
      <c r="G226" s="6"/>
      <c r="H226" s="6"/>
      <c r="I226" s="6"/>
      <c r="J226" s="6"/>
      <c r="K226" s="131"/>
      <c r="L226" s="131"/>
      <c r="M226" s="131"/>
      <c r="N226" s="131"/>
      <c r="O226" s="131"/>
      <c r="P226" s="6"/>
      <c r="Q226" s="6"/>
      <c r="R226" s="6"/>
      <c r="S226" s="6"/>
      <c r="T226" s="6"/>
      <c r="U226" s="6"/>
      <c r="V226" s="6"/>
      <c r="W226" s="6"/>
      <c r="X226" s="6"/>
      <c r="Y226" s="6"/>
      <c r="Z226" s="6"/>
      <c r="AA226" s="6"/>
      <c r="AB226" s="6"/>
      <c r="AC226" s="6"/>
      <c r="AD226" s="6"/>
    </row>
    <row r="227" ht="15.75" customHeight="1">
      <c r="A227" s="130"/>
      <c r="B227" s="2"/>
      <c r="C227" s="182"/>
      <c r="D227" s="182"/>
      <c r="E227" s="182"/>
      <c r="F227" s="182"/>
      <c r="G227" s="6"/>
      <c r="H227" s="6"/>
      <c r="I227" s="6"/>
      <c r="J227" s="6"/>
      <c r="K227" s="131"/>
      <c r="L227" s="131"/>
      <c r="M227" s="131"/>
      <c r="N227" s="131"/>
      <c r="O227" s="131"/>
      <c r="P227" s="6"/>
      <c r="Q227" s="6"/>
      <c r="R227" s="6"/>
      <c r="S227" s="6"/>
      <c r="T227" s="6"/>
      <c r="U227" s="6"/>
      <c r="V227" s="6"/>
      <c r="W227" s="6"/>
      <c r="X227" s="6"/>
      <c r="Y227" s="6"/>
      <c r="Z227" s="6"/>
      <c r="AA227" s="6"/>
      <c r="AB227" s="6"/>
      <c r="AC227" s="6"/>
      <c r="AD227" s="6"/>
    </row>
    <row r="228" ht="15.75" customHeight="1">
      <c r="A228" s="130"/>
      <c r="B228" s="2"/>
      <c r="C228" s="182"/>
      <c r="D228" s="182"/>
      <c r="E228" s="182"/>
      <c r="F228" s="182"/>
      <c r="G228" s="6"/>
      <c r="H228" s="6"/>
      <c r="I228" s="6"/>
      <c r="J228" s="6"/>
      <c r="K228" s="131"/>
      <c r="L228" s="131"/>
      <c r="M228" s="131"/>
      <c r="N228" s="131"/>
      <c r="O228" s="131"/>
      <c r="P228" s="6"/>
      <c r="Q228" s="6"/>
      <c r="R228" s="6"/>
      <c r="S228" s="6"/>
      <c r="T228" s="6"/>
      <c r="U228" s="6"/>
      <c r="V228" s="6"/>
      <c r="W228" s="6"/>
      <c r="X228" s="6"/>
      <c r="Y228" s="6"/>
      <c r="Z228" s="6"/>
      <c r="AA228" s="6"/>
      <c r="AB228" s="6"/>
      <c r="AC228" s="6"/>
      <c r="AD228" s="6"/>
    </row>
    <row r="229" ht="15.75" customHeight="1">
      <c r="A229" s="130"/>
      <c r="B229" s="2"/>
      <c r="C229" s="182"/>
      <c r="D229" s="182"/>
      <c r="E229" s="182"/>
      <c r="F229" s="182"/>
      <c r="G229" s="6"/>
      <c r="H229" s="6"/>
      <c r="I229" s="6"/>
      <c r="J229" s="6"/>
      <c r="K229" s="131"/>
      <c r="L229" s="131"/>
      <c r="M229" s="131"/>
      <c r="N229" s="131"/>
      <c r="O229" s="131"/>
      <c r="P229" s="6"/>
      <c r="Q229" s="6"/>
      <c r="R229" s="6"/>
      <c r="S229" s="6"/>
      <c r="T229" s="6"/>
      <c r="U229" s="6"/>
      <c r="V229" s="6"/>
      <c r="W229" s="6"/>
      <c r="X229" s="6"/>
      <c r="Y229" s="6"/>
      <c r="Z229" s="6"/>
      <c r="AA229" s="6"/>
      <c r="AB229" s="6"/>
      <c r="AC229" s="6"/>
      <c r="AD229" s="6"/>
    </row>
    <row r="230" ht="15.75" customHeight="1">
      <c r="A230" s="130"/>
      <c r="B230" s="2"/>
      <c r="C230" s="182"/>
      <c r="D230" s="182"/>
      <c r="E230" s="182"/>
      <c r="F230" s="182"/>
      <c r="G230" s="6"/>
      <c r="H230" s="6"/>
      <c r="I230" s="6"/>
      <c r="J230" s="6"/>
      <c r="K230" s="131"/>
      <c r="L230" s="131"/>
      <c r="M230" s="131"/>
      <c r="N230" s="131"/>
      <c r="O230" s="131"/>
      <c r="P230" s="6"/>
      <c r="Q230" s="6"/>
      <c r="R230" s="6"/>
      <c r="S230" s="6"/>
      <c r="T230" s="6"/>
      <c r="U230" s="6"/>
      <c r="V230" s="6"/>
      <c r="W230" s="6"/>
      <c r="X230" s="6"/>
      <c r="Y230" s="6"/>
      <c r="Z230" s="6"/>
      <c r="AA230" s="6"/>
      <c r="AB230" s="6"/>
      <c r="AC230" s="6"/>
      <c r="AD230" s="6"/>
    </row>
    <row r="231" ht="15.75" customHeight="1">
      <c r="A231" s="130"/>
      <c r="B231" s="2"/>
      <c r="C231" s="182"/>
      <c r="D231" s="182"/>
      <c r="E231" s="182"/>
      <c r="F231" s="182"/>
      <c r="G231" s="6"/>
      <c r="H231" s="6"/>
      <c r="I231" s="6"/>
      <c r="J231" s="6"/>
      <c r="K231" s="131"/>
      <c r="L231" s="131"/>
      <c r="M231" s="131"/>
      <c r="N231" s="131"/>
      <c r="O231" s="131"/>
      <c r="P231" s="6"/>
      <c r="Q231" s="6"/>
      <c r="R231" s="6"/>
      <c r="S231" s="6"/>
      <c r="T231" s="6"/>
      <c r="U231" s="6"/>
      <c r="V231" s="6"/>
      <c r="W231" s="6"/>
      <c r="X231" s="6"/>
      <c r="Y231" s="6"/>
      <c r="Z231" s="6"/>
      <c r="AA231" s="6"/>
      <c r="AB231" s="6"/>
      <c r="AC231" s="6"/>
      <c r="AD231" s="6"/>
    </row>
    <row r="232" ht="15.75" customHeight="1">
      <c r="A232" s="130"/>
      <c r="B232" s="2"/>
      <c r="C232" s="182"/>
      <c r="D232" s="182"/>
      <c r="E232" s="182"/>
      <c r="F232" s="182"/>
      <c r="G232" s="6"/>
      <c r="H232" s="6"/>
      <c r="I232" s="6"/>
      <c r="J232" s="6"/>
      <c r="K232" s="131"/>
      <c r="L232" s="131"/>
      <c r="M232" s="131"/>
      <c r="N232" s="131"/>
      <c r="O232" s="131"/>
      <c r="P232" s="6"/>
      <c r="Q232" s="6"/>
      <c r="R232" s="6"/>
      <c r="S232" s="6"/>
      <c r="T232" s="6"/>
      <c r="U232" s="6"/>
      <c r="V232" s="6"/>
      <c r="W232" s="6"/>
      <c r="X232" s="6"/>
      <c r="Y232" s="6"/>
      <c r="Z232" s="6"/>
      <c r="AA232" s="6"/>
      <c r="AB232" s="6"/>
      <c r="AC232" s="6"/>
      <c r="AD232" s="6"/>
    </row>
    <row r="233" ht="15.75" customHeight="1">
      <c r="A233" s="130"/>
      <c r="B233" s="2"/>
      <c r="C233" s="182"/>
      <c r="D233" s="182"/>
      <c r="E233" s="182"/>
      <c r="F233" s="182"/>
      <c r="G233" s="6"/>
      <c r="H233" s="6"/>
      <c r="I233" s="6"/>
      <c r="J233" s="6"/>
      <c r="K233" s="131"/>
      <c r="L233" s="131"/>
      <c r="M233" s="131"/>
      <c r="N233" s="131"/>
      <c r="O233" s="131"/>
      <c r="P233" s="6"/>
      <c r="Q233" s="6"/>
      <c r="R233" s="6"/>
      <c r="S233" s="6"/>
      <c r="T233" s="6"/>
      <c r="U233" s="6"/>
      <c r="V233" s="6"/>
      <c r="W233" s="6"/>
      <c r="X233" s="6"/>
      <c r="Y233" s="6"/>
      <c r="Z233" s="6"/>
      <c r="AA233" s="6"/>
      <c r="AB233" s="6"/>
      <c r="AC233" s="6"/>
      <c r="AD233" s="6"/>
    </row>
    <row r="234" ht="15.75" customHeight="1">
      <c r="A234" s="130"/>
      <c r="B234" s="2"/>
      <c r="C234" s="182"/>
      <c r="D234" s="182"/>
      <c r="E234" s="182"/>
      <c r="F234" s="182"/>
      <c r="G234" s="6"/>
      <c r="H234" s="6"/>
      <c r="I234" s="6"/>
      <c r="J234" s="6"/>
      <c r="K234" s="131"/>
      <c r="L234" s="131"/>
      <c r="M234" s="131"/>
      <c r="N234" s="131"/>
      <c r="O234" s="131"/>
      <c r="P234" s="6"/>
      <c r="Q234" s="6"/>
      <c r="R234" s="6"/>
      <c r="S234" s="6"/>
      <c r="T234" s="6"/>
      <c r="U234" s="6"/>
      <c r="V234" s="6"/>
      <c r="W234" s="6"/>
      <c r="X234" s="6"/>
      <c r="Y234" s="6"/>
      <c r="Z234" s="6"/>
      <c r="AA234" s="6"/>
      <c r="AB234" s="6"/>
      <c r="AC234" s="6"/>
      <c r="AD234" s="6"/>
    </row>
    <row r="235" ht="15.75" customHeight="1">
      <c r="A235" s="130"/>
      <c r="B235" s="2"/>
      <c r="C235" s="182"/>
      <c r="D235" s="182"/>
      <c r="E235" s="182"/>
      <c r="F235" s="182"/>
      <c r="G235" s="6"/>
      <c r="H235" s="6"/>
      <c r="I235" s="6"/>
      <c r="J235" s="6"/>
      <c r="K235" s="131"/>
      <c r="L235" s="131"/>
      <c r="M235" s="131"/>
      <c r="N235" s="131"/>
      <c r="O235" s="131"/>
      <c r="P235" s="6"/>
      <c r="Q235" s="6"/>
      <c r="R235" s="6"/>
      <c r="S235" s="6"/>
      <c r="T235" s="6"/>
      <c r="U235" s="6"/>
      <c r="V235" s="6"/>
      <c r="W235" s="6"/>
      <c r="X235" s="6"/>
      <c r="Y235" s="6"/>
      <c r="Z235" s="6"/>
      <c r="AA235" s="6"/>
      <c r="AB235" s="6"/>
      <c r="AC235" s="6"/>
      <c r="AD235" s="6"/>
    </row>
    <row r="236" ht="15.75" customHeight="1">
      <c r="A236" s="130"/>
      <c r="B236" s="2"/>
      <c r="C236" s="182"/>
      <c r="D236" s="182"/>
      <c r="E236" s="182"/>
      <c r="F236" s="182"/>
      <c r="G236" s="6"/>
      <c r="H236" s="6"/>
      <c r="I236" s="6"/>
      <c r="J236" s="6"/>
      <c r="K236" s="131"/>
      <c r="L236" s="131"/>
      <c r="M236" s="131"/>
      <c r="N236" s="131"/>
      <c r="O236" s="131"/>
      <c r="P236" s="6"/>
      <c r="Q236" s="6"/>
      <c r="R236" s="6"/>
      <c r="S236" s="6"/>
      <c r="T236" s="6"/>
      <c r="U236" s="6"/>
      <c r="V236" s="6"/>
      <c r="W236" s="6"/>
      <c r="X236" s="6"/>
      <c r="Y236" s="6"/>
      <c r="Z236" s="6"/>
      <c r="AA236" s="6"/>
      <c r="AB236" s="6"/>
      <c r="AC236" s="6"/>
      <c r="AD236" s="6"/>
    </row>
    <row r="237" ht="15.75" customHeight="1">
      <c r="A237" s="130"/>
      <c r="B237" s="2"/>
      <c r="C237" s="182"/>
      <c r="D237" s="182"/>
      <c r="E237" s="182"/>
      <c r="F237" s="182"/>
      <c r="G237" s="6"/>
      <c r="H237" s="6"/>
      <c r="I237" s="6"/>
      <c r="J237" s="6"/>
      <c r="K237" s="131"/>
      <c r="L237" s="131"/>
      <c r="M237" s="131"/>
      <c r="N237" s="131"/>
      <c r="O237" s="131"/>
      <c r="P237" s="6"/>
      <c r="Q237" s="6"/>
      <c r="R237" s="6"/>
      <c r="S237" s="6"/>
      <c r="T237" s="6"/>
      <c r="U237" s="6"/>
      <c r="V237" s="6"/>
      <c r="W237" s="6"/>
      <c r="X237" s="6"/>
      <c r="Y237" s="6"/>
      <c r="Z237" s="6"/>
      <c r="AA237" s="6"/>
      <c r="AB237" s="6"/>
      <c r="AC237" s="6"/>
      <c r="AD237" s="6"/>
    </row>
    <row r="238" ht="15.75" customHeight="1">
      <c r="A238" s="130"/>
      <c r="B238" s="2"/>
      <c r="C238" s="182"/>
      <c r="D238" s="182"/>
      <c r="E238" s="182"/>
      <c r="F238" s="182"/>
      <c r="G238" s="6"/>
      <c r="H238" s="6"/>
      <c r="I238" s="6"/>
      <c r="J238" s="6"/>
      <c r="K238" s="131"/>
      <c r="L238" s="131"/>
      <c r="M238" s="131"/>
      <c r="N238" s="131"/>
      <c r="O238" s="131"/>
      <c r="P238" s="6"/>
      <c r="Q238" s="6"/>
      <c r="R238" s="6"/>
      <c r="S238" s="6"/>
      <c r="T238" s="6"/>
      <c r="U238" s="6"/>
      <c r="V238" s="6"/>
      <c r="W238" s="6"/>
      <c r="X238" s="6"/>
      <c r="Y238" s="6"/>
      <c r="Z238" s="6"/>
      <c r="AA238" s="6"/>
      <c r="AB238" s="6"/>
      <c r="AC238" s="6"/>
      <c r="AD238" s="6"/>
    </row>
    <row r="239" ht="15.75" customHeight="1">
      <c r="A239" s="130"/>
      <c r="B239" s="2"/>
      <c r="C239" s="182"/>
      <c r="D239" s="182"/>
      <c r="E239" s="182"/>
      <c r="F239" s="182"/>
      <c r="G239" s="6"/>
      <c r="H239" s="6"/>
      <c r="I239" s="6"/>
      <c r="J239" s="6"/>
      <c r="K239" s="131"/>
      <c r="L239" s="131"/>
      <c r="M239" s="131"/>
      <c r="N239" s="131"/>
      <c r="O239" s="131"/>
      <c r="P239" s="6"/>
      <c r="Q239" s="6"/>
      <c r="R239" s="6"/>
      <c r="S239" s="6"/>
      <c r="T239" s="6"/>
      <c r="U239" s="6"/>
      <c r="V239" s="6"/>
      <c r="W239" s="6"/>
      <c r="X239" s="6"/>
      <c r="Y239" s="6"/>
      <c r="Z239" s="6"/>
      <c r="AA239" s="6"/>
      <c r="AB239" s="6"/>
      <c r="AC239" s="6"/>
      <c r="AD239" s="6"/>
    </row>
    <row r="240" ht="15.75" customHeight="1">
      <c r="A240" s="130"/>
      <c r="B240" s="2"/>
      <c r="C240" s="182"/>
      <c r="D240" s="182"/>
      <c r="E240" s="182"/>
      <c r="F240" s="182"/>
      <c r="G240" s="6"/>
      <c r="H240" s="6"/>
      <c r="I240" s="6"/>
      <c r="J240" s="6"/>
      <c r="K240" s="131"/>
      <c r="L240" s="131"/>
      <c r="M240" s="131"/>
      <c r="N240" s="131"/>
      <c r="O240" s="131"/>
      <c r="P240" s="6"/>
      <c r="Q240" s="6"/>
      <c r="R240" s="6"/>
      <c r="S240" s="6"/>
      <c r="T240" s="6"/>
      <c r="U240" s="6"/>
      <c r="V240" s="6"/>
      <c r="W240" s="6"/>
      <c r="X240" s="6"/>
      <c r="Y240" s="6"/>
      <c r="Z240" s="6"/>
      <c r="AA240" s="6"/>
      <c r="AB240" s="6"/>
      <c r="AC240" s="6"/>
      <c r="AD240" s="6"/>
    </row>
    <row r="241" ht="15.75" customHeight="1">
      <c r="A241" s="130"/>
      <c r="B241" s="2"/>
      <c r="C241" s="182"/>
      <c r="D241" s="182"/>
      <c r="E241" s="182"/>
      <c r="F241" s="182"/>
      <c r="G241" s="6"/>
      <c r="H241" s="6"/>
      <c r="I241" s="6"/>
      <c r="J241" s="6"/>
      <c r="K241" s="131"/>
      <c r="L241" s="131"/>
      <c r="M241" s="131"/>
      <c r="N241" s="131"/>
      <c r="O241" s="131"/>
      <c r="P241" s="6"/>
      <c r="Q241" s="6"/>
      <c r="R241" s="6"/>
      <c r="S241" s="6"/>
      <c r="T241" s="6"/>
      <c r="U241" s="6"/>
      <c r="V241" s="6"/>
      <c r="W241" s="6"/>
      <c r="X241" s="6"/>
      <c r="Y241" s="6"/>
      <c r="Z241" s="6"/>
      <c r="AA241" s="6"/>
      <c r="AB241" s="6"/>
      <c r="AC241" s="6"/>
      <c r="AD241" s="6"/>
    </row>
    <row r="242" ht="15.75" customHeight="1">
      <c r="A242" s="130"/>
      <c r="B242" s="2"/>
      <c r="C242" s="182"/>
      <c r="D242" s="182"/>
      <c r="E242" s="182"/>
      <c r="F242" s="182"/>
      <c r="G242" s="6"/>
      <c r="H242" s="6"/>
      <c r="I242" s="6"/>
      <c r="J242" s="6"/>
      <c r="K242" s="131"/>
      <c r="L242" s="131"/>
      <c r="M242" s="131"/>
      <c r="N242" s="131"/>
      <c r="O242" s="131"/>
      <c r="P242" s="6"/>
      <c r="Q242" s="6"/>
      <c r="R242" s="6"/>
      <c r="S242" s="6"/>
      <c r="T242" s="6"/>
      <c r="U242" s="6"/>
      <c r="V242" s="6"/>
      <c r="W242" s="6"/>
      <c r="X242" s="6"/>
      <c r="Y242" s="6"/>
      <c r="Z242" s="6"/>
      <c r="AA242" s="6"/>
      <c r="AB242" s="6"/>
      <c r="AC242" s="6"/>
      <c r="AD242" s="6"/>
    </row>
    <row r="243" ht="15.75" customHeight="1">
      <c r="A243" s="130"/>
      <c r="B243" s="2"/>
      <c r="C243" s="182"/>
      <c r="D243" s="182"/>
      <c r="E243" s="182"/>
      <c r="F243" s="182"/>
      <c r="G243" s="6"/>
      <c r="H243" s="6"/>
      <c r="I243" s="6"/>
      <c r="J243" s="6"/>
      <c r="K243" s="131"/>
      <c r="L243" s="131"/>
      <c r="M243" s="131"/>
      <c r="N243" s="131"/>
      <c r="O243" s="131"/>
      <c r="P243" s="6"/>
      <c r="Q243" s="6"/>
      <c r="R243" s="6"/>
      <c r="S243" s="6"/>
      <c r="T243" s="6"/>
      <c r="U243" s="6"/>
      <c r="V243" s="6"/>
      <c r="W243" s="6"/>
      <c r="X243" s="6"/>
      <c r="Y243" s="6"/>
      <c r="Z243" s="6"/>
      <c r="AA243" s="6"/>
      <c r="AB243" s="6"/>
      <c r="AC243" s="6"/>
      <c r="AD243" s="6"/>
    </row>
    <row r="244" ht="15.75" customHeight="1">
      <c r="A244" s="130"/>
      <c r="B244" s="2"/>
      <c r="C244" s="182"/>
      <c r="D244" s="182"/>
      <c r="E244" s="182"/>
      <c r="F244" s="182"/>
      <c r="G244" s="6"/>
      <c r="H244" s="6"/>
      <c r="I244" s="6"/>
      <c r="J244" s="6"/>
      <c r="K244" s="131"/>
      <c r="L244" s="131"/>
      <c r="M244" s="131"/>
      <c r="N244" s="131"/>
      <c r="O244" s="131"/>
      <c r="P244" s="6"/>
      <c r="Q244" s="6"/>
      <c r="R244" s="6"/>
      <c r="S244" s="6"/>
      <c r="T244" s="6"/>
      <c r="U244" s="6"/>
      <c r="V244" s="6"/>
      <c r="W244" s="6"/>
      <c r="X244" s="6"/>
      <c r="Y244" s="6"/>
      <c r="Z244" s="6"/>
      <c r="AA244" s="6"/>
      <c r="AB244" s="6"/>
      <c r="AC244" s="6"/>
      <c r="AD244" s="6"/>
    </row>
    <row r="245" ht="15.75" customHeight="1">
      <c r="A245" s="130"/>
      <c r="B245" s="2"/>
      <c r="C245" s="182"/>
      <c r="D245" s="182"/>
      <c r="E245" s="182"/>
      <c r="F245" s="182"/>
      <c r="G245" s="6"/>
      <c r="H245" s="6"/>
      <c r="I245" s="6"/>
      <c r="J245" s="6"/>
      <c r="K245" s="131"/>
      <c r="L245" s="131"/>
      <c r="M245" s="131"/>
      <c r="N245" s="131"/>
      <c r="O245" s="131"/>
      <c r="P245" s="6"/>
      <c r="Q245" s="6"/>
      <c r="R245" s="6"/>
      <c r="S245" s="6"/>
      <c r="T245" s="6"/>
      <c r="U245" s="6"/>
      <c r="V245" s="6"/>
      <c r="W245" s="6"/>
      <c r="X245" s="6"/>
      <c r="Y245" s="6"/>
      <c r="Z245" s="6"/>
      <c r="AA245" s="6"/>
      <c r="AB245" s="6"/>
      <c r="AC245" s="6"/>
      <c r="AD245" s="6"/>
    </row>
    <row r="246" ht="15.75" customHeight="1">
      <c r="A246" s="130"/>
      <c r="B246" s="2"/>
      <c r="C246" s="182"/>
      <c r="D246" s="182"/>
      <c r="E246" s="182"/>
      <c r="F246" s="182"/>
      <c r="G246" s="6"/>
      <c r="H246" s="6"/>
      <c r="I246" s="6"/>
      <c r="J246" s="6"/>
      <c r="K246" s="131"/>
      <c r="L246" s="131"/>
      <c r="M246" s="131"/>
      <c r="N246" s="131"/>
      <c r="O246" s="131"/>
      <c r="P246" s="6"/>
      <c r="Q246" s="6"/>
      <c r="R246" s="6"/>
      <c r="S246" s="6"/>
      <c r="T246" s="6"/>
      <c r="U246" s="6"/>
      <c r="V246" s="6"/>
      <c r="W246" s="6"/>
      <c r="X246" s="6"/>
      <c r="Y246" s="6"/>
      <c r="Z246" s="6"/>
      <c r="AA246" s="6"/>
      <c r="AB246" s="6"/>
      <c r="AC246" s="6"/>
      <c r="AD246" s="6"/>
    </row>
    <row r="247" ht="15.75" customHeight="1">
      <c r="A247" s="130"/>
      <c r="B247" s="2"/>
      <c r="C247" s="182"/>
      <c r="D247" s="182"/>
      <c r="E247" s="182"/>
      <c r="F247" s="182"/>
      <c r="G247" s="6"/>
      <c r="H247" s="6"/>
      <c r="I247" s="6"/>
      <c r="J247" s="6"/>
      <c r="K247" s="131"/>
      <c r="L247" s="131"/>
      <c r="M247" s="131"/>
      <c r="N247" s="131"/>
      <c r="O247" s="131"/>
      <c r="P247" s="6"/>
      <c r="Q247" s="6"/>
      <c r="R247" s="6"/>
      <c r="S247" s="6"/>
      <c r="T247" s="6"/>
      <c r="U247" s="6"/>
      <c r="V247" s="6"/>
      <c r="W247" s="6"/>
      <c r="X247" s="6"/>
      <c r="Y247" s="6"/>
      <c r="Z247" s="6"/>
      <c r="AA247" s="6"/>
      <c r="AB247" s="6"/>
      <c r="AC247" s="6"/>
      <c r="AD247" s="6"/>
    </row>
    <row r="248" ht="15.75" customHeight="1">
      <c r="A248" s="130"/>
      <c r="B248" s="2"/>
      <c r="C248" s="182"/>
      <c r="D248" s="182"/>
      <c r="E248" s="182"/>
      <c r="F248" s="182"/>
      <c r="G248" s="6"/>
      <c r="H248" s="6"/>
      <c r="I248" s="6"/>
      <c r="J248" s="6"/>
      <c r="K248" s="131"/>
      <c r="L248" s="131"/>
      <c r="M248" s="131"/>
      <c r="N248" s="131"/>
      <c r="O248" s="131"/>
      <c r="P248" s="6"/>
      <c r="Q248" s="6"/>
      <c r="R248" s="6"/>
      <c r="S248" s="6"/>
      <c r="T248" s="6"/>
      <c r="U248" s="6"/>
      <c r="V248" s="6"/>
      <c r="W248" s="6"/>
      <c r="X248" s="6"/>
      <c r="Y248" s="6"/>
      <c r="Z248" s="6"/>
      <c r="AA248" s="6"/>
      <c r="AB248" s="6"/>
      <c r="AC248" s="6"/>
      <c r="AD248" s="6"/>
    </row>
    <row r="249" ht="15.75" customHeight="1">
      <c r="A249" s="130"/>
      <c r="B249" s="2"/>
      <c r="C249" s="182"/>
      <c r="D249" s="182"/>
      <c r="E249" s="182"/>
      <c r="F249" s="182"/>
      <c r="G249" s="6"/>
      <c r="H249" s="6"/>
      <c r="I249" s="6"/>
      <c r="J249" s="6"/>
      <c r="K249" s="131"/>
      <c r="L249" s="131"/>
      <c r="M249" s="131"/>
      <c r="N249" s="131"/>
      <c r="O249" s="131"/>
      <c r="P249" s="6"/>
      <c r="Q249" s="6"/>
      <c r="R249" s="6"/>
      <c r="S249" s="6"/>
      <c r="T249" s="6"/>
      <c r="U249" s="6"/>
      <c r="V249" s="6"/>
      <c r="W249" s="6"/>
      <c r="X249" s="6"/>
      <c r="Y249" s="6"/>
      <c r="Z249" s="6"/>
      <c r="AA249" s="6"/>
      <c r="AB249" s="6"/>
      <c r="AC249" s="6"/>
      <c r="AD249" s="6"/>
    </row>
    <row r="250" ht="15.75" customHeight="1">
      <c r="A250" s="130"/>
      <c r="B250" s="2"/>
      <c r="C250" s="182"/>
      <c r="D250" s="182"/>
      <c r="E250" s="182"/>
      <c r="F250" s="182"/>
      <c r="G250" s="6"/>
      <c r="H250" s="6"/>
      <c r="I250" s="6"/>
      <c r="J250" s="6"/>
      <c r="K250" s="131"/>
      <c r="L250" s="131"/>
      <c r="M250" s="131"/>
      <c r="N250" s="131"/>
      <c r="O250" s="131"/>
      <c r="P250" s="6"/>
      <c r="Q250" s="6"/>
      <c r="R250" s="6"/>
      <c r="S250" s="6"/>
      <c r="T250" s="6"/>
      <c r="U250" s="6"/>
      <c r="V250" s="6"/>
      <c r="W250" s="6"/>
      <c r="X250" s="6"/>
      <c r="Y250" s="6"/>
      <c r="Z250" s="6"/>
      <c r="AA250" s="6"/>
      <c r="AB250" s="6"/>
      <c r="AC250" s="6"/>
      <c r="AD250" s="6"/>
    </row>
    <row r="251" ht="15.75" customHeight="1">
      <c r="A251" s="130"/>
      <c r="B251" s="2"/>
      <c r="C251" s="182"/>
      <c r="D251" s="182"/>
      <c r="E251" s="182"/>
      <c r="F251" s="182"/>
      <c r="G251" s="6"/>
      <c r="H251" s="6"/>
      <c r="I251" s="6"/>
      <c r="J251" s="6"/>
      <c r="K251" s="131"/>
      <c r="L251" s="131"/>
      <c r="M251" s="131"/>
      <c r="N251" s="131"/>
      <c r="O251" s="131"/>
      <c r="P251" s="6"/>
      <c r="Q251" s="6"/>
      <c r="R251" s="6"/>
      <c r="S251" s="6"/>
      <c r="T251" s="6"/>
      <c r="U251" s="6"/>
      <c r="V251" s="6"/>
      <c r="W251" s="6"/>
      <c r="X251" s="6"/>
      <c r="Y251" s="6"/>
      <c r="Z251" s="6"/>
      <c r="AA251" s="6"/>
      <c r="AB251" s="6"/>
      <c r="AC251" s="6"/>
      <c r="AD251" s="6"/>
    </row>
    <row r="252" ht="15.75" customHeight="1">
      <c r="A252" s="130"/>
      <c r="B252" s="2"/>
      <c r="C252" s="182"/>
      <c r="D252" s="182"/>
      <c r="E252" s="182"/>
      <c r="F252" s="182"/>
      <c r="G252" s="6"/>
      <c r="H252" s="6"/>
      <c r="I252" s="6"/>
      <c r="J252" s="6"/>
      <c r="K252" s="131"/>
      <c r="L252" s="131"/>
      <c r="M252" s="131"/>
      <c r="N252" s="131"/>
      <c r="O252" s="131"/>
      <c r="P252" s="6"/>
      <c r="Q252" s="6"/>
      <c r="R252" s="6"/>
      <c r="S252" s="6"/>
      <c r="T252" s="6"/>
      <c r="U252" s="6"/>
      <c r="V252" s="6"/>
      <c r="W252" s="6"/>
      <c r="X252" s="6"/>
      <c r="Y252" s="6"/>
      <c r="Z252" s="6"/>
      <c r="AA252" s="6"/>
      <c r="AB252" s="6"/>
      <c r="AC252" s="6"/>
      <c r="AD252" s="6"/>
    </row>
    <row r="253" ht="15.75" customHeight="1">
      <c r="A253" s="130"/>
      <c r="B253" s="2"/>
      <c r="C253" s="182"/>
      <c r="D253" s="182"/>
      <c r="E253" s="182"/>
      <c r="F253" s="182"/>
      <c r="G253" s="6"/>
      <c r="H253" s="6"/>
      <c r="I253" s="6"/>
      <c r="J253" s="6"/>
      <c r="K253" s="131"/>
      <c r="L253" s="131"/>
      <c r="M253" s="131"/>
      <c r="N253" s="131"/>
      <c r="O253" s="131"/>
      <c r="P253" s="6"/>
      <c r="Q253" s="6"/>
      <c r="R253" s="6"/>
      <c r="S253" s="6"/>
      <c r="T253" s="6"/>
      <c r="U253" s="6"/>
      <c r="V253" s="6"/>
      <c r="W253" s="6"/>
      <c r="X253" s="6"/>
      <c r="Y253" s="6"/>
      <c r="Z253" s="6"/>
      <c r="AA253" s="6"/>
      <c r="AB253" s="6"/>
      <c r="AC253" s="6"/>
      <c r="AD253" s="6"/>
    </row>
    <row r="254" ht="15.75" customHeight="1">
      <c r="A254" s="130"/>
      <c r="B254" s="2"/>
      <c r="C254" s="182"/>
      <c r="D254" s="182"/>
      <c r="E254" s="182"/>
      <c r="F254" s="182"/>
      <c r="G254" s="6"/>
      <c r="H254" s="6"/>
      <c r="I254" s="6"/>
      <c r="J254" s="6"/>
      <c r="K254" s="131"/>
      <c r="L254" s="131"/>
      <c r="M254" s="131"/>
      <c r="N254" s="131"/>
      <c r="O254" s="131"/>
      <c r="P254" s="6"/>
      <c r="Q254" s="6"/>
      <c r="R254" s="6"/>
      <c r="S254" s="6"/>
      <c r="T254" s="6"/>
      <c r="U254" s="6"/>
      <c r="V254" s="6"/>
      <c r="W254" s="6"/>
      <c r="X254" s="6"/>
      <c r="Y254" s="6"/>
      <c r="Z254" s="6"/>
      <c r="AA254" s="6"/>
      <c r="AB254" s="6"/>
      <c r="AC254" s="6"/>
      <c r="AD254" s="6"/>
    </row>
    <row r="255" ht="15.75" customHeight="1">
      <c r="A255" s="130"/>
      <c r="B255" s="2"/>
      <c r="C255" s="182"/>
      <c r="D255" s="182"/>
      <c r="E255" s="182"/>
      <c r="F255" s="182"/>
      <c r="G255" s="6"/>
      <c r="H255" s="6"/>
      <c r="I255" s="6"/>
      <c r="J255" s="6"/>
      <c r="K255" s="131"/>
      <c r="L255" s="131"/>
      <c r="M255" s="131"/>
      <c r="N255" s="131"/>
      <c r="O255" s="131"/>
      <c r="P255" s="6"/>
      <c r="Q255" s="6"/>
      <c r="R255" s="6"/>
      <c r="S255" s="6"/>
      <c r="T255" s="6"/>
      <c r="U255" s="6"/>
      <c r="V255" s="6"/>
      <c r="W255" s="6"/>
      <c r="X255" s="6"/>
      <c r="Y255" s="6"/>
      <c r="Z255" s="6"/>
      <c r="AA255" s="6"/>
      <c r="AB255" s="6"/>
      <c r="AC255" s="6"/>
      <c r="AD255" s="6"/>
    </row>
    <row r="256" ht="15.75" customHeight="1">
      <c r="A256" s="130"/>
      <c r="B256" s="2"/>
      <c r="C256" s="182"/>
      <c r="D256" s="182"/>
      <c r="E256" s="182"/>
      <c r="F256" s="182"/>
      <c r="G256" s="6"/>
      <c r="H256" s="6"/>
      <c r="I256" s="6"/>
      <c r="J256" s="6"/>
      <c r="K256" s="131"/>
      <c r="L256" s="131"/>
      <c r="M256" s="131"/>
      <c r="N256" s="131"/>
      <c r="O256" s="131"/>
      <c r="P256" s="6"/>
      <c r="Q256" s="6"/>
      <c r="R256" s="6"/>
      <c r="S256" s="6"/>
      <c r="T256" s="6"/>
      <c r="U256" s="6"/>
      <c r="V256" s="6"/>
      <c r="W256" s="6"/>
      <c r="X256" s="6"/>
      <c r="Y256" s="6"/>
      <c r="Z256" s="6"/>
      <c r="AA256" s="6"/>
      <c r="AB256" s="6"/>
      <c r="AC256" s="6"/>
      <c r="AD256" s="6"/>
    </row>
    <row r="257" ht="15.75" customHeight="1">
      <c r="A257" s="130"/>
      <c r="B257" s="2"/>
      <c r="C257" s="182"/>
      <c r="D257" s="182"/>
      <c r="E257" s="182"/>
      <c r="F257" s="182"/>
      <c r="G257" s="6"/>
      <c r="H257" s="6"/>
      <c r="I257" s="6"/>
      <c r="J257" s="6"/>
      <c r="K257" s="131"/>
      <c r="L257" s="131"/>
      <c r="M257" s="131"/>
      <c r="N257" s="131"/>
      <c r="O257" s="131"/>
      <c r="P257" s="6"/>
      <c r="Q257" s="6"/>
      <c r="R257" s="6"/>
      <c r="S257" s="6"/>
      <c r="T257" s="6"/>
      <c r="U257" s="6"/>
      <c r="V257" s="6"/>
      <c r="W257" s="6"/>
      <c r="X257" s="6"/>
      <c r="Y257" s="6"/>
      <c r="Z257" s="6"/>
      <c r="AA257" s="6"/>
      <c r="AB257" s="6"/>
      <c r="AC257" s="6"/>
      <c r="AD257" s="6"/>
    </row>
    <row r="258" ht="15.75" customHeight="1">
      <c r="A258" s="130"/>
      <c r="B258" s="2"/>
      <c r="C258" s="182"/>
      <c r="D258" s="182"/>
      <c r="E258" s="182"/>
      <c r="F258" s="182"/>
      <c r="G258" s="6"/>
      <c r="H258" s="6"/>
      <c r="I258" s="6"/>
      <c r="J258" s="6"/>
      <c r="K258" s="131"/>
      <c r="L258" s="131"/>
      <c r="M258" s="131"/>
      <c r="N258" s="131"/>
      <c r="O258" s="131"/>
      <c r="P258" s="6"/>
      <c r="Q258" s="6"/>
      <c r="R258" s="6"/>
      <c r="S258" s="6"/>
      <c r="T258" s="6"/>
      <c r="U258" s="6"/>
      <c r="V258" s="6"/>
      <c r="W258" s="6"/>
      <c r="X258" s="6"/>
      <c r="Y258" s="6"/>
      <c r="Z258" s="6"/>
      <c r="AA258" s="6"/>
      <c r="AB258" s="6"/>
      <c r="AC258" s="6"/>
      <c r="AD258" s="6"/>
    </row>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9">
    <mergeCell ref="I47:I51"/>
    <mergeCell ref="J47:J51"/>
    <mergeCell ref="H52:H56"/>
    <mergeCell ref="I52:I56"/>
    <mergeCell ref="J52:J56"/>
    <mergeCell ref="I37:I41"/>
    <mergeCell ref="J37:J41"/>
    <mergeCell ref="G42:G46"/>
    <mergeCell ref="H42:H46"/>
    <mergeCell ref="I42:I46"/>
    <mergeCell ref="J42:J46"/>
    <mergeCell ref="H47:H51"/>
    <mergeCell ref="A9:A11"/>
    <mergeCell ref="B9:C9"/>
    <mergeCell ref="H9:H11"/>
    <mergeCell ref="I9:I11"/>
    <mergeCell ref="J9:J11"/>
    <mergeCell ref="B12:C12"/>
    <mergeCell ref="J12:J14"/>
    <mergeCell ref="B15:C15"/>
    <mergeCell ref="H12:H14"/>
    <mergeCell ref="I12:I14"/>
    <mergeCell ref="H15:H17"/>
    <mergeCell ref="I15:I17"/>
    <mergeCell ref="J15:J17"/>
    <mergeCell ref="I18:I21"/>
    <mergeCell ref="J18:J21"/>
    <mergeCell ref="A25:A28"/>
    <mergeCell ref="A29:A31"/>
    <mergeCell ref="A32:A36"/>
    <mergeCell ref="A37:A41"/>
    <mergeCell ref="A42:A46"/>
    <mergeCell ref="A47:A51"/>
    <mergeCell ref="H18:H21"/>
    <mergeCell ref="H22:H24"/>
    <mergeCell ref="I22:I24"/>
    <mergeCell ref="J22:J24"/>
    <mergeCell ref="H25:H28"/>
    <mergeCell ref="I25:I28"/>
    <mergeCell ref="J25:J28"/>
    <mergeCell ref="B29:C29"/>
    <mergeCell ref="B32:C32"/>
    <mergeCell ref="B37:C37"/>
    <mergeCell ref="B42:C42"/>
    <mergeCell ref="B47:C47"/>
    <mergeCell ref="A12:A14"/>
    <mergeCell ref="A15:A17"/>
    <mergeCell ref="A18:A21"/>
    <mergeCell ref="B18:C18"/>
    <mergeCell ref="A22:A24"/>
    <mergeCell ref="B22:C22"/>
    <mergeCell ref="B25:C25"/>
    <mergeCell ref="H29:H31"/>
    <mergeCell ref="I29:I31"/>
    <mergeCell ref="J29:J31"/>
    <mergeCell ref="H32:H36"/>
    <mergeCell ref="I32:I36"/>
    <mergeCell ref="J32:J36"/>
    <mergeCell ref="H37:H41"/>
  </mergeCells>
  <hyperlinks>
    <hyperlink r:id="rId1" ref="E10"/>
    <hyperlink r:id="rId2" ref="E12"/>
    <hyperlink r:id="rId3" ref="E13"/>
    <hyperlink r:id="rId4" ref="E14"/>
    <hyperlink r:id="rId5" ref="E15"/>
    <hyperlink r:id="rId6" ref="E18"/>
    <hyperlink r:id="rId7" ref="E19"/>
    <hyperlink r:id="rId8" ref="E20"/>
    <hyperlink r:id="rId9" ref="E21"/>
    <hyperlink r:id="rId10" ref="E22"/>
    <hyperlink r:id="rId11" ref="E23"/>
    <hyperlink r:id="rId12" ref="E24"/>
    <hyperlink r:id="rId13" ref="E26"/>
    <hyperlink r:id="rId14" ref="E27"/>
    <hyperlink r:id="rId15" ref="E29"/>
    <hyperlink r:id="rId16" ref="E30"/>
    <hyperlink r:id="rId17" ref="E31"/>
    <hyperlink r:id="rId18" ref="E33"/>
    <hyperlink r:id="rId19" ref="E34"/>
    <hyperlink r:id="rId20" ref="E35"/>
    <hyperlink r:id="rId21" ref="E38"/>
    <hyperlink r:id="rId22" ref="E39"/>
    <hyperlink r:id="rId23" ref="E40"/>
    <hyperlink r:id="rId24" ref="E41"/>
    <hyperlink r:id="rId25" ref="E44"/>
    <hyperlink r:id="rId26" ref="E45"/>
    <hyperlink r:id="rId27" ref="E48"/>
    <hyperlink r:id="rId28" ref="E49"/>
    <hyperlink r:id="rId29" ref="E50"/>
    <hyperlink r:id="rId30" ref="E53"/>
    <hyperlink r:id="rId31" ref="E54"/>
  </hyperlinks>
  <printOptions horizontalCentered="1"/>
  <pageMargins bottom="0.75" footer="0.0" header="0.0" left="1.25" right="0.25" top="0.75"/>
  <pageSetup paperSize="5" orientation="landscape"/>
  <rowBreaks count="1" manualBreakCount="1">
    <brk id="23" man="1"/>
  </rowBreaks>
  <drawing r:id="rId3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showGridLines="0"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4.75"/>
    <col customWidth="1" min="2" max="2" width="52.13"/>
    <col customWidth="1" min="3" max="3" width="12.0"/>
    <col customWidth="1" min="4" max="4" width="20.13"/>
    <col customWidth="1" min="5" max="6" width="22.88"/>
    <col customWidth="1" min="7" max="8" width="51.75"/>
    <col customWidth="1" min="9" max="9" width="39.25"/>
    <col customWidth="1" min="10" max="10" width="30.13"/>
    <col customWidth="1" min="11" max="23" width="12.63"/>
  </cols>
  <sheetData>
    <row r="1" ht="9.0" customHeight="1">
      <c r="A1" s="130"/>
      <c r="B1" s="2"/>
      <c r="C1" s="132"/>
      <c r="D1" s="132"/>
      <c r="E1" s="132"/>
      <c r="F1" s="132"/>
      <c r="G1" s="6"/>
      <c r="H1" s="6"/>
      <c r="I1" s="6"/>
      <c r="J1" s="6"/>
      <c r="K1" s="6"/>
      <c r="L1" s="6"/>
      <c r="M1" s="6"/>
      <c r="N1" s="6"/>
      <c r="O1" s="6"/>
      <c r="P1" s="6"/>
      <c r="Q1" s="6"/>
      <c r="R1" s="6"/>
      <c r="S1" s="6"/>
      <c r="T1" s="6"/>
      <c r="U1" s="6"/>
      <c r="V1" s="6"/>
      <c r="W1" s="6"/>
      <c r="X1" s="6"/>
      <c r="Y1" s="6"/>
      <c r="Z1" s="6"/>
      <c r="AA1" s="6"/>
      <c r="AB1" s="6"/>
    </row>
    <row r="2" ht="15.75" customHeight="1">
      <c r="A2" s="130"/>
      <c r="B2" s="2"/>
      <c r="C2" s="132"/>
      <c r="D2" s="132"/>
      <c r="E2" s="132"/>
      <c r="F2" s="132"/>
      <c r="G2" s="6"/>
      <c r="H2" s="6"/>
      <c r="I2" s="6"/>
      <c r="J2" s="6"/>
      <c r="K2" s="6"/>
      <c r="L2" s="6"/>
      <c r="M2" s="6"/>
      <c r="N2" s="6"/>
      <c r="O2" s="6"/>
      <c r="P2" s="6"/>
      <c r="Q2" s="6"/>
      <c r="R2" s="6"/>
      <c r="S2" s="6"/>
      <c r="T2" s="6"/>
      <c r="U2" s="6"/>
      <c r="V2" s="6"/>
      <c r="W2" s="6"/>
      <c r="X2" s="6"/>
      <c r="Y2" s="6"/>
      <c r="Z2" s="6"/>
      <c r="AA2" s="6"/>
      <c r="AB2" s="6"/>
    </row>
    <row r="3" ht="15.75" customHeight="1">
      <c r="A3" s="130"/>
      <c r="B3" s="2"/>
      <c r="C3" s="132"/>
      <c r="D3" s="132"/>
      <c r="E3" s="132"/>
      <c r="F3" s="132"/>
      <c r="G3" s="6"/>
      <c r="H3" s="6"/>
      <c r="I3" s="6"/>
      <c r="J3" s="6"/>
      <c r="K3" s="6"/>
      <c r="L3" s="6"/>
      <c r="M3" s="6"/>
      <c r="N3" s="6"/>
      <c r="O3" s="6"/>
      <c r="P3" s="6"/>
      <c r="Q3" s="6"/>
      <c r="R3" s="6"/>
      <c r="S3" s="6"/>
      <c r="T3" s="6"/>
      <c r="U3" s="6"/>
      <c r="V3" s="6"/>
      <c r="W3" s="6"/>
      <c r="X3" s="6"/>
      <c r="Y3" s="6"/>
      <c r="Z3" s="6"/>
      <c r="AA3" s="6"/>
      <c r="AB3" s="6"/>
    </row>
    <row r="4" ht="15.75" customHeight="1">
      <c r="A4" s="130"/>
      <c r="B4" s="2"/>
      <c r="C4" s="132"/>
      <c r="D4" s="132"/>
      <c r="E4" s="132"/>
      <c r="F4" s="132"/>
      <c r="G4" s="6"/>
      <c r="H4" s="6"/>
      <c r="I4" s="6"/>
      <c r="J4" s="6"/>
      <c r="K4" s="6"/>
      <c r="L4" s="6"/>
      <c r="M4" s="6"/>
      <c r="N4" s="6"/>
      <c r="O4" s="6"/>
      <c r="P4" s="6"/>
      <c r="Q4" s="6"/>
      <c r="R4" s="6"/>
      <c r="S4" s="6"/>
      <c r="T4" s="6"/>
      <c r="U4" s="6"/>
      <c r="V4" s="6"/>
      <c r="W4" s="6"/>
      <c r="X4" s="6"/>
      <c r="Y4" s="6"/>
      <c r="Z4" s="6"/>
      <c r="AA4" s="6"/>
      <c r="AB4" s="6"/>
    </row>
    <row r="5" ht="15.75" customHeight="1">
      <c r="A5" s="130"/>
      <c r="B5" s="2"/>
      <c r="C5" s="132"/>
      <c r="D5" s="132"/>
      <c r="E5" s="132"/>
      <c r="F5" s="132"/>
      <c r="G5" s="6"/>
      <c r="H5" s="6"/>
      <c r="I5" s="6"/>
      <c r="J5" s="6"/>
      <c r="K5" s="6"/>
      <c r="L5" s="6"/>
      <c r="M5" s="6"/>
      <c r="N5" s="6"/>
      <c r="O5" s="6"/>
      <c r="P5" s="6"/>
      <c r="Q5" s="6"/>
      <c r="R5" s="6"/>
      <c r="S5" s="6"/>
      <c r="T5" s="6"/>
      <c r="U5" s="6"/>
      <c r="V5" s="6"/>
      <c r="W5" s="6"/>
      <c r="X5" s="6"/>
      <c r="Y5" s="6"/>
      <c r="Z5" s="6"/>
      <c r="AA5" s="6"/>
      <c r="AB5" s="6"/>
    </row>
    <row r="6" ht="12.75" customHeight="1">
      <c r="A6" s="130"/>
      <c r="B6" s="2"/>
      <c r="C6" s="132"/>
      <c r="D6" s="132"/>
      <c r="E6" s="132"/>
      <c r="F6" s="132"/>
      <c r="G6" s="6"/>
      <c r="H6" s="6"/>
      <c r="I6" s="6"/>
      <c r="J6" s="6"/>
      <c r="K6" s="6"/>
      <c r="L6" s="6"/>
      <c r="M6" s="6"/>
      <c r="N6" s="6"/>
      <c r="O6" s="6"/>
      <c r="P6" s="6"/>
      <c r="Q6" s="6"/>
      <c r="R6" s="6"/>
      <c r="S6" s="6"/>
      <c r="T6" s="6"/>
      <c r="U6" s="6"/>
      <c r="V6" s="6"/>
      <c r="W6" s="6"/>
      <c r="X6" s="6"/>
      <c r="Y6" s="6"/>
      <c r="Z6" s="6"/>
      <c r="AA6" s="6"/>
      <c r="AB6" s="6"/>
    </row>
    <row r="7" ht="6.0" customHeight="1">
      <c r="A7" s="130"/>
      <c r="B7" s="7"/>
      <c r="C7" s="133"/>
      <c r="D7" s="133"/>
      <c r="E7" s="134"/>
      <c r="F7" s="133"/>
      <c r="G7" s="6"/>
      <c r="H7" s="6"/>
      <c r="I7" s="6"/>
      <c r="J7" s="6"/>
      <c r="K7" s="6"/>
      <c r="L7" s="6"/>
      <c r="M7" s="6"/>
      <c r="N7" s="6"/>
      <c r="O7" s="6"/>
      <c r="P7" s="6"/>
      <c r="Q7" s="6"/>
      <c r="R7" s="6"/>
      <c r="S7" s="6"/>
      <c r="T7" s="6"/>
      <c r="U7" s="6"/>
      <c r="V7" s="6"/>
      <c r="W7" s="6"/>
      <c r="X7" s="6"/>
      <c r="Y7" s="6"/>
      <c r="Z7" s="6"/>
      <c r="AA7" s="6"/>
      <c r="AB7" s="6"/>
    </row>
    <row r="8" ht="8.25" customHeight="1">
      <c r="A8" s="212"/>
      <c r="B8" s="213"/>
      <c r="C8" s="133"/>
      <c r="D8" s="133"/>
      <c r="E8" s="134"/>
      <c r="F8" s="133"/>
      <c r="G8" s="6"/>
      <c r="H8" s="6"/>
      <c r="I8" s="6"/>
      <c r="J8" s="6"/>
      <c r="K8" s="6"/>
      <c r="L8" s="6"/>
      <c r="M8" s="6"/>
      <c r="N8" s="6"/>
      <c r="O8" s="6"/>
      <c r="P8" s="6"/>
      <c r="Q8" s="6"/>
      <c r="R8" s="6"/>
      <c r="S8" s="6"/>
      <c r="T8" s="6"/>
      <c r="U8" s="6"/>
      <c r="V8" s="6"/>
      <c r="W8" s="6"/>
      <c r="X8" s="6"/>
      <c r="Y8" s="6"/>
      <c r="Z8" s="6"/>
      <c r="AA8" s="6"/>
      <c r="AB8" s="6"/>
    </row>
    <row r="9" ht="35.25" customHeight="1">
      <c r="A9" s="135" t="s">
        <v>0</v>
      </c>
      <c r="B9" s="214" t="s">
        <v>659</v>
      </c>
      <c r="C9" s="12" t="s">
        <v>2</v>
      </c>
      <c r="D9" s="12" t="s">
        <v>3</v>
      </c>
      <c r="E9" s="12" t="s">
        <v>4</v>
      </c>
      <c r="F9" s="12" t="s">
        <v>5</v>
      </c>
      <c r="G9" s="12" t="s">
        <v>6</v>
      </c>
      <c r="H9" s="12" t="s">
        <v>7</v>
      </c>
      <c r="I9" s="12" t="s">
        <v>8</v>
      </c>
      <c r="J9" s="12" t="s">
        <v>9</v>
      </c>
      <c r="K9" s="6"/>
      <c r="L9" s="6"/>
      <c r="M9" s="6"/>
      <c r="N9" s="6"/>
      <c r="O9" s="6"/>
      <c r="P9" s="6"/>
      <c r="Q9" s="6"/>
      <c r="R9" s="6"/>
      <c r="S9" s="6"/>
      <c r="T9" s="6"/>
      <c r="U9" s="6"/>
      <c r="V9" s="6"/>
      <c r="W9" s="6"/>
      <c r="X9" s="6"/>
      <c r="Y9" s="6"/>
      <c r="Z9" s="6"/>
      <c r="AA9" s="6"/>
      <c r="AB9" s="6"/>
    </row>
    <row r="10" ht="21.75" customHeight="1">
      <c r="A10" s="215">
        <v>1.0</v>
      </c>
      <c r="B10" s="216" t="s">
        <v>660</v>
      </c>
      <c r="C10" s="16"/>
      <c r="D10" s="192"/>
      <c r="E10" s="217" t="s">
        <v>661</v>
      </c>
      <c r="F10" s="192"/>
      <c r="G10" s="218"/>
      <c r="H10" s="219" t="s">
        <v>662</v>
      </c>
      <c r="I10" s="219" t="s">
        <v>663</v>
      </c>
      <c r="J10" s="219" t="s">
        <v>664</v>
      </c>
      <c r="K10" s="6"/>
      <c r="L10" s="6"/>
      <c r="M10" s="6"/>
      <c r="N10" s="6"/>
      <c r="O10" s="6"/>
      <c r="P10" s="6"/>
      <c r="Q10" s="6"/>
      <c r="R10" s="6"/>
      <c r="S10" s="6"/>
      <c r="T10" s="6"/>
      <c r="U10" s="6"/>
      <c r="V10" s="6"/>
      <c r="W10" s="6"/>
      <c r="X10" s="6"/>
      <c r="Y10" s="6"/>
      <c r="Z10" s="6"/>
      <c r="AA10" s="6"/>
      <c r="AB10" s="6"/>
    </row>
    <row r="11" ht="21.0" customHeight="1">
      <c r="A11" s="220"/>
      <c r="B11" s="221" t="s">
        <v>558</v>
      </c>
      <c r="C11" s="222">
        <v>100.0</v>
      </c>
      <c r="D11" s="223">
        <v>100.0</v>
      </c>
      <c r="E11" s="217" t="s">
        <v>665</v>
      </c>
      <c r="F11" s="201">
        <v>100.0</v>
      </c>
      <c r="G11" s="218"/>
      <c r="H11" s="24"/>
      <c r="I11" s="24"/>
      <c r="J11" s="24"/>
      <c r="K11" s="6"/>
      <c r="L11" s="6"/>
      <c r="M11" s="6"/>
      <c r="N11" s="6"/>
      <c r="O11" s="6"/>
      <c r="P11" s="6"/>
      <c r="Q11" s="6"/>
      <c r="R11" s="6"/>
      <c r="S11" s="6"/>
      <c r="T11" s="6"/>
      <c r="U11" s="6"/>
      <c r="V11" s="6"/>
      <c r="W11" s="6"/>
      <c r="X11" s="6"/>
      <c r="Y11" s="6"/>
      <c r="Z11" s="6"/>
      <c r="AA11" s="6"/>
      <c r="AB11" s="6"/>
    </row>
    <row r="12" ht="21.0" customHeight="1">
      <c r="A12" s="224"/>
      <c r="B12" s="221" t="s">
        <v>561</v>
      </c>
      <c r="C12" s="222">
        <v>0.0</v>
      </c>
      <c r="D12" s="225"/>
      <c r="E12" s="106" t="s">
        <v>666</v>
      </c>
      <c r="F12" s="201"/>
      <c r="G12" s="218"/>
      <c r="H12" s="32"/>
      <c r="I12" s="32"/>
      <c r="J12" s="32"/>
      <c r="K12" s="6"/>
      <c r="L12" s="6"/>
      <c r="M12" s="6"/>
      <c r="N12" s="6"/>
      <c r="O12" s="6"/>
      <c r="P12" s="6"/>
      <c r="Q12" s="6"/>
      <c r="R12" s="6"/>
      <c r="S12" s="6"/>
      <c r="T12" s="6"/>
      <c r="U12" s="6"/>
      <c r="V12" s="6"/>
      <c r="W12" s="6"/>
      <c r="X12" s="6"/>
      <c r="Y12" s="6"/>
      <c r="Z12" s="6"/>
      <c r="AA12" s="6"/>
      <c r="AB12" s="6"/>
    </row>
    <row r="13" ht="21.0" customHeight="1">
      <c r="A13" s="215">
        <v>2.0</v>
      </c>
      <c r="B13" s="226" t="s">
        <v>667</v>
      </c>
      <c r="C13" s="16"/>
      <c r="D13" s="223"/>
      <c r="E13" s="106" t="s">
        <v>668</v>
      </c>
      <c r="F13" s="202"/>
      <c r="G13" s="218"/>
      <c r="H13" s="219" t="s">
        <v>669</v>
      </c>
      <c r="I13" s="219" t="s">
        <v>663</v>
      </c>
      <c r="J13" s="219" t="s">
        <v>664</v>
      </c>
      <c r="K13" s="6"/>
      <c r="L13" s="6"/>
      <c r="M13" s="6"/>
      <c r="N13" s="6"/>
      <c r="O13" s="6"/>
      <c r="P13" s="6"/>
      <c r="Q13" s="6"/>
      <c r="R13" s="6"/>
      <c r="S13" s="6"/>
      <c r="T13" s="6"/>
      <c r="U13" s="6"/>
      <c r="V13" s="6"/>
      <c r="W13" s="6"/>
      <c r="X13" s="6"/>
      <c r="Y13" s="6"/>
      <c r="Z13" s="6"/>
      <c r="AA13" s="6"/>
      <c r="AB13" s="6"/>
    </row>
    <row r="14" ht="21.0" customHeight="1">
      <c r="A14" s="220"/>
      <c r="B14" s="221" t="s">
        <v>558</v>
      </c>
      <c r="C14" s="227">
        <v>100.0</v>
      </c>
      <c r="D14" s="223">
        <v>100.0</v>
      </c>
      <c r="E14" s="106" t="s">
        <v>670</v>
      </c>
      <c r="F14" s="228">
        <v>100.0</v>
      </c>
      <c r="G14" s="218"/>
      <c r="H14" s="24"/>
      <c r="I14" s="24"/>
      <c r="J14" s="24"/>
      <c r="K14" s="6"/>
      <c r="L14" s="6"/>
      <c r="M14" s="6"/>
      <c r="N14" s="6"/>
      <c r="O14" s="6"/>
      <c r="P14" s="6"/>
      <c r="Q14" s="6"/>
      <c r="R14" s="6"/>
      <c r="S14" s="6"/>
      <c r="T14" s="6"/>
      <c r="U14" s="6"/>
      <c r="V14" s="6"/>
      <c r="W14" s="6"/>
      <c r="X14" s="6"/>
      <c r="Y14" s="6"/>
      <c r="Z14" s="6"/>
      <c r="AA14" s="6"/>
      <c r="AB14" s="6"/>
    </row>
    <row r="15" ht="21.0" customHeight="1">
      <c r="A15" s="224"/>
      <c r="B15" s="229" t="s">
        <v>90</v>
      </c>
      <c r="C15" s="227">
        <v>0.0</v>
      </c>
      <c r="D15" s="225"/>
      <c r="E15" s="106" t="s">
        <v>671</v>
      </c>
      <c r="F15" s="228"/>
      <c r="G15" s="218"/>
      <c r="H15" s="32"/>
      <c r="I15" s="32"/>
      <c r="J15" s="32"/>
      <c r="K15" s="6"/>
      <c r="L15" s="6"/>
      <c r="M15" s="6"/>
      <c r="N15" s="6"/>
      <c r="O15" s="6"/>
      <c r="P15" s="6"/>
      <c r="Q15" s="6"/>
      <c r="R15" s="6"/>
      <c r="S15" s="6"/>
      <c r="T15" s="6"/>
      <c r="U15" s="6"/>
      <c r="V15" s="6"/>
      <c r="W15" s="6"/>
      <c r="X15" s="6"/>
      <c r="Y15" s="6"/>
      <c r="Z15" s="6"/>
      <c r="AA15" s="6"/>
      <c r="AB15" s="6"/>
    </row>
    <row r="16" ht="19.5" customHeight="1">
      <c r="A16" s="230">
        <v>3.0</v>
      </c>
      <c r="B16" s="231" t="s">
        <v>672</v>
      </c>
      <c r="C16" s="16"/>
      <c r="D16" s="223"/>
      <c r="E16" s="232"/>
      <c r="F16" s="71"/>
      <c r="G16" s="218"/>
      <c r="H16" s="219" t="s">
        <v>673</v>
      </c>
      <c r="I16" s="219" t="s">
        <v>674</v>
      </c>
      <c r="J16" s="219" t="s">
        <v>675</v>
      </c>
      <c r="K16" s="13"/>
      <c r="L16" s="13"/>
      <c r="M16" s="13"/>
      <c r="N16" s="13"/>
      <c r="O16" s="13"/>
      <c r="P16" s="13"/>
      <c r="Q16" s="13"/>
      <c r="R16" s="13"/>
      <c r="S16" s="13"/>
      <c r="T16" s="13"/>
      <c r="U16" s="13"/>
      <c r="V16" s="13"/>
      <c r="W16" s="13"/>
      <c r="X16" s="6"/>
      <c r="Y16" s="6"/>
      <c r="Z16" s="6"/>
      <c r="AA16" s="6"/>
      <c r="AB16" s="6"/>
    </row>
    <row r="17" ht="21.0" customHeight="1">
      <c r="A17" s="24"/>
      <c r="B17" s="233" t="s">
        <v>612</v>
      </c>
      <c r="C17" s="234">
        <v>100.0</v>
      </c>
      <c r="D17" s="223">
        <v>100.0</v>
      </c>
      <c r="E17" s="106" t="s">
        <v>676</v>
      </c>
      <c r="F17" s="94">
        <v>100.0</v>
      </c>
      <c r="G17" s="218" t="s">
        <v>677</v>
      </c>
      <c r="H17" s="24"/>
      <c r="I17" s="24"/>
      <c r="J17" s="24"/>
      <c r="K17" s="13"/>
      <c r="L17" s="13"/>
      <c r="M17" s="13"/>
      <c r="N17" s="13"/>
      <c r="O17" s="13"/>
      <c r="P17" s="13"/>
      <c r="Q17" s="13"/>
      <c r="R17" s="13"/>
      <c r="S17" s="13"/>
      <c r="T17" s="13"/>
      <c r="U17" s="13"/>
      <c r="V17" s="13"/>
      <c r="W17" s="13"/>
      <c r="X17" s="6"/>
      <c r="Y17" s="6"/>
      <c r="Z17" s="6"/>
      <c r="AA17" s="6"/>
      <c r="AB17" s="6"/>
    </row>
    <row r="18" ht="21.0" customHeight="1">
      <c r="A18" s="32"/>
      <c r="B18" s="233" t="s">
        <v>569</v>
      </c>
      <c r="C18" s="234">
        <v>0.0</v>
      </c>
      <c r="D18" s="235"/>
      <c r="E18" s="200"/>
      <c r="F18" s="94"/>
      <c r="G18" s="218"/>
      <c r="H18" s="32"/>
      <c r="I18" s="32"/>
      <c r="J18" s="32"/>
      <c r="K18" s="13"/>
      <c r="L18" s="13"/>
      <c r="M18" s="13"/>
      <c r="N18" s="13"/>
      <c r="O18" s="13"/>
      <c r="P18" s="13"/>
      <c r="Q18" s="13"/>
      <c r="R18" s="13"/>
      <c r="S18" s="13"/>
      <c r="T18" s="13"/>
      <c r="U18" s="13"/>
      <c r="V18" s="13"/>
      <c r="W18" s="13"/>
      <c r="X18" s="6"/>
      <c r="Y18" s="6"/>
      <c r="Z18" s="6"/>
      <c r="AA18" s="6"/>
      <c r="AB18" s="6"/>
    </row>
    <row r="19" ht="21.0" customHeight="1">
      <c r="A19" s="230">
        <v>4.0</v>
      </c>
      <c r="B19" s="231" t="s">
        <v>678</v>
      </c>
      <c r="C19" s="16"/>
      <c r="D19" s="223"/>
      <c r="E19" s="45"/>
      <c r="F19" s="29"/>
      <c r="G19" s="218"/>
      <c r="H19" s="219" t="s">
        <v>679</v>
      </c>
      <c r="I19" s="219" t="s">
        <v>674</v>
      </c>
      <c r="J19" s="219" t="s">
        <v>680</v>
      </c>
      <c r="K19" s="6"/>
      <c r="L19" s="6"/>
      <c r="M19" s="6"/>
      <c r="N19" s="6"/>
      <c r="O19" s="6"/>
      <c r="P19" s="6"/>
      <c r="Q19" s="6"/>
      <c r="R19" s="6"/>
      <c r="S19" s="6"/>
      <c r="T19" s="6"/>
      <c r="U19" s="6"/>
      <c r="V19" s="6"/>
      <c r="W19" s="6"/>
      <c r="X19" s="6"/>
      <c r="Y19" s="6"/>
      <c r="Z19" s="6"/>
      <c r="AA19" s="6"/>
      <c r="AB19" s="6"/>
    </row>
    <row r="20" ht="24.0" customHeight="1">
      <c r="A20" s="24"/>
      <c r="B20" s="236" t="s">
        <v>681</v>
      </c>
      <c r="C20" s="237">
        <v>100.0</v>
      </c>
      <c r="D20" s="223">
        <v>100.0</v>
      </c>
      <c r="E20" s="106" t="s">
        <v>682</v>
      </c>
      <c r="F20" s="109"/>
      <c r="G20" s="218" t="s">
        <v>683</v>
      </c>
      <c r="H20" s="24"/>
      <c r="I20" s="24"/>
      <c r="J20" s="24"/>
      <c r="K20" s="6"/>
      <c r="L20" s="6"/>
      <c r="M20" s="6"/>
      <c r="N20" s="6"/>
      <c r="O20" s="6"/>
      <c r="P20" s="6"/>
      <c r="Q20" s="6"/>
      <c r="R20" s="6"/>
      <c r="S20" s="6"/>
      <c r="T20" s="6"/>
      <c r="U20" s="6"/>
      <c r="V20" s="6"/>
      <c r="W20" s="6"/>
      <c r="X20" s="6"/>
      <c r="Y20" s="6"/>
      <c r="Z20" s="6"/>
      <c r="AA20" s="6"/>
      <c r="AB20" s="6"/>
    </row>
    <row r="21" ht="21.0" customHeight="1">
      <c r="A21" s="24"/>
      <c r="B21" s="236" t="s">
        <v>684</v>
      </c>
      <c r="C21" s="237">
        <v>50.0</v>
      </c>
      <c r="D21" s="194"/>
      <c r="E21" s="197"/>
      <c r="F21" s="189"/>
      <c r="G21" s="218"/>
      <c r="H21" s="24"/>
      <c r="I21" s="24"/>
      <c r="J21" s="24"/>
      <c r="K21" s="6"/>
      <c r="L21" s="6"/>
      <c r="M21" s="6"/>
      <c r="N21" s="6"/>
      <c r="O21" s="6"/>
      <c r="P21" s="6"/>
      <c r="Q21" s="6"/>
      <c r="R21" s="6"/>
      <c r="S21" s="6"/>
      <c r="T21" s="6"/>
      <c r="U21" s="6"/>
      <c r="V21" s="6"/>
      <c r="W21" s="6"/>
      <c r="X21" s="6"/>
      <c r="Y21" s="6"/>
      <c r="Z21" s="6"/>
      <c r="AA21" s="6"/>
      <c r="AB21" s="6"/>
    </row>
    <row r="22" ht="21.0" customHeight="1">
      <c r="A22" s="24"/>
      <c r="B22" s="236" t="s">
        <v>685</v>
      </c>
      <c r="C22" s="237">
        <v>25.0</v>
      </c>
      <c r="D22" s="238"/>
      <c r="E22" s="197"/>
      <c r="F22" s="189"/>
      <c r="G22" s="218"/>
      <c r="H22" s="24"/>
      <c r="I22" s="24"/>
      <c r="J22" s="24"/>
      <c r="K22" s="6"/>
      <c r="L22" s="6"/>
      <c r="M22" s="6"/>
      <c r="N22" s="6"/>
      <c r="O22" s="6"/>
      <c r="P22" s="6"/>
      <c r="Q22" s="6"/>
      <c r="R22" s="6"/>
      <c r="S22" s="6"/>
      <c r="T22" s="6"/>
      <c r="U22" s="6"/>
      <c r="V22" s="6"/>
      <c r="W22" s="6"/>
      <c r="X22" s="6"/>
      <c r="Y22" s="6"/>
      <c r="Z22" s="6"/>
      <c r="AA22" s="6"/>
      <c r="AB22" s="6"/>
    </row>
    <row r="23" ht="21.0" customHeight="1">
      <c r="A23" s="32"/>
      <c r="B23" s="239" t="s">
        <v>686</v>
      </c>
      <c r="C23" s="237">
        <v>0.0</v>
      </c>
      <c r="D23" s="238"/>
      <c r="E23" s="197"/>
      <c r="F23" s="189">
        <v>0.0</v>
      </c>
      <c r="G23" s="218"/>
      <c r="H23" s="32"/>
      <c r="I23" s="32"/>
      <c r="J23" s="32"/>
      <c r="K23" s="6"/>
      <c r="L23" s="6"/>
      <c r="M23" s="6"/>
      <c r="N23" s="6"/>
      <c r="O23" s="6"/>
      <c r="P23" s="6"/>
      <c r="Q23" s="6"/>
      <c r="R23" s="6"/>
      <c r="S23" s="6"/>
      <c r="T23" s="6"/>
      <c r="U23" s="6"/>
      <c r="V23" s="6"/>
      <c r="W23" s="6"/>
      <c r="X23" s="6"/>
      <c r="Y23" s="6"/>
      <c r="Z23" s="6"/>
      <c r="AA23" s="6"/>
      <c r="AB23" s="6"/>
    </row>
    <row r="24" ht="45.0" customHeight="1">
      <c r="A24" s="240">
        <v>5.0</v>
      </c>
      <c r="B24" s="216" t="s">
        <v>687</v>
      </c>
      <c r="C24" s="16"/>
      <c r="D24" s="223"/>
      <c r="E24" s="197"/>
      <c r="F24" s="189"/>
      <c r="G24" s="218" t="s">
        <v>688</v>
      </c>
      <c r="H24" s="219" t="s">
        <v>689</v>
      </c>
      <c r="I24" s="219" t="s">
        <v>674</v>
      </c>
      <c r="J24" s="219" t="s">
        <v>690</v>
      </c>
      <c r="K24" s="6"/>
      <c r="L24" s="6"/>
      <c r="M24" s="6"/>
      <c r="N24" s="6"/>
      <c r="O24" s="6"/>
      <c r="P24" s="6"/>
      <c r="Q24" s="6"/>
      <c r="R24" s="6"/>
      <c r="S24" s="6"/>
      <c r="T24" s="6"/>
      <c r="U24" s="6"/>
      <c r="V24" s="6"/>
      <c r="W24" s="6"/>
      <c r="X24" s="6"/>
      <c r="Y24" s="6"/>
      <c r="Z24" s="6"/>
      <c r="AA24" s="6"/>
      <c r="AB24" s="6"/>
    </row>
    <row r="25" ht="23.25" customHeight="1">
      <c r="A25" s="24"/>
      <c r="B25" s="236" t="s">
        <v>223</v>
      </c>
      <c r="C25" s="237">
        <v>100.0</v>
      </c>
      <c r="D25" s="223">
        <v>100.0</v>
      </c>
      <c r="E25" s="241"/>
      <c r="F25" s="76"/>
      <c r="G25" s="218"/>
      <c r="H25" s="24"/>
      <c r="I25" s="24"/>
      <c r="J25" s="24"/>
      <c r="K25" s="6"/>
      <c r="L25" s="6"/>
      <c r="M25" s="6"/>
      <c r="N25" s="6"/>
      <c r="O25" s="6"/>
      <c r="P25" s="6"/>
      <c r="Q25" s="6"/>
      <c r="R25" s="6"/>
      <c r="S25" s="6"/>
      <c r="T25" s="6"/>
      <c r="U25" s="6"/>
      <c r="V25" s="6"/>
      <c r="W25" s="6"/>
      <c r="X25" s="6"/>
      <c r="Y25" s="6"/>
      <c r="Z25" s="6"/>
      <c r="AA25" s="6"/>
      <c r="AB25" s="6"/>
    </row>
    <row r="26" ht="21.0" customHeight="1">
      <c r="A26" s="24"/>
      <c r="B26" s="236" t="s">
        <v>684</v>
      </c>
      <c r="C26" s="237">
        <v>50.0</v>
      </c>
      <c r="D26" s="194"/>
      <c r="E26" s="197"/>
      <c r="F26" s="189"/>
      <c r="G26" s="218"/>
      <c r="H26" s="24"/>
      <c r="I26" s="24"/>
      <c r="J26" s="24"/>
      <c r="K26" s="6"/>
      <c r="L26" s="6"/>
      <c r="M26" s="6"/>
      <c r="N26" s="6"/>
      <c r="O26" s="6"/>
      <c r="P26" s="6"/>
      <c r="Q26" s="6"/>
      <c r="R26" s="6"/>
      <c r="S26" s="6"/>
      <c r="T26" s="6"/>
      <c r="U26" s="6"/>
      <c r="V26" s="6"/>
      <c r="W26" s="6"/>
      <c r="X26" s="6"/>
      <c r="Y26" s="6"/>
      <c r="Z26" s="6"/>
      <c r="AA26" s="6"/>
      <c r="AB26" s="6"/>
    </row>
    <row r="27" ht="21.0" customHeight="1">
      <c r="A27" s="24"/>
      <c r="B27" s="236" t="s">
        <v>685</v>
      </c>
      <c r="C27" s="237">
        <v>25.0</v>
      </c>
      <c r="D27" s="238"/>
      <c r="E27" s="197"/>
      <c r="F27" s="189"/>
      <c r="G27" s="218"/>
      <c r="H27" s="24"/>
      <c r="I27" s="24"/>
      <c r="J27" s="24"/>
      <c r="K27" s="6"/>
      <c r="L27" s="6"/>
      <c r="M27" s="6"/>
      <c r="N27" s="6"/>
      <c r="O27" s="6"/>
      <c r="P27" s="6"/>
      <c r="Q27" s="6"/>
      <c r="R27" s="6"/>
      <c r="S27" s="6"/>
      <c r="T27" s="6"/>
      <c r="U27" s="6"/>
      <c r="V27" s="6"/>
      <c r="W27" s="6"/>
      <c r="X27" s="6"/>
      <c r="Y27" s="6"/>
      <c r="Z27" s="6"/>
      <c r="AA27" s="6"/>
      <c r="AB27" s="6"/>
    </row>
    <row r="28" ht="21.0" customHeight="1">
      <c r="A28" s="32"/>
      <c r="B28" s="239" t="s">
        <v>686</v>
      </c>
      <c r="C28" s="237">
        <v>0.0</v>
      </c>
      <c r="D28" s="238"/>
      <c r="E28" s="197"/>
      <c r="F28" s="189">
        <v>0.0</v>
      </c>
      <c r="G28" s="218"/>
      <c r="H28" s="32"/>
      <c r="I28" s="32"/>
      <c r="J28" s="32"/>
      <c r="K28" s="6"/>
      <c r="L28" s="6"/>
      <c r="M28" s="6"/>
      <c r="N28" s="6"/>
      <c r="O28" s="6"/>
      <c r="P28" s="6"/>
      <c r="Q28" s="6"/>
      <c r="R28" s="6"/>
      <c r="S28" s="6"/>
      <c r="T28" s="6"/>
      <c r="U28" s="6"/>
      <c r="V28" s="6"/>
      <c r="W28" s="6"/>
      <c r="X28" s="6"/>
      <c r="Y28" s="6"/>
      <c r="Z28" s="6"/>
      <c r="AA28" s="6"/>
      <c r="AB28" s="6"/>
    </row>
    <row r="29" ht="21.0" customHeight="1">
      <c r="A29" s="240">
        <v>6.0</v>
      </c>
      <c r="B29" s="216" t="s">
        <v>691</v>
      </c>
      <c r="C29" s="16"/>
      <c r="D29" s="223">
        <v>100.0</v>
      </c>
      <c r="E29" s="106" t="s">
        <v>692</v>
      </c>
      <c r="F29" s="189"/>
      <c r="G29" s="218" t="s">
        <v>693</v>
      </c>
      <c r="H29" s="219" t="s">
        <v>694</v>
      </c>
      <c r="I29" s="219" t="s">
        <v>695</v>
      </c>
      <c r="J29" s="219" t="s">
        <v>690</v>
      </c>
      <c r="K29" s="6"/>
      <c r="L29" s="6"/>
      <c r="M29" s="6"/>
      <c r="N29" s="6"/>
      <c r="O29" s="6"/>
      <c r="P29" s="6"/>
      <c r="Q29" s="6"/>
      <c r="R29" s="6"/>
      <c r="S29" s="6"/>
      <c r="T29" s="6"/>
      <c r="U29" s="6"/>
      <c r="V29" s="6"/>
      <c r="W29" s="6"/>
      <c r="X29" s="6"/>
      <c r="Y29" s="6"/>
      <c r="Z29" s="6"/>
      <c r="AA29" s="6"/>
      <c r="AB29" s="6"/>
    </row>
    <row r="30" ht="40.5" customHeight="1">
      <c r="A30" s="24"/>
      <c r="B30" s="236" t="s">
        <v>696</v>
      </c>
      <c r="C30" s="237">
        <v>100.0</v>
      </c>
      <c r="D30" s="242"/>
      <c r="E30" s="106" t="s">
        <v>697</v>
      </c>
      <c r="F30" s="109"/>
      <c r="G30" s="218"/>
      <c r="H30" s="24"/>
      <c r="I30" s="24"/>
      <c r="J30" s="24"/>
      <c r="K30" s="6"/>
      <c r="L30" s="6"/>
      <c r="M30" s="6"/>
      <c r="N30" s="6"/>
      <c r="O30" s="6"/>
      <c r="P30" s="6"/>
      <c r="Q30" s="6"/>
      <c r="R30" s="6"/>
      <c r="S30" s="6"/>
      <c r="T30" s="6"/>
      <c r="U30" s="6"/>
      <c r="V30" s="6"/>
      <c r="W30" s="6"/>
      <c r="X30" s="6"/>
      <c r="Y30" s="6"/>
      <c r="Z30" s="6"/>
      <c r="AA30" s="6"/>
      <c r="AB30" s="6"/>
    </row>
    <row r="31" ht="21.0" customHeight="1">
      <c r="A31" s="24"/>
      <c r="B31" s="236" t="s">
        <v>698</v>
      </c>
      <c r="C31" s="237">
        <v>50.0</v>
      </c>
      <c r="D31" s="194"/>
      <c r="E31" s="106" t="s">
        <v>699</v>
      </c>
      <c r="F31" s="189"/>
      <c r="G31" s="218"/>
      <c r="H31" s="24"/>
      <c r="I31" s="24"/>
      <c r="J31" s="24"/>
      <c r="K31" s="6"/>
      <c r="L31" s="6"/>
      <c r="M31" s="6"/>
      <c r="N31" s="6"/>
      <c r="O31" s="6"/>
      <c r="P31" s="6"/>
      <c r="Q31" s="6"/>
      <c r="R31" s="6"/>
      <c r="S31" s="6"/>
      <c r="T31" s="6"/>
      <c r="U31" s="6"/>
      <c r="V31" s="6"/>
      <c r="W31" s="6"/>
      <c r="X31" s="6"/>
      <c r="Y31" s="6"/>
      <c r="Z31" s="6"/>
      <c r="AA31" s="6"/>
      <c r="AB31" s="6"/>
    </row>
    <row r="32" ht="21.0" customHeight="1">
      <c r="A32" s="24"/>
      <c r="B32" s="236" t="s">
        <v>700</v>
      </c>
      <c r="C32" s="237">
        <v>25.0</v>
      </c>
      <c r="D32" s="194"/>
      <c r="E32" s="106" t="s">
        <v>701</v>
      </c>
      <c r="F32" s="189"/>
      <c r="G32" s="218"/>
      <c r="H32" s="24"/>
      <c r="I32" s="24"/>
      <c r="J32" s="24"/>
      <c r="K32" s="6"/>
      <c r="L32" s="6"/>
      <c r="M32" s="6"/>
      <c r="N32" s="6"/>
      <c r="O32" s="6"/>
      <c r="P32" s="6"/>
      <c r="Q32" s="6"/>
      <c r="R32" s="6"/>
      <c r="S32" s="6"/>
      <c r="T32" s="6"/>
      <c r="U32" s="6"/>
      <c r="V32" s="6"/>
      <c r="W32" s="6"/>
      <c r="X32" s="6"/>
      <c r="Y32" s="6"/>
      <c r="Z32" s="6"/>
      <c r="AA32" s="6"/>
      <c r="AB32" s="6"/>
    </row>
    <row r="33" ht="21.0" customHeight="1">
      <c r="A33" s="32"/>
      <c r="B33" s="239" t="s">
        <v>702</v>
      </c>
      <c r="C33" s="237">
        <v>0.0</v>
      </c>
      <c r="D33" s="238"/>
      <c r="E33" s="197"/>
      <c r="F33" s="189">
        <v>0.0</v>
      </c>
      <c r="G33" s="218"/>
      <c r="H33" s="32"/>
      <c r="I33" s="32"/>
      <c r="J33" s="32"/>
      <c r="K33" s="6"/>
      <c r="L33" s="6"/>
      <c r="M33" s="6"/>
      <c r="N33" s="6"/>
      <c r="O33" s="6"/>
      <c r="P33" s="6"/>
      <c r="Q33" s="6"/>
      <c r="R33" s="6"/>
      <c r="S33" s="6"/>
      <c r="T33" s="6"/>
      <c r="U33" s="6"/>
      <c r="V33" s="6"/>
      <c r="W33" s="6"/>
      <c r="X33" s="6"/>
      <c r="Y33" s="6"/>
      <c r="Z33" s="6"/>
      <c r="AA33" s="6"/>
      <c r="AB33" s="6"/>
    </row>
    <row r="34" ht="30.75" customHeight="1">
      <c r="A34" s="240">
        <v>7.0</v>
      </c>
      <c r="B34" s="243" t="s">
        <v>703</v>
      </c>
      <c r="C34" s="16"/>
      <c r="D34" s="223">
        <v>100.0</v>
      </c>
      <c r="E34" s="197"/>
      <c r="F34" s="189"/>
      <c r="G34" s="218"/>
      <c r="H34" s="219" t="s">
        <v>704</v>
      </c>
      <c r="I34" s="219" t="s">
        <v>705</v>
      </c>
      <c r="J34" s="219" t="s">
        <v>690</v>
      </c>
      <c r="K34" s="6"/>
      <c r="L34" s="6"/>
      <c r="M34" s="6"/>
      <c r="N34" s="6"/>
      <c r="O34" s="6"/>
      <c r="P34" s="6"/>
      <c r="Q34" s="6"/>
      <c r="R34" s="6"/>
      <c r="S34" s="6"/>
      <c r="T34" s="6"/>
      <c r="U34" s="6"/>
      <c r="V34" s="6"/>
      <c r="W34" s="6"/>
      <c r="X34" s="6"/>
      <c r="Y34" s="6"/>
      <c r="Z34" s="6"/>
      <c r="AA34" s="6"/>
      <c r="AB34" s="6"/>
    </row>
    <row r="35" ht="22.5" customHeight="1">
      <c r="A35" s="24"/>
      <c r="B35" s="236" t="s">
        <v>681</v>
      </c>
      <c r="C35" s="237">
        <v>100.0</v>
      </c>
      <c r="D35" s="242"/>
      <c r="E35" s="106" t="s">
        <v>706</v>
      </c>
      <c r="F35" s="76"/>
      <c r="G35" s="218" t="s">
        <v>707</v>
      </c>
      <c r="H35" s="24"/>
      <c r="I35" s="24"/>
      <c r="J35" s="24"/>
      <c r="K35" s="6"/>
      <c r="L35" s="6"/>
      <c r="M35" s="6"/>
      <c r="N35" s="6"/>
      <c r="O35" s="6"/>
      <c r="P35" s="6"/>
      <c r="Q35" s="6"/>
      <c r="R35" s="6"/>
      <c r="S35" s="6"/>
      <c r="T35" s="6"/>
      <c r="U35" s="6"/>
      <c r="V35" s="6"/>
      <c r="W35" s="6"/>
      <c r="X35" s="6"/>
      <c r="Y35" s="6"/>
      <c r="Z35" s="6"/>
      <c r="AA35" s="6"/>
      <c r="AB35" s="6"/>
    </row>
    <row r="36" ht="21.0" customHeight="1">
      <c r="A36" s="24"/>
      <c r="B36" s="236" t="s">
        <v>684</v>
      </c>
      <c r="C36" s="237">
        <v>50.0</v>
      </c>
      <c r="D36" s="238"/>
      <c r="E36" s="106" t="s">
        <v>708</v>
      </c>
      <c r="F36" s="189"/>
      <c r="G36" s="218"/>
      <c r="H36" s="24"/>
      <c r="I36" s="24"/>
      <c r="J36" s="24"/>
      <c r="K36" s="6"/>
      <c r="L36" s="6"/>
      <c r="M36" s="6"/>
      <c r="N36" s="6"/>
      <c r="O36" s="6"/>
      <c r="P36" s="6"/>
      <c r="Q36" s="6"/>
      <c r="R36" s="6"/>
      <c r="S36" s="6"/>
      <c r="T36" s="6"/>
      <c r="U36" s="6"/>
      <c r="V36" s="6"/>
      <c r="W36" s="6"/>
      <c r="X36" s="6"/>
      <c r="Y36" s="6"/>
      <c r="Z36" s="6"/>
      <c r="AA36" s="6"/>
      <c r="AB36" s="6"/>
    </row>
    <row r="37" ht="21.0" customHeight="1">
      <c r="A37" s="24"/>
      <c r="B37" s="236" t="s">
        <v>685</v>
      </c>
      <c r="C37" s="237">
        <v>25.0</v>
      </c>
      <c r="D37" s="194"/>
      <c r="E37" s="106" t="s">
        <v>709</v>
      </c>
      <c r="F37" s="189"/>
      <c r="G37" s="218"/>
      <c r="H37" s="24"/>
      <c r="I37" s="24"/>
      <c r="J37" s="24"/>
      <c r="K37" s="6"/>
      <c r="L37" s="6"/>
      <c r="M37" s="6"/>
      <c r="N37" s="6"/>
      <c r="O37" s="6"/>
      <c r="P37" s="6"/>
      <c r="Q37" s="6"/>
      <c r="R37" s="6"/>
      <c r="S37" s="6"/>
      <c r="T37" s="6"/>
      <c r="U37" s="6"/>
      <c r="V37" s="6"/>
      <c r="W37" s="6"/>
      <c r="X37" s="6"/>
      <c r="Y37" s="6"/>
      <c r="Z37" s="6"/>
      <c r="AA37" s="6"/>
      <c r="AB37" s="6"/>
    </row>
    <row r="38" ht="21.0" customHeight="1">
      <c r="A38" s="32"/>
      <c r="B38" s="239" t="s">
        <v>686</v>
      </c>
      <c r="C38" s="237">
        <v>0.0</v>
      </c>
      <c r="D38" s="194"/>
      <c r="E38" s="197"/>
      <c r="F38" s="189">
        <v>0.0</v>
      </c>
      <c r="G38" s="218"/>
      <c r="H38" s="32"/>
      <c r="I38" s="32"/>
      <c r="J38" s="32"/>
      <c r="K38" s="6"/>
      <c r="L38" s="6"/>
      <c r="M38" s="6"/>
      <c r="N38" s="6"/>
      <c r="O38" s="6"/>
      <c r="P38" s="6"/>
      <c r="Q38" s="6"/>
      <c r="R38" s="6"/>
      <c r="S38" s="6"/>
      <c r="T38" s="6"/>
      <c r="U38" s="6"/>
      <c r="V38" s="6"/>
      <c r="W38" s="6"/>
      <c r="X38" s="6"/>
      <c r="Y38" s="6"/>
      <c r="Z38" s="6"/>
      <c r="AA38" s="6"/>
      <c r="AB38" s="6"/>
    </row>
    <row r="39" ht="21.0" customHeight="1">
      <c r="A39" s="240">
        <v>8.0</v>
      </c>
      <c r="B39" s="226" t="s">
        <v>710</v>
      </c>
      <c r="C39" s="16"/>
      <c r="D39" s="223"/>
      <c r="E39" s="232"/>
      <c r="F39" s="189"/>
      <c r="G39" s="218" t="s">
        <v>711</v>
      </c>
      <c r="H39" s="219" t="s">
        <v>712</v>
      </c>
      <c r="I39" s="219" t="s">
        <v>695</v>
      </c>
      <c r="J39" s="219" t="s">
        <v>690</v>
      </c>
      <c r="K39" s="6"/>
      <c r="L39" s="6"/>
      <c r="M39" s="6"/>
      <c r="N39" s="6"/>
      <c r="O39" s="6"/>
      <c r="P39" s="6"/>
      <c r="Q39" s="6"/>
      <c r="R39" s="6"/>
      <c r="S39" s="6"/>
      <c r="T39" s="6"/>
      <c r="U39" s="6"/>
      <c r="V39" s="6"/>
      <c r="W39" s="6"/>
      <c r="X39" s="6"/>
      <c r="Y39" s="6"/>
      <c r="Z39" s="6"/>
      <c r="AA39" s="6"/>
      <c r="AB39" s="6"/>
    </row>
    <row r="40" ht="23.25" customHeight="1">
      <c r="A40" s="24"/>
      <c r="B40" s="236" t="s">
        <v>681</v>
      </c>
      <c r="C40" s="237">
        <v>100.0</v>
      </c>
      <c r="D40" s="223">
        <v>100.0</v>
      </c>
      <c r="E40" s="106" t="s">
        <v>713</v>
      </c>
      <c r="F40" s="109"/>
      <c r="G40" s="218"/>
      <c r="H40" s="24"/>
      <c r="I40" s="24"/>
      <c r="J40" s="24"/>
      <c r="K40" s="6"/>
      <c r="L40" s="6"/>
      <c r="M40" s="6"/>
      <c r="N40" s="6"/>
      <c r="O40" s="6"/>
      <c r="P40" s="6"/>
      <c r="Q40" s="6"/>
      <c r="R40" s="6"/>
      <c r="S40" s="6"/>
      <c r="T40" s="6"/>
      <c r="U40" s="6"/>
      <c r="V40" s="6"/>
      <c r="W40" s="6"/>
      <c r="X40" s="6"/>
      <c r="Y40" s="6"/>
      <c r="Z40" s="6"/>
      <c r="AA40" s="6"/>
      <c r="AB40" s="6"/>
    </row>
    <row r="41" ht="21.0" customHeight="1">
      <c r="A41" s="24"/>
      <c r="B41" s="236" t="s">
        <v>684</v>
      </c>
      <c r="C41" s="237">
        <v>50.0</v>
      </c>
      <c r="D41" s="238"/>
      <c r="E41" s="106" t="s">
        <v>714</v>
      </c>
      <c r="F41" s="189"/>
      <c r="G41" s="218"/>
      <c r="H41" s="24"/>
      <c r="I41" s="24"/>
      <c r="J41" s="24"/>
      <c r="K41" s="6"/>
      <c r="L41" s="6"/>
      <c r="M41" s="6"/>
      <c r="N41" s="6"/>
      <c r="O41" s="6"/>
      <c r="P41" s="6"/>
      <c r="Q41" s="6"/>
      <c r="R41" s="6"/>
      <c r="S41" s="6"/>
      <c r="T41" s="6"/>
      <c r="U41" s="6"/>
      <c r="V41" s="6"/>
      <c r="W41" s="6"/>
      <c r="X41" s="6"/>
      <c r="Y41" s="6"/>
      <c r="Z41" s="6"/>
      <c r="AA41" s="6"/>
      <c r="AB41" s="6"/>
    </row>
    <row r="42" ht="21.0" customHeight="1">
      <c r="A42" s="24"/>
      <c r="B42" s="236" t="s">
        <v>685</v>
      </c>
      <c r="C42" s="237">
        <v>25.0</v>
      </c>
      <c r="D42" s="194"/>
      <c r="E42" s="197"/>
      <c r="F42" s="189"/>
      <c r="G42" s="218"/>
      <c r="H42" s="24"/>
      <c r="I42" s="24"/>
      <c r="J42" s="24"/>
      <c r="K42" s="6"/>
      <c r="L42" s="6"/>
      <c r="M42" s="6"/>
      <c r="N42" s="6"/>
      <c r="O42" s="6"/>
      <c r="P42" s="6"/>
      <c r="Q42" s="6"/>
      <c r="R42" s="6"/>
      <c r="S42" s="6"/>
      <c r="T42" s="6"/>
      <c r="U42" s="6"/>
      <c r="V42" s="6"/>
      <c r="W42" s="6"/>
      <c r="X42" s="6"/>
      <c r="Y42" s="6"/>
      <c r="Z42" s="6"/>
      <c r="AA42" s="6"/>
      <c r="AB42" s="6"/>
    </row>
    <row r="43" ht="21.0" customHeight="1">
      <c r="A43" s="32"/>
      <c r="B43" s="239" t="s">
        <v>686</v>
      </c>
      <c r="C43" s="237">
        <v>0.0</v>
      </c>
      <c r="D43" s="238"/>
      <c r="E43" s="197"/>
      <c r="F43" s="189">
        <v>0.0</v>
      </c>
      <c r="G43" s="218"/>
      <c r="H43" s="32"/>
      <c r="I43" s="32"/>
      <c r="J43" s="32"/>
      <c r="K43" s="6"/>
      <c r="L43" s="6"/>
      <c r="M43" s="6"/>
      <c r="N43" s="6"/>
      <c r="O43" s="6"/>
      <c r="P43" s="6"/>
      <c r="Q43" s="6"/>
      <c r="R43" s="6"/>
      <c r="S43" s="6"/>
      <c r="T43" s="6"/>
      <c r="U43" s="6"/>
      <c r="V43" s="6"/>
      <c r="W43" s="6"/>
      <c r="X43" s="6"/>
      <c r="Y43" s="6"/>
      <c r="Z43" s="6"/>
      <c r="AA43" s="6"/>
      <c r="AB43" s="6"/>
    </row>
    <row r="44" ht="21.0" customHeight="1">
      <c r="A44" s="240">
        <v>9.0</v>
      </c>
      <c r="B44" s="244" t="s">
        <v>715</v>
      </c>
      <c r="C44" s="16"/>
      <c r="D44" s="238"/>
      <c r="E44" s="197"/>
      <c r="F44" s="189"/>
      <c r="G44" s="218" t="s">
        <v>693</v>
      </c>
      <c r="H44" s="219" t="s">
        <v>716</v>
      </c>
      <c r="I44" s="219" t="s">
        <v>705</v>
      </c>
      <c r="J44" s="219" t="s">
        <v>690</v>
      </c>
      <c r="K44" s="6"/>
      <c r="L44" s="6"/>
      <c r="M44" s="6"/>
      <c r="N44" s="6"/>
      <c r="O44" s="6"/>
      <c r="P44" s="6"/>
      <c r="Q44" s="6"/>
      <c r="R44" s="6"/>
      <c r="S44" s="6"/>
      <c r="T44" s="6"/>
      <c r="U44" s="6"/>
      <c r="V44" s="6"/>
      <c r="W44" s="6"/>
      <c r="X44" s="6"/>
      <c r="Y44" s="6"/>
      <c r="Z44" s="6"/>
      <c r="AA44" s="6"/>
      <c r="AB44" s="6"/>
    </row>
    <row r="45" ht="40.5" customHeight="1">
      <c r="A45" s="24"/>
      <c r="B45" s="236" t="s">
        <v>681</v>
      </c>
      <c r="C45" s="237">
        <v>100.0</v>
      </c>
      <c r="D45" s="223">
        <v>100.0</v>
      </c>
      <c r="E45" s="106" t="s">
        <v>717</v>
      </c>
      <c r="F45" s="109"/>
      <c r="G45" s="218"/>
      <c r="H45" s="24"/>
      <c r="I45" s="24"/>
      <c r="J45" s="24"/>
      <c r="K45" s="6"/>
      <c r="L45" s="6"/>
      <c r="M45" s="6"/>
      <c r="N45" s="6"/>
      <c r="O45" s="6"/>
      <c r="P45" s="6"/>
      <c r="Q45" s="6"/>
      <c r="R45" s="6"/>
      <c r="S45" s="6"/>
      <c r="T45" s="6"/>
      <c r="U45" s="6"/>
      <c r="V45" s="6"/>
      <c r="W45" s="6"/>
      <c r="X45" s="6"/>
      <c r="Y45" s="6"/>
      <c r="Z45" s="6"/>
      <c r="AA45" s="6"/>
      <c r="AB45" s="6"/>
    </row>
    <row r="46" ht="21.0" customHeight="1">
      <c r="A46" s="24"/>
      <c r="B46" s="236" t="s">
        <v>684</v>
      </c>
      <c r="C46" s="237">
        <v>50.0</v>
      </c>
      <c r="D46" s="194"/>
      <c r="E46" s="106" t="s">
        <v>718</v>
      </c>
      <c r="F46" s="189"/>
      <c r="G46" s="218"/>
      <c r="H46" s="24"/>
      <c r="I46" s="24"/>
      <c r="J46" s="24"/>
      <c r="K46" s="6"/>
      <c r="L46" s="6"/>
      <c r="M46" s="6"/>
      <c r="N46" s="6"/>
      <c r="O46" s="6"/>
      <c r="P46" s="6"/>
      <c r="Q46" s="6"/>
      <c r="R46" s="6"/>
      <c r="S46" s="6"/>
      <c r="T46" s="6"/>
      <c r="U46" s="6"/>
      <c r="V46" s="6"/>
      <c r="W46" s="6"/>
      <c r="X46" s="6"/>
      <c r="Y46" s="6"/>
      <c r="Z46" s="6"/>
      <c r="AA46" s="6"/>
      <c r="AB46" s="6"/>
    </row>
    <row r="47" ht="21.0" customHeight="1">
      <c r="A47" s="24"/>
      <c r="B47" s="236" t="s">
        <v>685</v>
      </c>
      <c r="C47" s="237">
        <v>25.0</v>
      </c>
      <c r="D47" s="194"/>
      <c r="E47" s="106" t="s">
        <v>719</v>
      </c>
      <c r="F47" s="189"/>
      <c r="G47" s="218"/>
      <c r="H47" s="24"/>
      <c r="I47" s="24"/>
      <c r="J47" s="24"/>
      <c r="K47" s="6"/>
      <c r="L47" s="6"/>
      <c r="M47" s="6"/>
      <c r="N47" s="6"/>
      <c r="O47" s="6"/>
      <c r="P47" s="6"/>
      <c r="Q47" s="6"/>
      <c r="R47" s="6"/>
      <c r="S47" s="6"/>
      <c r="T47" s="6"/>
      <c r="U47" s="6"/>
      <c r="V47" s="6"/>
      <c r="W47" s="6"/>
      <c r="X47" s="6"/>
      <c r="Y47" s="6"/>
      <c r="Z47" s="6"/>
      <c r="AA47" s="6"/>
      <c r="AB47" s="6"/>
    </row>
    <row r="48" ht="21.0" customHeight="1">
      <c r="A48" s="32"/>
      <c r="B48" s="239" t="s">
        <v>686</v>
      </c>
      <c r="C48" s="237">
        <v>0.0</v>
      </c>
      <c r="D48" s="194"/>
      <c r="E48" s="197"/>
      <c r="F48" s="189">
        <v>0.0</v>
      </c>
      <c r="G48" s="218"/>
      <c r="H48" s="32"/>
      <c r="I48" s="32"/>
      <c r="J48" s="32"/>
      <c r="K48" s="6"/>
      <c r="L48" s="6"/>
      <c r="M48" s="6"/>
      <c r="N48" s="6"/>
      <c r="O48" s="6"/>
      <c r="P48" s="6"/>
      <c r="Q48" s="6"/>
      <c r="R48" s="6"/>
      <c r="S48" s="6"/>
      <c r="T48" s="6"/>
      <c r="U48" s="6"/>
      <c r="V48" s="6"/>
      <c r="W48" s="6"/>
      <c r="X48" s="6"/>
      <c r="Y48" s="6"/>
      <c r="Z48" s="6"/>
      <c r="AA48" s="6"/>
      <c r="AB48" s="6"/>
    </row>
    <row r="49" ht="39.0" customHeight="1">
      <c r="A49" s="240">
        <v>10.0</v>
      </c>
      <c r="B49" s="243" t="s">
        <v>720</v>
      </c>
      <c r="C49" s="16"/>
      <c r="D49" s="194"/>
      <c r="E49" s="197"/>
      <c r="F49" s="189"/>
      <c r="G49" s="218" t="s">
        <v>693</v>
      </c>
      <c r="H49" s="219" t="s">
        <v>721</v>
      </c>
      <c r="I49" s="219" t="s">
        <v>705</v>
      </c>
      <c r="J49" s="219" t="s">
        <v>690</v>
      </c>
      <c r="K49" s="6"/>
      <c r="L49" s="6"/>
      <c r="M49" s="6"/>
      <c r="N49" s="6"/>
      <c r="O49" s="6"/>
      <c r="P49" s="6"/>
      <c r="Q49" s="6"/>
      <c r="R49" s="6"/>
      <c r="S49" s="6"/>
      <c r="T49" s="6"/>
      <c r="U49" s="6"/>
      <c r="V49" s="6"/>
      <c r="W49" s="6"/>
      <c r="X49" s="6"/>
      <c r="Y49" s="6"/>
      <c r="Z49" s="6"/>
      <c r="AA49" s="6"/>
      <c r="AB49" s="6"/>
    </row>
    <row r="50" ht="18.75" customHeight="1">
      <c r="A50" s="24"/>
      <c r="B50" s="236" t="s">
        <v>681</v>
      </c>
      <c r="C50" s="237">
        <v>100.0</v>
      </c>
      <c r="D50" s="225"/>
      <c r="E50" s="245"/>
      <c r="F50" s="204"/>
      <c r="G50" s="218"/>
      <c r="H50" s="24"/>
      <c r="I50" s="24"/>
      <c r="J50" s="24"/>
      <c r="K50" s="6"/>
      <c r="L50" s="6"/>
      <c r="M50" s="6"/>
      <c r="N50" s="6"/>
      <c r="O50" s="6"/>
      <c r="P50" s="6"/>
      <c r="Q50" s="6"/>
      <c r="R50" s="6"/>
      <c r="S50" s="6"/>
      <c r="T50" s="6"/>
      <c r="U50" s="6"/>
      <c r="V50" s="6"/>
      <c r="W50" s="6"/>
      <c r="X50" s="6"/>
      <c r="Y50" s="6"/>
      <c r="Z50" s="6"/>
      <c r="AA50" s="6"/>
      <c r="AB50" s="6"/>
    </row>
    <row r="51" ht="21.0" customHeight="1">
      <c r="A51" s="24"/>
      <c r="B51" s="236" t="s">
        <v>684</v>
      </c>
      <c r="C51" s="237">
        <v>50.0</v>
      </c>
      <c r="D51" s="194">
        <v>50.0</v>
      </c>
      <c r="E51" s="106" t="s">
        <v>717</v>
      </c>
      <c r="F51" s="189"/>
      <c r="G51" s="218"/>
      <c r="H51" s="24"/>
      <c r="I51" s="24"/>
      <c r="J51" s="24"/>
      <c r="K51" s="6"/>
      <c r="L51" s="6"/>
      <c r="M51" s="6"/>
      <c r="N51" s="6"/>
      <c r="O51" s="6"/>
      <c r="P51" s="6"/>
      <c r="Q51" s="6"/>
      <c r="R51" s="6"/>
      <c r="S51" s="6"/>
      <c r="T51" s="6"/>
      <c r="U51" s="6"/>
      <c r="V51" s="6"/>
      <c r="W51" s="6"/>
      <c r="X51" s="6"/>
      <c r="Y51" s="6"/>
      <c r="Z51" s="6"/>
      <c r="AA51" s="6"/>
      <c r="AB51" s="6"/>
    </row>
    <row r="52" ht="21.0" customHeight="1">
      <c r="A52" s="24"/>
      <c r="B52" s="236" t="s">
        <v>685</v>
      </c>
      <c r="C52" s="237">
        <v>25.0</v>
      </c>
      <c r="D52" s="223"/>
      <c r="E52" s="232"/>
      <c r="F52" s="189"/>
      <c r="G52" s="218"/>
      <c r="H52" s="24"/>
      <c r="I52" s="24"/>
      <c r="J52" s="24"/>
      <c r="K52" s="6"/>
      <c r="L52" s="6"/>
      <c r="M52" s="6"/>
      <c r="N52" s="6"/>
      <c r="O52" s="6"/>
      <c r="P52" s="6"/>
      <c r="Q52" s="6"/>
      <c r="R52" s="6"/>
      <c r="S52" s="6"/>
      <c r="T52" s="6"/>
      <c r="U52" s="6"/>
      <c r="V52" s="6"/>
      <c r="W52" s="6"/>
      <c r="X52" s="6"/>
      <c r="Y52" s="6"/>
      <c r="Z52" s="6"/>
      <c r="AA52" s="6"/>
      <c r="AB52" s="6"/>
    </row>
    <row r="53" ht="21.0" customHeight="1">
      <c r="A53" s="32"/>
      <c r="B53" s="239" t="s">
        <v>686</v>
      </c>
      <c r="C53" s="237">
        <v>0.0</v>
      </c>
      <c r="D53" s="194"/>
      <c r="E53" s="197"/>
      <c r="F53" s="189">
        <v>0.0</v>
      </c>
      <c r="G53" s="218"/>
      <c r="H53" s="32"/>
      <c r="I53" s="32"/>
      <c r="J53" s="32"/>
      <c r="K53" s="6"/>
      <c r="L53" s="6"/>
      <c r="M53" s="6"/>
      <c r="N53" s="6"/>
      <c r="O53" s="6"/>
      <c r="P53" s="6"/>
      <c r="Q53" s="6"/>
      <c r="R53" s="6"/>
      <c r="S53" s="6"/>
      <c r="T53" s="6"/>
      <c r="U53" s="6"/>
      <c r="V53" s="6"/>
      <c r="W53" s="6"/>
      <c r="X53" s="6"/>
      <c r="Y53" s="6"/>
      <c r="Z53" s="6"/>
      <c r="AA53" s="6"/>
      <c r="AB53" s="6"/>
    </row>
    <row r="54" ht="26.25" customHeight="1">
      <c r="A54" s="240">
        <v>11.0</v>
      </c>
      <c r="B54" s="246" t="s">
        <v>722</v>
      </c>
      <c r="C54" s="16"/>
      <c r="D54" s="194"/>
      <c r="E54" s="197"/>
      <c r="F54" s="189"/>
      <c r="G54" s="219" t="s">
        <v>723</v>
      </c>
      <c r="H54" s="219" t="s">
        <v>724</v>
      </c>
      <c r="I54" s="219" t="s">
        <v>705</v>
      </c>
      <c r="J54" s="219" t="s">
        <v>690</v>
      </c>
      <c r="K54" s="6"/>
      <c r="L54" s="6"/>
      <c r="M54" s="6"/>
      <c r="N54" s="6"/>
      <c r="O54" s="6"/>
      <c r="P54" s="6"/>
      <c r="Q54" s="6"/>
      <c r="R54" s="6"/>
      <c r="S54" s="6"/>
      <c r="T54" s="6"/>
      <c r="U54" s="6"/>
      <c r="V54" s="6"/>
      <c r="W54" s="6"/>
      <c r="X54" s="6"/>
      <c r="Y54" s="6"/>
      <c r="Z54" s="6"/>
      <c r="AA54" s="6"/>
      <c r="AB54" s="6"/>
    </row>
    <row r="55" ht="24.75" customHeight="1">
      <c r="A55" s="24"/>
      <c r="B55" s="236" t="s">
        <v>681</v>
      </c>
      <c r="C55" s="237">
        <v>100.0</v>
      </c>
      <c r="D55" s="223">
        <v>100.0</v>
      </c>
      <c r="E55" s="106" t="s">
        <v>725</v>
      </c>
      <c r="F55" s="109"/>
      <c r="G55" s="24"/>
      <c r="H55" s="24"/>
      <c r="I55" s="24"/>
      <c r="J55" s="24"/>
      <c r="K55" s="6"/>
      <c r="L55" s="6"/>
      <c r="M55" s="6"/>
      <c r="N55" s="6"/>
      <c r="O55" s="6"/>
      <c r="P55" s="6"/>
      <c r="Q55" s="6"/>
      <c r="R55" s="6"/>
      <c r="S55" s="6"/>
      <c r="T55" s="6"/>
      <c r="U55" s="6"/>
      <c r="V55" s="6"/>
      <c r="W55" s="6"/>
      <c r="X55" s="6"/>
      <c r="Y55" s="6"/>
      <c r="Z55" s="6"/>
      <c r="AA55" s="6"/>
      <c r="AB55" s="6"/>
    </row>
    <row r="56" ht="21.0" customHeight="1">
      <c r="A56" s="24"/>
      <c r="B56" s="236" t="s">
        <v>684</v>
      </c>
      <c r="C56" s="237">
        <v>50.0</v>
      </c>
      <c r="D56" s="194"/>
      <c r="E56" s="106" t="s">
        <v>726</v>
      </c>
      <c r="F56" s="189">
        <v>50.0</v>
      </c>
      <c r="G56" s="24"/>
      <c r="H56" s="24"/>
      <c r="I56" s="24"/>
      <c r="J56" s="24"/>
      <c r="K56" s="6"/>
      <c r="L56" s="6"/>
      <c r="M56" s="6"/>
      <c r="N56" s="6"/>
      <c r="O56" s="6"/>
      <c r="P56" s="6"/>
      <c r="Q56" s="6"/>
      <c r="R56" s="6"/>
      <c r="S56" s="6"/>
      <c r="T56" s="6"/>
      <c r="U56" s="6"/>
      <c r="V56" s="6"/>
      <c r="W56" s="6"/>
      <c r="X56" s="6"/>
      <c r="Y56" s="6"/>
      <c r="Z56" s="6"/>
      <c r="AA56" s="6"/>
      <c r="AB56" s="6"/>
    </row>
    <row r="57" ht="21.0" customHeight="1">
      <c r="A57" s="24"/>
      <c r="B57" s="236" t="s">
        <v>685</v>
      </c>
      <c r="C57" s="237">
        <v>25.0</v>
      </c>
      <c r="D57" s="238"/>
      <c r="E57" s="106" t="s">
        <v>727</v>
      </c>
      <c r="F57" s="189"/>
      <c r="G57" s="24"/>
      <c r="H57" s="24"/>
      <c r="I57" s="24"/>
      <c r="J57" s="24"/>
      <c r="K57" s="6"/>
      <c r="L57" s="6"/>
      <c r="M57" s="6"/>
      <c r="N57" s="6"/>
      <c r="O57" s="6"/>
      <c r="P57" s="6"/>
      <c r="Q57" s="6"/>
      <c r="R57" s="6"/>
      <c r="S57" s="6"/>
      <c r="T57" s="6"/>
      <c r="U57" s="6"/>
      <c r="V57" s="6"/>
      <c r="W57" s="6"/>
      <c r="X57" s="6"/>
      <c r="Y57" s="6"/>
      <c r="Z57" s="6"/>
      <c r="AA57" s="6"/>
      <c r="AB57" s="6"/>
    </row>
    <row r="58" ht="21.0" customHeight="1">
      <c r="A58" s="32"/>
      <c r="B58" s="239" t="s">
        <v>686</v>
      </c>
      <c r="C58" s="237">
        <v>0.0</v>
      </c>
      <c r="D58" s="238"/>
      <c r="E58" s="197"/>
      <c r="F58" s="189"/>
      <c r="G58" s="32"/>
      <c r="H58" s="32"/>
      <c r="I58" s="32"/>
      <c r="J58" s="32"/>
      <c r="K58" s="6"/>
      <c r="L58" s="6"/>
      <c r="M58" s="6"/>
      <c r="N58" s="6"/>
      <c r="O58" s="6"/>
      <c r="P58" s="6"/>
      <c r="Q58" s="6"/>
      <c r="R58" s="6"/>
      <c r="S58" s="6"/>
      <c r="T58" s="6"/>
      <c r="U58" s="6"/>
      <c r="V58" s="6"/>
      <c r="W58" s="6"/>
      <c r="X58" s="6"/>
      <c r="Y58" s="6"/>
      <c r="Z58" s="6"/>
      <c r="AA58" s="6"/>
      <c r="AB58" s="6"/>
    </row>
    <row r="59" ht="21.0" customHeight="1">
      <c r="A59" s="240">
        <v>12.0</v>
      </c>
      <c r="B59" s="247" t="s">
        <v>728</v>
      </c>
      <c r="C59" s="16"/>
      <c r="D59" s="194"/>
      <c r="E59" s="197"/>
      <c r="F59" s="189"/>
      <c r="G59" s="219" t="s">
        <v>729</v>
      </c>
      <c r="H59" s="219" t="s">
        <v>730</v>
      </c>
      <c r="I59" s="219" t="s">
        <v>705</v>
      </c>
      <c r="J59" s="219" t="s">
        <v>690</v>
      </c>
      <c r="K59" s="6"/>
      <c r="L59" s="6"/>
      <c r="M59" s="6"/>
      <c r="N59" s="6"/>
      <c r="O59" s="6"/>
      <c r="P59" s="6"/>
      <c r="Q59" s="6"/>
      <c r="R59" s="6"/>
      <c r="S59" s="6"/>
      <c r="T59" s="6"/>
      <c r="U59" s="6"/>
      <c r="V59" s="6"/>
      <c r="W59" s="6"/>
      <c r="X59" s="6"/>
      <c r="Y59" s="6"/>
      <c r="Z59" s="6"/>
      <c r="AA59" s="6"/>
      <c r="AB59" s="6"/>
    </row>
    <row r="60" ht="23.25" customHeight="1">
      <c r="A60" s="24"/>
      <c r="B60" s="236" t="s">
        <v>681</v>
      </c>
      <c r="C60" s="237">
        <v>100.0</v>
      </c>
      <c r="D60" s="238"/>
      <c r="E60" s="248"/>
      <c r="F60" s="71"/>
      <c r="G60" s="24"/>
      <c r="H60" s="24"/>
      <c r="I60" s="24"/>
      <c r="J60" s="24"/>
      <c r="K60" s="6"/>
      <c r="L60" s="6"/>
      <c r="M60" s="6"/>
      <c r="N60" s="6"/>
      <c r="O60" s="6"/>
      <c r="P60" s="6"/>
      <c r="Q60" s="6"/>
      <c r="R60" s="6"/>
      <c r="S60" s="6"/>
      <c r="T60" s="6"/>
      <c r="U60" s="6"/>
      <c r="V60" s="6"/>
      <c r="W60" s="6"/>
      <c r="X60" s="6"/>
      <c r="Y60" s="6"/>
      <c r="Z60" s="6"/>
      <c r="AA60" s="6"/>
      <c r="AB60" s="6"/>
    </row>
    <row r="61" ht="21.0" customHeight="1">
      <c r="A61" s="24"/>
      <c r="B61" s="236" t="s">
        <v>684</v>
      </c>
      <c r="C61" s="237">
        <v>50.0</v>
      </c>
      <c r="D61" s="238"/>
      <c r="E61" s="197"/>
      <c r="F61" s="189"/>
      <c r="G61" s="24"/>
      <c r="H61" s="24"/>
      <c r="I61" s="24"/>
      <c r="J61" s="24"/>
      <c r="K61" s="6"/>
      <c r="L61" s="6"/>
      <c r="M61" s="6"/>
      <c r="N61" s="6"/>
      <c r="O61" s="6"/>
      <c r="P61" s="6"/>
      <c r="Q61" s="6"/>
      <c r="R61" s="6"/>
      <c r="S61" s="6"/>
      <c r="T61" s="6"/>
      <c r="U61" s="6"/>
      <c r="V61" s="6"/>
      <c r="W61" s="6"/>
      <c r="X61" s="6"/>
      <c r="Y61" s="6"/>
      <c r="Z61" s="6"/>
      <c r="AA61" s="6"/>
      <c r="AB61" s="6"/>
    </row>
    <row r="62" ht="21.0" customHeight="1">
      <c r="A62" s="24"/>
      <c r="B62" s="236" t="s">
        <v>685</v>
      </c>
      <c r="C62" s="237">
        <v>25.0</v>
      </c>
      <c r="D62" s="238"/>
      <c r="E62" s="197"/>
      <c r="F62" s="189"/>
      <c r="G62" s="24"/>
      <c r="H62" s="24"/>
      <c r="I62" s="24"/>
      <c r="J62" s="24"/>
      <c r="K62" s="6"/>
      <c r="L62" s="6"/>
      <c r="M62" s="6"/>
      <c r="N62" s="6"/>
      <c r="O62" s="6"/>
      <c r="P62" s="6"/>
      <c r="Q62" s="6"/>
      <c r="R62" s="6"/>
      <c r="S62" s="6"/>
      <c r="T62" s="6"/>
      <c r="U62" s="6"/>
      <c r="V62" s="6"/>
      <c r="W62" s="6"/>
      <c r="X62" s="6"/>
      <c r="Y62" s="6"/>
      <c r="Z62" s="6"/>
      <c r="AA62" s="6"/>
      <c r="AB62" s="6"/>
    </row>
    <row r="63" ht="21.0" customHeight="1">
      <c r="A63" s="32"/>
      <c r="B63" s="239" t="s">
        <v>686</v>
      </c>
      <c r="C63" s="237">
        <v>0.0</v>
      </c>
      <c r="D63" s="238"/>
      <c r="E63" s="197"/>
      <c r="F63" s="189">
        <v>0.0</v>
      </c>
      <c r="G63" s="32"/>
      <c r="H63" s="32"/>
      <c r="I63" s="32"/>
      <c r="J63" s="32"/>
      <c r="K63" s="6"/>
      <c r="L63" s="6"/>
      <c r="M63" s="6"/>
      <c r="N63" s="6"/>
      <c r="O63" s="6"/>
      <c r="P63" s="6"/>
      <c r="Q63" s="6"/>
      <c r="R63" s="6"/>
      <c r="S63" s="6"/>
      <c r="T63" s="6"/>
      <c r="U63" s="6"/>
      <c r="V63" s="6"/>
      <c r="W63" s="6"/>
      <c r="X63" s="6"/>
      <c r="Y63" s="6"/>
      <c r="Z63" s="6"/>
      <c r="AA63" s="6"/>
      <c r="AB63" s="6"/>
    </row>
    <row r="64" ht="28.5" customHeight="1">
      <c r="A64" s="249"/>
      <c r="B64" s="250" t="s">
        <v>311</v>
      </c>
      <c r="C64" s="251"/>
      <c r="D64" s="251">
        <f>SUM(D10:D63)</f>
        <v>1050</v>
      </c>
      <c r="E64" s="252"/>
      <c r="F64" s="251">
        <f>SUM(F10:F63)</f>
        <v>350</v>
      </c>
      <c r="G64" s="211"/>
      <c r="H64" s="211"/>
      <c r="I64" s="211"/>
      <c r="J64" s="211"/>
      <c r="K64" s="6"/>
      <c r="L64" s="6"/>
      <c r="M64" s="6"/>
      <c r="N64" s="6"/>
      <c r="O64" s="6"/>
      <c r="P64" s="6"/>
      <c r="Q64" s="6"/>
      <c r="R64" s="6"/>
      <c r="S64" s="6"/>
      <c r="T64" s="6"/>
      <c r="U64" s="6"/>
      <c r="V64" s="6"/>
      <c r="W64" s="6"/>
      <c r="X64" s="6"/>
      <c r="Y64" s="6"/>
      <c r="Z64" s="6"/>
      <c r="AA64" s="6"/>
      <c r="AB64" s="6"/>
    </row>
    <row r="65" ht="15.75" customHeight="1">
      <c r="A65" s="130"/>
      <c r="B65" s="2"/>
      <c r="C65" s="132" t="s">
        <v>312</v>
      </c>
      <c r="D65" s="132">
        <f>D64/1200*100</f>
        <v>87.5</v>
      </c>
      <c r="E65" s="132"/>
      <c r="F65" s="132">
        <f>F64/1200*100</f>
        <v>29.16666667</v>
      </c>
      <c r="G65" s="6"/>
      <c r="H65" s="6"/>
      <c r="I65" s="6"/>
      <c r="J65" s="6"/>
      <c r="K65" s="6"/>
      <c r="L65" s="6"/>
      <c r="M65" s="6"/>
      <c r="N65" s="6"/>
      <c r="O65" s="6"/>
      <c r="P65" s="6"/>
      <c r="Q65" s="6"/>
      <c r="R65" s="6"/>
      <c r="S65" s="6"/>
      <c r="T65" s="6"/>
      <c r="U65" s="6"/>
      <c r="V65" s="6"/>
      <c r="W65" s="6"/>
      <c r="X65" s="6"/>
      <c r="Y65" s="6"/>
      <c r="Z65" s="6"/>
      <c r="AA65" s="6"/>
      <c r="AB65" s="6"/>
    </row>
    <row r="66" ht="15.75" customHeight="1">
      <c r="A66" s="130"/>
      <c r="B66" s="2"/>
      <c r="C66" s="132"/>
      <c r="D66" s="132"/>
      <c r="E66" s="132"/>
      <c r="F66" s="132"/>
      <c r="G66" s="6"/>
      <c r="H66" s="6"/>
      <c r="I66" s="6"/>
      <c r="J66" s="6"/>
      <c r="K66" s="6"/>
      <c r="L66" s="6"/>
      <c r="M66" s="6"/>
      <c r="N66" s="6"/>
      <c r="O66" s="6"/>
      <c r="P66" s="6"/>
      <c r="Q66" s="6"/>
      <c r="R66" s="6"/>
      <c r="S66" s="6"/>
      <c r="T66" s="6"/>
      <c r="U66" s="6"/>
      <c r="V66" s="6"/>
      <c r="W66" s="6"/>
      <c r="X66" s="6"/>
      <c r="Y66" s="6"/>
      <c r="Z66" s="6"/>
      <c r="AA66" s="6"/>
      <c r="AB66" s="6"/>
    </row>
    <row r="67" ht="15.75" customHeight="1">
      <c r="A67" s="130"/>
      <c r="B67" s="2"/>
      <c r="C67" s="132"/>
      <c r="D67" s="132"/>
      <c r="E67" s="132"/>
      <c r="F67" s="132"/>
      <c r="G67" s="6"/>
      <c r="H67" s="6"/>
      <c r="I67" s="6"/>
      <c r="J67" s="6"/>
      <c r="K67" s="6"/>
      <c r="L67" s="6"/>
      <c r="M67" s="6"/>
      <c r="N67" s="6"/>
      <c r="O67" s="6"/>
      <c r="P67" s="6"/>
      <c r="Q67" s="6"/>
      <c r="R67" s="6"/>
      <c r="S67" s="6"/>
      <c r="T67" s="6"/>
      <c r="U67" s="6"/>
      <c r="V67" s="6"/>
      <c r="W67" s="6"/>
      <c r="X67" s="6"/>
      <c r="Y67" s="6"/>
      <c r="Z67" s="6"/>
      <c r="AA67" s="6"/>
      <c r="AB67" s="6"/>
    </row>
    <row r="68" ht="15.75" customHeight="1">
      <c r="A68" s="130"/>
      <c r="B68" s="2"/>
      <c r="C68" s="132"/>
      <c r="D68" s="132"/>
      <c r="E68" s="132"/>
      <c r="F68" s="132"/>
      <c r="G68" s="6"/>
      <c r="H68" s="6"/>
      <c r="I68" s="6"/>
      <c r="J68" s="6"/>
      <c r="K68" s="6"/>
      <c r="L68" s="6"/>
      <c r="M68" s="6"/>
      <c r="N68" s="6"/>
      <c r="O68" s="6"/>
      <c r="P68" s="6"/>
      <c r="Q68" s="6"/>
      <c r="R68" s="6"/>
      <c r="S68" s="6"/>
      <c r="T68" s="6"/>
      <c r="U68" s="6"/>
      <c r="V68" s="6"/>
      <c r="W68" s="6"/>
      <c r="X68" s="6"/>
      <c r="Y68" s="6"/>
      <c r="Z68" s="6"/>
      <c r="AA68" s="6"/>
      <c r="AB68" s="6"/>
    </row>
    <row r="69" ht="15.75" customHeight="1">
      <c r="A69" s="130"/>
      <c r="B69" s="2"/>
      <c r="C69" s="132"/>
      <c r="D69" s="132"/>
      <c r="E69" s="132"/>
      <c r="F69" s="132"/>
      <c r="G69" s="6"/>
      <c r="H69" s="6"/>
      <c r="I69" s="6"/>
      <c r="J69" s="6"/>
      <c r="K69" s="6"/>
      <c r="L69" s="6"/>
      <c r="M69" s="6"/>
      <c r="N69" s="6"/>
      <c r="O69" s="6"/>
      <c r="P69" s="6"/>
      <c r="Q69" s="6"/>
      <c r="R69" s="6"/>
      <c r="S69" s="6"/>
      <c r="T69" s="6"/>
      <c r="U69" s="6"/>
      <c r="V69" s="6"/>
      <c r="W69" s="6"/>
      <c r="X69" s="6"/>
      <c r="Y69" s="6"/>
      <c r="Z69" s="6"/>
      <c r="AA69" s="6"/>
      <c r="AB69" s="6"/>
    </row>
    <row r="70" ht="15.75" customHeight="1">
      <c r="A70" s="130"/>
      <c r="B70" s="2"/>
      <c r="C70" s="132"/>
      <c r="D70" s="132"/>
      <c r="E70" s="132"/>
      <c r="F70" s="132"/>
      <c r="G70" s="6"/>
      <c r="H70" s="6"/>
      <c r="I70" s="6"/>
      <c r="J70" s="6"/>
      <c r="K70" s="6"/>
      <c r="L70" s="6"/>
      <c r="M70" s="6"/>
      <c r="N70" s="6"/>
      <c r="O70" s="6"/>
      <c r="P70" s="6"/>
      <c r="Q70" s="6"/>
      <c r="R70" s="6"/>
      <c r="S70" s="6"/>
      <c r="T70" s="6"/>
      <c r="U70" s="6"/>
      <c r="V70" s="6"/>
      <c r="W70" s="6"/>
      <c r="X70" s="6"/>
      <c r="Y70" s="6"/>
      <c r="Z70" s="6"/>
      <c r="AA70" s="6"/>
      <c r="AB70" s="6"/>
    </row>
    <row r="71" ht="15.75" customHeight="1">
      <c r="A71" s="130"/>
      <c r="B71" s="2"/>
      <c r="C71" s="132"/>
      <c r="D71" s="132"/>
      <c r="E71" s="132"/>
      <c r="F71" s="132"/>
      <c r="G71" s="6"/>
      <c r="H71" s="6"/>
      <c r="I71" s="6"/>
      <c r="J71" s="6"/>
      <c r="K71" s="6"/>
      <c r="L71" s="6"/>
      <c r="M71" s="6"/>
      <c r="N71" s="6"/>
      <c r="O71" s="6"/>
      <c r="P71" s="6"/>
      <c r="Q71" s="6"/>
      <c r="R71" s="6"/>
      <c r="S71" s="6"/>
      <c r="T71" s="6"/>
      <c r="U71" s="6"/>
      <c r="V71" s="6"/>
      <c r="W71" s="6"/>
      <c r="X71" s="6"/>
      <c r="Y71" s="6"/>
      <c r="Z71" s="6"/>
      <c r="AA71" s="6"/>
      <c r="AB71" s="6"/>
    </row>
    <row r="72" ht="15.75" customHeight="1">
      <c r="A72" s="130"/>
      <c r="B72" s="2"/>
      <c r="C72" s="132"/>
      <c r="D72" s="132"/>
      <c r="E72" s="132"/>
      <c r="F72" s="132"/>
      <c r="G72" s="6"/>
      <c r="H72" s="6"/>
      <c r="I72" s="6"/>
      <c r="J72" s="6"/>
      <c r="K72" s="6"/>
      <c r="L72" s="6"/>
      <c r="M72" s="6"/>
      <c r="N72" s="6"/>
      <c r="O72" s="6"/>
      <c r="P72" s="6"/>
      <c r="Q72" s="6"/>
      <c r="R72" s="6"/>
      <c r="S72" s="6"/>
      <c r="T72" s="6"/>
      <c r="U72" s="6"/>
      <c r="V72" s="6"/>
      <c r="W72" s="6"/>
      <c r="X72" s="6"/>
      <c r="Y72" s="6"/>
      <c r="Z72" s="6"/>
      <c r="AA72" s="6"/>
      <c r="AB72" s="6"/>
    </row>
    <row r="73" ht="15.75" customHeight="1">
      <c r="A73" s="130"/>
      <c r="B73" s="2"/>
      <c r="C73" s="132"/>
      <c r="D73" s="132"/>
      <c r="E73" s="132"/>
      <c r="F73" s="132"/>
      <c r="G73" s="6"/>
      <c r="H73" s="6"/>
      <c r="I73" s="6"/>
      <c r="J73" s="6"/>
      <c r="K73" s="6"/>
      <c r="L73" s="6"/>
      <c r="M73" s="6"/>
      <c r="N73" s="6"/>
      <c r="O73" s="6"/>
      <c r="P73" s="6"/>
      <c r="Q73" s="6"/>
      <c r="R73" s="6"/>
      <c r="S73" s="6"/>
      <c r="T73" s="6"/>
      <c r="U73" s="6"/>
      <c r="V73" s="6"/>
      <c r="W73" s="6"/>
      <c r="X73" s="6"/>
      <c r="Y73" s="6"/>
      <c r="Z73" s="6"/>
      <c r="AA73" s="6"/>
      <c r="AB73" s="6"/>
    </row>
    <row r="74" ht="15.75" customHeight="1">
      <c r="A74" s="130"/>
      <c r="B74" s="2"/>
      <c r="C74" s="132"/>
      <c r="D74" s="132"/>
      <c r="E74" s="132"/>
      <c r="F74" s="132"/>
      <c r="G74" s="6"/>
      <c r="H74" s="6"/>
      <c r="I74" s="6"/>
      <c r="J74" s="6"/>
      <c r="K74" s="6"/>
      <c r="L74" s="6"/>
      <c r="M74" s="6"/>
      <c r="N74" s="6"/>
      <c r="O74" s="6"/>
      <c r="P74" s="6"/>
      <c r="Q74" s="6"/>
      <c r="R74" s="6"/>
      <c r="S74" s="6"/>
      <c r="T74" s="6"/>
      <c r="U74" s="6"/>
      <c r="V74" s="6"/>
      <c r="W74" s="6"/>
      <c r="X74" s="6"/>
      <c r="Y74" s="6"/>
      <c r="Z74" s="6"/>
      <c r="AA74" s="6"/>
      <c r="AB74" s="6"/>
    </row>
    <row r="75" ht="15.75" customHeight="1">
      <c r="A75" s="130"/>
      <c r="B75" s="2"/>
      <c r="C75" s="132"/>
      <c r="D75" s="132"/>
      <c r="E75" s="132"/>
      <c r="F75" s="132"/>
      <c r="G75" s="6"/>
      <c r="H75" s="6"/>
      <c r="I75" s="6"/>
      <c r="J75" s="6"/>
      <c r="K75" s="6"/>
      <c r="L75" s="6"/>
      <c r="M75" s="6"/>
      <c r="N75" s="6"/>
      <c r="O75" s="6"/>
      <c r="P75" s="6"/>
      <c r="Q75" s="6"/>
      <c r="R75" s="6"/>
      <c r="S75" s="6"/>
      <c r="T75" s="6"/>
      <c r="U75" s="6"/>
      <c r="V75" s="6"/>
      <c r="W75" s="6"/>
      <c r="X75" s="6"/>
      <c r="Y75" s="6"/>
      <c r="Z75" s="6"/>
      <c r="AA75" s="6"/>
      <c r="AB75" s="6"/>
    </row>
    <row r="76" ht="15.75" customHeight="1">
      <c r="A76" s="130"/>
      <c r="B76" s="2"/>
      <c r="C76" s="132"/>
      <c r="D76" s="132"/>
      <c r="E76" s="132"/>
      <c r="F76" s="132"/>
      <c r="G76" s="6"/>
      <c r="H76" s="6"/>
      <c r="I76" s="6"/>
      <c r="J76" s="6"/>
      <c r="K76" s="6"/>
      <c r="L76" s="6"/>
      <c r="M76" s="6"/>
      <c r="N76" s="6"/>
      <c r="O76" s="6"/>
      <c r="P76" s="6"/>
      <c r="Q76" s="6"/>
      <c r="R76" s="6"/>
      <c r="S76" s="6"/>
      <c r="T76" s="6"/>
      <c r="U76" s="6"/>
      <c r="V76" s="6"/>
      <c r="W76" s="6"/>
      <c r="X76" s="6"/>
      <c r="Y76" s="6"/>
      <c r="Z76" s="6"/>
      <c r="AA76" s="6"/>
      <c r="AB76" s="6"/>
    </row>
    <row r="77" ht="15.75" customHeight="1">
      <c r="A77" s="130"/>
      <c r="B77" s="2"/>
      <c r="C77" s="132"/>
      <c r="D77" s="132"/>
      <c r="E77" s="132"/>
      <c r="F77" s="132"/>
      <c r="G77" s="6"/>
      <c r="H77" s="6"/>
      <c r="I77" s="6"/>
      <c r="J77" s="6"/>
      <c r="K77" s="6"/>
      <c r="L77" s="6"/>
      <c r="M77" s="6"/>
      <c r="N77" s="6"/>
      <c r="O77" s="6"/>
      <c r="P77" s="6"/>
      <c r="Q77" s="6"/>
      <c r="R77" s="6"/>
      <c r="S77" s="6"/>
      <c r="T77" s="6"/>
      <c r="U77" s="6"/>
      <c r="V77" s="6"/>
      <c r="W77" s="6"/>
      <c r="X77" s="6"/>
      <c r="Y77" s="6"/>
      <c r="Z77" s="6"/>
      <c r="AA77" s="6"/>
      <c r="AB77" s="6"/>
    </row>
    <row r="78" ht="15.75" customHeight="1">
      <c r="A78" s="130"/>
      <c r="B78" s="2"/>
      <c r="C78" s="132"/>
      <c r="D78" s="132"/>
      <c r="E78" s="132"/>
      <c r="F78" s="132"/>
      <c r="G78" s="6"/>
      <c r="H78" s="6"/>
      <c r="I78" s="6"/>
      <c r="J78" s="6"/>
      <c r="K78" s="6"/>
      <c r="L78" s="6"/>
      <c r="M78" s="6"/>
      <c r="N78" s="6"/>
      <c r="O78" s="6"/>
      <c r="P78" s="6"/>
      <c r="Q78" s="6"/>
      <c r="R78" s="6"/>
      <c r="S78" s="6"/>
      <c r="T78" s="6"/>
      <c r="U78" s="6"/>
      <c r="V78" s="6"/>
      <c r="W78" s="6"/>
      <c r="X78" s="6"/>
      <c r="Y78" s="6"/>
      <c r="Z78" s="6"/>
      <c r="AA78" s="6"/>
      <c r="AB78" s="6"/>
    </row>
    <row r="79" ht="15.75" customHeight="1">
      <c r="A79" s="130"/>
      <c r="B79" s="2"/>
      <c r="C79" s="132"/>
      <c r="D79" s="132"/>
      <c r="E79" s="132"/>
      <c r="F79" s="132"/>
      <c r="G79" s="6"/>
      <c r="H79" s="6"/>
      <c r="I79" s="6"/>
      <c r="J79" s="6"/>
      <c r="K79" s="6"/>
      <c r="L79" s="6"/>
      <c r="M79" s="6"/>
      <c r="N79" s="6"/>
      <c r="O79" s="6"/>
      <c r="P79" s="6"/>
      <c r="Q79" s="6"/>
      <c r="R79" s="6"/>
      <c r="S79" s="6"/>
      <c r="T79" s="6"/>
      <c r="U79" s="6"/>
      <c r="V79" s="6"/>
      <c r="W79" s="6"/>
      <c r="X79" s="6"/>
      <c r="Y79" s="6"/>
      <c r="Z79" s="6"/>
      <c r="AA79" s="6"/>
      <c r="AB79" s="6"/>
    </row>
    <row r="80" ht="15.75" customHeight="1">
      <c r="A80" s="130"/>
      <c r="B80" s="2"/>
      <c r="C80" s="132"/>
      <c r="D80" s="132"/>
      <c r="E80" s="132"/>
      <c r="F80" s="132"/>
      <c r="G80" s="6"/>
      <c r="H80" s="6"/>
      <c r="I80" s="6"/>
      <c r="J80" s="6"/>
      <c r="K80" s="6"/>
      <c r="L80" s="6"/>
      <c r="M80" s="6"/>
      <c r="N80" s="6"/>
      <c r="O80" s="6"/>
      <c r="P80" s="6"/>
      <c r="Q80" s="6"/>
      <c r="R80" s="6"/>
      <c r="S80" s="6"/>
      <c r="T80" s="6"/>
      <c r="U80" s="6"/>
      <c r="V80" s="6"/>
      <c r="W80" s="6"/>
      <c r="X80" s="6"/>
      <c r="Y80" s="6"/>
      <c r="Z80" s="6"/>
      <c r="AA80" s="6"/>
      <c r="AB80" s="6"/>
    </row>
    <row r="81" ht="15.75" customHeight="1">
      <c r="A81" s="130"/>
      <c r="B81" s="2"/>
      <c r="C81" s="132"/>
      <c r="D81" s="132"/>
      <c r="E81" s="132"/>
      <c r="F81" s="132"/>
      <c r="G81" s="6"/>
      <c r="H81" s="6"/>
      <c r="I81" s="6"/>
      <c r="J81" s="6"/>
      <c r="K81" s="6"/>
      <c r="L81" s="6"/>
      <c r="M81" s="6"/>
      <c r="N81" s="6"/>
      <c r="O81" s="6"/>
      <c r="P81" s="6"/>
      <c r="Q81" s="6"/>
      <c r="R81" s="6"/>
      <c r="S81" s="6"/>
      <c r="T81" s="6"/>
      <c r="U81" s="6"/>
      <c r="V81" s="6"/>
      <c r="W81" s="6"/>
      <c r="X81" s="6"/>
      <c r="Y81" s="6"/>
      <c r="Z81" s="6"/>
      <c r="AA81" s="6"/>
      <c r="AB81" s="6"/>
    </row>
    <row r="82" ht="15.75" customHeight="1">
      <c r="A82" s="130"/>
      <c r="B82" s="2"/>
      <c r="C82" s="132"/>
      <c r="D82" s="132"/>
      <c r="E82" s="132"/>
      <c r="F82" s="132"/>
      <c r="G82" s="6"/>
      <c r="H82" s="6"/>
      <c r="I82" s="6"/>
      <c r="J82" s="6"/>
      <c r="K82" s="6"/>
      <c r="L82" s="6"/>
      <c r="M82" s="6"/>
      <c r="N82" s="6"/>
      <c r="O82" s="6"/>
      <c r="P82" s="6"/>
      <c r="Q82" s="6"/>
      <c r="R82" s="6"/>
      <c r="S82" s="6"/>
      <c r="T82" s="6"/>
      <c r="U82" s="6"/>
      <c r="V82" s="6"/>
      <c r="W82" s="6"/>
      <c r="X82" s="6"/>
      <c r="Y82" s="6"/>
      <c r="Z82" s="6"/>
      <c r="AA82" s="6"/>
      <c r="AB82" s="6"/>
    </row>
    <row r="83" ht="15.75" customHeight="1">
      <c r="A83" s="130"/>
      <c r="B83" s="2"/>
      <c r="C83" s="132"/>
      <c r="D83" s="132"/>
      <c r="E83" s="132"/>
      <c r="F83" s="132"/>
      <c r="G83" s="6"/>
      <c r="H83" s="6"/>
      <c r="I83" s="6"/>
      <c r="J83" s="6"/>
      <c r="K83" s="6"/>
      <c r="L83" s="6"/>
      <c r="M83" s="6"/>
      <c r="N83" s="6"/>
      <c r="O83" s="6"/>
      <c r="P83" s="6"/>
      <c r="Q83" s="6"/>
      <c r="R83" s="6"/>
      <c r="S83" s="6"/>
      <c r="T83" s="6"/>
      <c r="U83" s="6"/>
      <c r="V83" s="6"/>
      <c r="W83" s="6"/>
      <c r="X83" s="6"/>
      <c r="Y83" s="6"/>
      <c r="Z83" s="6"/>
      <c r="AA83" s="6"/>
      <c r="AB83" s="6"/>
    </row>
    <row r="84" ht="15.75" customHeight="1">
      <c r="A84" s="130"/>
      <c r="B84" s="2"/>
      <c r="C84" s="132"/>
      <c r="D84" s="132"/>
      <c r="E84" s="132"/>
      <c r="F84" s="132"/>
      <c r="G84" s="6"/>
      <c r="H84" s="6"/>
      <c r="I84" s="6"/>
      <c r="J84" s="6"/>
      <c r="K84" s="6"/>
      <c r="L84" s="6"/>
      <c r="M84" s="6"/>
      <c r="N84" s="6"/>
      <c r="O84" s="6"/>
      <c r="P84" s="6"/>
      <c r="Q84" s="6"/>
      <c r="R84" s="6"/>
      <c r="S84" s="6"/>
      <c r="T84" s="6"/>
      <c r="U84" s="6"/>
      <c r="V84" s="6"/>
      <c r="W84" s="6"/>
      <c r="X84" s="6"/>
      <c r="Y84" s="6"/>
      <c r="Z84" s="6"/>
      <c r="AA84" s="6"/>
      <c r="AB84" s="6"/>
    </row>
    <row r="85" ht="15.75" customHeight="1">
      <c r="A85" s="130"/>
      <c r="B85" s="2"/>
      <c r="C85" s="132"/>
      <c r="D85" s="132"/>
      <c r="E85" s="132"/>
      <c r="F85" s="132"/>
      <c r="G85" s="6"/>
      <c r="H85" s="6"/>
      <c r="I85" s="6"/>
      <c r="J85" s="6"/>
      <c r="K85" s="6"/>
      <c r="L85" s="6"/>
      <c r="M85" s="6"/>
      <c r="N85" s="6"/>
      <c r="O85" s="6"/>
      <c r="P85" s="6"/>
      <c r="Q85" s="6"/>
      <c r="R85" s="6"/>
      <c r="S85" s="6"/>
      <c r="T85" s="6"/>
      <c r="U85" s="6"/>
      <c r="V85" s="6"/>
      <c r="W85" s="6"/>
      <c r="X85" s="6"/>
      <c r="Y85" s="6"/>
      <c r="Z85" s="6"/>
      <c r="AA85" s="6"/>
      <c r="AB85" s="6"/>
    </row>
    <row r="86" ht="15.75" customHeight="1">
      <c r="A86" s="130"/>
      <c r="B86" s="2"/>
      <c r="C86" s="132"/>
      <c r="D86" s="132"/>
      <c r="E86" s="132"/>
      <c r="F86" s="132"/>
      <c r="G86" s="6"/>
      <c r="H86" s="6"/>
      <c r="I86" s="6"/>
      <c r="J86" s="6"/>
      <c r="K86" s="6"/>
      <c r="L86" s="6"/>
      <c r="M86" s="6"/>
      <c r="N86" s="6"/>
      <c r="O86" s="6"/>
      <c r="P86" s="6"/>
      <c r="Q86" s="6"/>
      <c r="R86" s="6"/>
      <c r="S86" s="6"/>
      <c r="T86" s="6"/>
      <c r="U86" s="6"/>
      <c r="V86" s="6"/>
      <c r="W86" s="6"/>
      <c r="X86" s="6"/>
      <c r="Y86" s="6"/>
      <c r="Z86" s="6"/>
      <c r="AA86" s="6"/>
      <c r="AB86" s="6"/>
    </row>
    <row r="87" ht="15.75" customHeight="1">
      <c r="A87" s="130"/>
      <c r="B87" s="2"/>
      <c r="C87" s="132"/>
      <c r="D87" s="132"/>
      <c r="E87" s="132"/>
      <c r="F87" s="132"/>
      <c r="G87" s="6"/>
      <c r="H87" s="6"/>
      <c r="I87" s="6"/>
      <c r="J87" s="6"/>
      <c r="K87" s="6"/>
      <c r="L87" s="6"/>
      <c r="M87" s="6"/>
      <c r="N87" s="6"/>
      <c r="O87" s="6"/>
      <c r="P87" s="6"/>
      <c r="Q87" s="6"/>
      <c r="R87" s="6"/>
      <c r="S87" s="6"/>
      <c r="T87" s="6"/>
      <c r="U87" s="6"/>
      <c r="V87" s="6"/>
      <c r="W87" s="6"/>
      <c r="X87" s="6"/>
      <c r="Y87" s="6"/>
      <c r="Z87" s="6"/>
      <c r="AA87" s="6"/>
      <c r="AB87" s="6"/>
    </row>
    <row r="88" ht="15.75" customHeight="1">
      <c r="A88" s="130"/>
      <c r="B88" s="2"/>
      <c r="C88" s="132"/>
      <c r="D88" s="132"/>
      <c r="E88" s="132"/>
      <c r="F88" s="132"/>
      <c r="G88" s="6"/>
      <c r="H88" s="6"/>
      <c r="I88" s="6"/>
      <c r="J88" s="6"/>
      <c r="K88" s="6"/>
      <c r="L88" s="6"/>
      <c r="M88" s="6"/>
      <c r="N88" s="6"/>
      <c r="O88" s="6"/>
      <c r="P88" s="6"/>
      <c r="Q88" s="6"/>
      <c r="R88" s="6"/>
      <c r="S88" s="6"/>
      <c r="T88" s="6"/>
      <c r="U88" s="6"/>
      <c r="V88" s="6"/>
      <c r="W88" s="6"/>
      <c r="X88" s="6"/>
      <c r="Y88" s="6"/>
      <c r="Z88" s="6"/>
      <c r="AA88" s="6"/>
      <c r="AB88" s="6"/>
    </row>
    <row r="89" ht="15.75" customHeight="1">
      <c r="A89" s="130"/>
      <c r="B89" s="2"/>
      <c r="C89" s="132"/>
      <c r="D89" s="132"/>
      <c r="E89" s="132"/>
      <c r="F89" s="132"/>
      <c r="G89" s="6"/>
      <c r="H89" s="6"/>
      <c r="I89" s="6"/>
      <c r="J89" s="6"/>
      <c r="K89" s="6"/>
      <c r="L89" s="6"/>
      <c r="M89" s="6"/>
      <c r="N89" s="6"/>
      <c r="O89" s="6"/>
      <c r="P89" s="6"/>
      <c r="Q89" s="6"/>
      <c r="R89" s="6"/>
      <c r="S89" s="6"/>
      <c r="T89" s="6"/>
      <c r="U89" s="6"/>
      <c r="V89" s="6"/>
      <c r="W89" s="6"/>
      <c r="X89" s="6"/>
      <c r="Y89" s="6"/>
      <c r="Z89" s="6"/>
      <c r="AA89" s="6"/>
      <c r="AB89" s="6"/>
    </row>
    <row r="90" ht="15.75" customHeight="1">
      <c r="A90" s="130"/>
      <c r="B90" s="2"/>
      <c r="C90" s="132"/>
      <c r="D90" s="132"/>
      <c r="E90" s="132"/>
      <c r="F90" s="132"/>
      <c r="G90" s="6"/>
      <c r="H90" s="6"/>
      <c r="I90" s="6"/>
      <c r="J90" s="6"/>
      <c r="K90" s="6"/>
      <c r="L90" s="6"/>
      <c r="M90" s="6"/>
      <c r="N90" s="6"/>
      <c r="O90" s="6"/>
      <c r="P90" s="6"/>
      <c r="Q90" s="6"/>
      <c r="R90" s="6"/>
      <c r="S90" s="6"/>
      <c r="T90" s="6"/>
      <c r="U90" s="6"/>
      <c r="V90" s="6"/>
      <c r="W90" s="6"/>
      <c r="X90" s="6"/>
      <c r="Y90" s="6"/>
      <c r="Z90" s="6"/>
      <c r="AA90" s="6"/>
      <c r="AB90" s="6"/>
    </row>
    <row r="91" ht="15.75" customHeight="1">
      <c r="A91" s="130"/>
      <c r="B91" s="2"/>
      <c r="C91" s="132"/>
      <c r="D91" s="132"/>
      <c r="E91" s="132"/>
      <c r="F91" s="132"/>
      <c r="G91" s="6"/>
      <c r="H91" s="6"/>
      <c r="I91" s="6"/>
      <c r="J91" s="6"/>
      <c r="K91" s="6"/>
      <c r="L91" s="6"/>
      <c r="M91" s="6"/>
      <c r="N91" s="6"/>
      <c r="O91" s="6"/>
      <c r="P91" s="6"/>
      <c r="Q91" s="6"/>
      <c r="R91" s="6"/>
      <c r="S91" s="6"/>
      <c r="T91" s="6"/>
      <c r="U91" s="6"/>
      <c r="V91" s="6"/>
      <c r="W91" s="6"/>
      <c r="X91" s="6"/>
      <c r="Y91" s="6"/>
      <c r="Z91" s="6"/>
      <c r="AA91" s="6"/>
      <c r="AB91" s="6"/>
    </row>
    <row r="92" ht="15.75" customHeight="1">
      <c r="A92" s="130"/>
      <c r="B92" s="2"/>
      <c r="C92" s="132"/>
      <c r="D92" s="132"/>
      <c r="E92" s="132"/>
      <c r="F92" s="132"/>
      <c r="G92" s="6"/>
      <c r="H92" s="6"/>
      <c r="I92" s="6"/>
      <c r="J92" s="6"/>
      <c r="K92" s="6"/>
      <c r="L92" s="6"/>
      <c r="M92" s="6"/>
      <c r="N92" s="6"/>
      <c r="O92" s="6"/>
      <c r="P92" s="6"/>
      <c r="Q92" s="6"/>
      <c r="R92" s="6"/>
      <c r="S92" s="6"/>
      <c r="T92" s="6"/>
      <c r="U92" s="6"/>
      <c r="V92" s="6"/>
      <c r="W92" s="6"/>
      <c r="X92" s="6"/>
      <c r="Y92" s="6"/>
      <c r="Z92" s="6"/>
      <c r="AA92" s="6"/>
      <c r="AB92" s="6"/>
    </row>
    <row r="93" ht="15.75" customHeight="1">
      <c r="A93" s="130"/>
      <c r="B93" s="2"/>
      <c r="C93" s="132"/>
      <c r="D93" s="132"/>
      <c r="E93" s="132"/>
      <c r="F93" s="132"/>
      <c r="G93" s="6"/>
      <c r="H93" s="6"/>
      <c r="I93" s="6"/>
      <c r="J93" s="6"/>
      <c r="K93" s="6"/>
      <c r="L93" s="6"/>
      <c r="M93" s="6"/>
      <c r="N93" s="6"/>
      <c r="O93" s="6"/>
      <c r="P93" s="6"/>
      <c r="Q93" s="6"/>
      <c r="R93" s="6"/>
      <c r="S93" s="6"/>
      <c r="T93" s="6"/>
      <c r="U93" s="6"/>
      <c r="V93" s="6"/>
      <c r="W93" s="6"/>
      <c r="X93" s="6"/>
      <c r="Y93" s="6"/>
      <c r="Z93" s="6"/>
      <c r="AA93" s="6"/>
      <c r="AB93" s="6"/>
    </row>
    <row r="94" ht="15.75" customHeight="1">
      <c r="A94" s="130"/>
      <c r="B94" s="2"/>
      <c r="C94" s="132"/>
      <c r="D94" s="132"/>
      <c r="E94" s="132"/>
      <c r="F94" s="132"/>
      <c r="G94" s="6"/>
      <c r="H94" s="6"/>
      <c r="I94" s="6"/>
      <c r="J94" s="6"/>
      <c r="K94" s="6"/>
      <c r="L94" s="6"/>
      <c r="M94" s="6"/>
      <c r="N94" s="6"/>
      <c r="O94" s="6"/>
      <c r="P94" s="6"/>
      <c r="Q94" s="6"/>
      <c r="R94" s="6"/>
      <c r="S94" s="6"/>
      <c r="T94" s="6"/>
      <c r="U94" s="6"/>
      <c r="V94" s="6"/>
      <c r="W94" s="6"/>
      <c r="X94" s="6"/>
      <c r="Y94" s="6"/>
      <c r="Z94" s="6"/>
      <c r="AA94" s="6"/>
      <c r="AB94" s="6"/>
    </row>
    <row r="95" ht="15.75" customHeight="1">
      <c r="A95" s="130"/>
      <c r="B95" s="2"/>
      <c r="C95" s="132"/>
      <c r="D95" s="132"/>
      <c r="E95" s="132"/>
      <c r="F95" s="132"/>
      <c r="G95" s="6"/>
      <c r="H95" s="6"/>
      <c r="I95" s="6"/>
      <c r="J95" s="6"/>
      <c r="K95" s="6"/>
      <c r="L95" s="6"/>
      <c r="M95" s="6"/>
      <c r="N95" s="6"/>
      <c r="O95" s="6"/>
      <c r="P95" s="6"/>
      <c r="Q95" s="6"/>
      <c r="R95" s="6"/>
      <c r="S95" s="6"/>
      <c r="T95" s="6"/>
      <c r="U95" s="6"/>
      <c r="V95" s="6"/>
      <c r="W95" s="6"/>
      <c r="X95" s="6"/>
      <c r="Y95" s="6"/>
      <c r="Z95" s="6"/>
      <c r="AA95" s="6"/>
      <c r="AB95" s="6"/>
    </row>
    <row r="96" ht="15.75" customHeight="1">
      <c r="A96" s="130"/>
      <c r="B96" s="2"/>
      <c r="C96" s="132"/>
      <c r="D96" s="132"/>
      <c r="E96" s="132"/>
      <c r="F96" s="132"/>
      <c r="G96" s="6"/>
      <c r="H96" s="6"/>
      <c r="I96" s="6"/>
      <c r="J96" s="6"/>
      <c r="K96" s="6"/>
      <c r="L96" s="6"/>
      <c r="M96" s="6"/>
      <c r="N96" s="6"/>
      <c r="O96" s="6"/>
      <c r="P96" s="6"/>
      <c r="Q96" s="6"/>
      <c r="R96" s="6"/>
      <c r="S96" s="6"/>
      <c r="T96" s="6"/>
      <c r="U96" s="6"/>
      <c r="V96" s="6"/>
      <c r="W96" s="6"/>
      <c r="X96" s="6"/>
      <c r="Y96" s="6"/>
      <c r="Z96" s="6"/>
      <c r="AA96" s="6"/>
      <c r="AB96" s="6"/>
    </row>
    <row r="97" ht="15.75" customHeight="1">
      <c r="A97" s="130"/>
      <c r="B97" s="2"/>
      <c r="C97" s="132"/>
      <c r="D97" s="132"/>
      <c r="E97" s="132"/>
      <c r="F97" s="132"/>
      <c r="G97" s="6"/>
      <c r="H97" s="6"/>
      <c r="I97" s="6"/>
      <c r="J97" s="6"/>
      <c r="K97" s="6"/>
      <c r="L97" s="6"/>
      <c r="M97" s="6"/>
      <c r="N97" s="6"/>
      <c r="O97" s="6"/>
      <c r="P97" s="6"/>
      <c r="Q97" s="6"/>
      <c r="R97" s="6"/>
      <c r="S97" s="6"/>
      <c r="T97" s="6"/>
      <c r="U97" s="6"/>
      <c r="V97" s="6"/>
      <c r="W97" s="6"/>
      <c r="X97" s="6"/>
      <c r="Y97" s="6"/>
      <c r="Z97" s="6"/>
      <c r="AA97" s="6"/>
      <c r="AB97" s="6"/>
    </row>
    <row r="98" ht="15.75" customHeight="1">
      <c r="A98" s="130"/>
      <c r="B98" s="2"/>
      <c r="C98" s="132"/>
      <c r="D98" s="132"/>
      <c r="E98" s="132"/>
      <c r="F98" s="132"/>
      <c r="G98" s="6"/>
      <c r="H98" s="6"/>
      <c r="I98" s="6"/>
      <c r="J98" s="6"/>
      <c r="K98" s="6"/>
      <c r="L98" s="6"/>
      <c r="M98" s="6"/>
      <c r="N98" s="6"/>
      <c r="O98" s="6"/>
      <c r="P98" s="6"/>
      <c r="Q98" s="6"/>
      <c r="R98" s="6"/>
      <c r="S98" s="6"/>
      <c r="T98" s="6"/>
      <c r="U98" s="6"/>
      <c r="V98" s="6"/>
      <c r="W98" s="6"/>
      <c r="X98" s="6"/>
      <c r="Y98" s="6"/>
      <c r="Z98" s="6"/>
      <c r="AA98" s="6"/>
      <c r="AB98" s="6"/>
    </row>
    <row r="99" ht="15.75" customHeight="1">
      <c r="A99" s="130"/>
      <c r="B99" s="2"/>
      <c r="C99" s="132"/>
      <c r="D99" s="132"/>
      <c r="E99" s="132"/>
      <c r="F99" s="132"/>
      <c r="G99" s="6"/>
      <c r="H99" s="6"/>
      <c r="I99" s="6"/>
      <c r="J99" s="6"/>
      <c r="K99" s="6"/>
      <c r="L99" s="6"/>
      <c r="M99" s="6"/>
      <c r="N99" s="6"/>
      <c r="O99" s="6"/>
      <c r="P99" s="6"/>
      <c r="Q99" s="6"/>
      <c r="R99" s="6"/>
      <c r="S99" s="6"/>
      <c r="T99" s="6"/>
      <c r="U99" s="6"/>
      <c r="V99" s="6"/>
      <c r="W99" s="6"/>
      <c r="X99" s="6"/>
      <c r="Y99" s="6"/>
      <c r="Z99" s="6"/>
      <c r="AA99" s="6"/>
      <c r="AB99" s="6"/>
    </row>
    <row r="100" ht="15.75" customHeight="1">
      <c r="A100" s="130"/>
      <c r="B100" s="2"/>
      <c r="C100" s="132"/>
      <c r="D100" s="132"/>
      <c r="E100" s="132"/>
      <c r="F100" s="132"/>
      <c r="G100" s="6"/>
      <c r="H100" s="6"/>
      <c r="I100" s="6"/>
      <c r="J100" s="6"/>
      <c r="K100" s="6"/>
      <c r="L100" s="6"/>
      <c r="M100" s="6"/>
      <c r="N100" s="6"/>
      <c r="O100" s="6"/>
      <c r="P100" s="6"/>
      <c r="Q100" s="6"/>
      <c r="R100" s="6"/>
      <c r="S100" s="6"/>
      <c r="T100" s="6"/>
      <c r="U100" s="6"/>
      <c r="V100" s="6"/>
      <c r="W100" s="6"/>
      <c r="X100" s="6"/>
      <c r="Y100" s="6"/>
      <c r="Z100" s="6"/>
      <c r="AA100" s="6"/>
      <c r="AB100" s="6"/>
    </row>
    <row r="101" ht="15.75" customHeight="1">
      <c r="A101" s="130"/>
      <c r="B101" s="2"/>
      <c r="C101" s="132"/>
      <c r="D101" s="132"/>
      <c r="E101" s="132"/>
      <c r="F101" s="132"/>
      <c r="G101" s="6"/>
      <c r="H101" s="6"/>
      <c r="I101" s="6"/>
      <c r="J101" s="6"/>
      <c r="K101" s="6"/>
      <c r="L101" s="6"/>
      <c r="M101" s="6"/>
      <c r="N101" s="6"/>
      <c r="O101" s="6"/>
      <c r="P101" s="6"/>
      <c r="Q101" s="6"/>
      <c r="R101" s="6"/>
      <c r="S101" s="6"/>
      <c r="T101" s="6"/>
      <c r="U101" s="6"/>
      <c r="V101" s="6"/>
      <c r="W101" s="6"/>
      <c r="X101" s="6"/>
      <c r="Y101" s="6"/>
      <c r="Z101" s="6"/>
      <c r="AA101" s="6"/>
      <c r="AB101" s="6"/>
    </row>
    <row r="102" ht="15.75" customHeight="1">
      <c r="A102" s="130"/>
      <c r="B102" s="2"/>
      <c r="C102" s="132"/>
      <c r="D102" s="132"/>
      <c r="E102" s="132"/>
      <c r="F102" s="132"/>
      <c r="G102" s="6"/>
      <c r="H102" s="6"/>
      <c r="I102" s="6"/>
      <c r="J102" s="6"/>
      <c r="K102" s="6"/>
      <c r="L102" s="6"/>
      <c r="M102" s="6"/>
      <c r="N102" s="6"/>
      <c r="O102" s="6"/>
      <c r="P102" s="6"/>
      <c r="Q102" s="6"/>
      <c r="R102" s="6"/>
      <c r="S102" s="6"/>
      <c r="T102" s="6"/>
      <c r="U102" s="6"/>
      <c r="V102" s="6"/>
      <c r="W102" s="6"/>
      <c r="X102" s="6"/>
      <c r="Y102" s="6"/>
      <c r="Z102" s="6"/>
      <c r="AA102" s="6"/>
      <c r="AB102" s="6"/>
    </row>
    <row r="103" ht="15.75" customHeight="1">
      <c r="A103" s="130"/>
      <c r="B103" s="2"/>
      <c r="C103" s="132"/>
      <c r="D103" s="132"/>
      <c r="E103" s="132"/>
      <c r="F103" s="132"/>
      <c r="G103" s="6"/>
      <c r="H103" s="6"/>
      <c r="I103" s="6"/>
      <c r="J103" s="6"/>
      <c r="K103" s="6"/>
      <c r="L103" s="6"/>
      <c r="M103" s="6"/>
      <c r="N103" s="6"/>
      <c r="O103" s="6"/>
      <c r="P103" s="6"/>
      <c r="Q103" s="6"/>
      <c r="R103" s="6"/>
      <c r="S103" s="6"/>
      <c r="T103" s="6"/>
      <c r="U103" s="6"/>
      <c r="V103" s="6"/>
      <c r="W103" s="6"/>
      <c r="X103" s="6"/>
      <c r="Y103" s="6"/>
      <c r="Z103" s="6"/>
      <c r="AA103" s="6"/>
      <c r="AB103" s="6"/>
    </row>
    <row r="104" ht="15.75" customHeight="1">
      <c r="A104" s="130"/>
      <c r="B104" s="2"/>
      <c r="C104" s="132"/>
      <c r="D104" s="132"/>
      <c r="E104" s="132"/>
      <c r="F104" s="132"/>
      <c r="G104" s="6"/>
      <c r="H104" s="6"/>
      <c r="I104" s="6"/>
      <c r="J104" s="6"/>
      <c r="K104" s="6"/>
      <c r="L104" s="6"/>
      <c r="M104" s="6"/>
      <c r="N104" s="6"/>
      <c r="O104" s="6"/>
      <c r="P104" s="6"/>
      <c r="Q104" s="6"/>
      <c r="R104" s="6"/>
      <c r="S104" s="6"/>
      <c r="T104" s="6"/>
      <c r="U104" s="6"/>
      <c r="V104" s="6"/>
      <c r="W104" s="6"/>
      <c r="X104" s="6"/>
      <c r="Y104" s="6"/>
      <c r="Z104" s="6"/>
      <c r="AA104" s="6"/>
      <c r="AB104" s="6"/>
    </row>
    <row r="105" ht="15.75" customHeight="1">
      <c r="A105" s="130"/>
      <c r="B105" s="2"/>
      <c r="C105" s="132"/>
      <c r="D105" s="132"/>
      <c r="E105" s="132"/>
      <c r="F105" s="132"/>
      <c r="G105" s="6"/>
      <c r="H105" s="6"/>
      <c r="I105" s="6"/>
      <c r="J105" s="6"/>
      <c r="K105" s="6"/>
      <c r="L105" s="6"/>
      <c r="M105" s="6"/>
      <c r="N105" s="6"/>
      <c r="O105" s="6"/>
      <c r="P105" s="6"/>
      <c r="Q105" s="6"/>
      <c r="R105" s="6"/>
      <c r="S105" s="6"/>
      <c r="T105" s="6"/>
      <c r="U105" s="6"/>
      <c r="V105" s="6"/>
      <c r="W105" s="6"/>
      <c r="X105" s="6"/>
      <c r="Y105" s="6"/>
      <c r="Z105" s="6"/>
      <c r="AA105" s="6"/>
      <c r="AB105" s="6"/>
    </row>
    <row r="106" ht="15.75" customHeight="1">
      <c r="A106" s="130"/>
      <c r="B106" s="2"/>
      <c r="C106" s="132"/>
      <c r="D106" s="132"/>
      <c r="E106" s="132"/>
      <c r="F106" s="132"/>
      <c r="G106" s="6"/>
      <c r="H106" s="6"/>
      <c r="I106" s="6"/>
      <c r="J106" s="6"/>
      <c r="K106" s="6"/>
      <c r="L106" s="6"/>
      <c r="M106" s="6"/>
      <c r="N106" s="6"/>
      <c r="O106" s="6"/>
      <c r="P106" s="6"/>
      <c r="Q106" s="6"/>
      <c r="R106" s="6"/>
      <c r="S106" s="6"/>
      <c r="T106" s="6"/>
      <c r="U106" s="6"/>
      <c r="V106" s="6"/>
      <c r="W106" s="6"/>
      <c r="X106" s="6"/>
      <c r="Y106" s="6"/>
      <c r="Z106" s="6"/>
      <c r="AA106" s="6"/>
      <c r="AB106" s="6"/>
    </row>
    <row r="107" ht="15.75" customHeight="1">
      <c r="A107" s="130"/>
      <c r="B107" s="2"/>
      <c r="C107" s="132"/>
      <c r="D107" s="132"/>
      <c r="E107" s="132"/>
      <c r="F107" s="132"/>
      <c r="G107" s="6"/>
      <c r="H107" s="6"/>
      <c r="I107" s="6"/>
      <c r="J107" s="6"/>
      <c r="K107" s="6"/>
      <c r="L107" s="6"/>
      <c r="M107" s="6"/>
      <c r="N107" s="6"/>
      <c r="O107" s="6"/>
      <c r="P107" s="6"/>
      <c r="Q107" s="6"/>
      <c r="R107" s="6"/>
      <c r="S107" s="6"/>
      <c r="T107" s="6"/>
      <c r="U107" s="6"/>
      <c r="V107" s="6"/>
      <c r="W107" s="6"/>
      <c r="X107" s="6"/>
      <c r="Y107" s="6"/>
      <c r="Z107" s="6"/>
      <c r="AA107" s="6"/>
      <c r="AB107" s="6"/>
    </row>
    <row r="108" ht="15.75" customHeight="1">
      <c r="A108" s="130"/>
      <c r="B108" s="2"/>
      <c r="C108" s="132"/>
      <c r="D108" s="132"/>
      <c r="E108" s="132"/>
      <c r="F108" s="132"/>
      <c r="G108" s="6"/>
      <c r="H108" s="6"/>
      <c r="I108" s="6"/>
      <c r="J108" s="6"/>
      <c r="K108" s="6"/>
      <c r="L108" s="6"/>
      <c r="M108" s="6"/>
      <c r="N108" s="6"/>
      <c r="O108" s="6"/>
      <c r="P108" s="6"/>
      <c r="Q108" s="6"/>
      <c r="R108" s="6"/>
      <c r="S108" s="6"/>
      <c r="T108" s="6"/>
      <c r="U108" s="6"/>
      <c r="V108" s="6"/>
      <c r="W108" s="6"/>
      <c r="X108" s="6"/>
      <c r="Y108" s="6"/>
      <c r="Z108" s="6"/>
      <c r="AA108" s="6"/>
      <c r="AB108" s="6"/>
    </row>
    <row r="109" ht="15.75" customHeight="1">
      <c r="A109" s="130"/>
      <c r="B109" s="2"/>
      <c r="C109" s="132"/>
      <c r="D109" s="132"/>
      <c r="E109" s="132"/>
      <c r="F109" s="132"/>
      <c r="G109" s="6"/>
      <c r="H109" s="6"/>
      <c r="I109" s="6"/>
      <c r="J109" s="6"/>
      <c r="K109" s="6"/>
      <c r="L109" s="6"/>
      <c r="M109" s="6"/>
      <c r="N109" s="6"/>
      <c r="O109" s="6"/>
      <c r="P109" s="6"/>
      <c r="Q109" s="6"/>
      <c r="R109" s="6"/>
      <c r="S109" s="6"/>
      <c r="T109" s="6"/>
      <c r="U109" s="6"/>
      <c r="V109" s="6"/>
      <c r="W109" s="6"/>
      <c r="X109" s="6"/>
      <c r="Y109" s="6"/>
      <c r="Z109" s="6"/>
      <c r="AA109" s="6"/>
      <c r="AB109" s="6"/>
    </row>
    <row r="110" ht="15.75" customHeight="1">
      <c r="A110" s="130"/>
      <c r="B110" s="2"/>
      <c r="C110" s="132"/>
      <c r="D110" s="132"/>
      <c r="E110" s="132"/>
      <c r="F110" s="132"/>
      <c r="G110" s="6"/>
      <c r="H110" s="6"/>
      <c r="I110" s="6"/>
      <c r="J110" s="6"/>
      <c r="K110" s="6"/>
      <c r="L110" s="6"/>
      <c r="M110" s="6"/>
      <c r="N110" s="6"/>
      <c r="O110" s="6"/>
      <c r="P110" s="6"/>
      <c r="Q110" s="6"/>
      <c r="R110" s="6"/>
      <c r="S110" s="6"/>
      <c r="T110" s="6"/>
      <c r="U110" s="6"/>
      <c r="V110" s="6"/>
      <c r="W110" s="6"/>
      <c r="X110" s="6"/>
      <c r="Y110" s="6"/>
      <c r="Z110" s="6"/>
      <c r="AA110" s="6"/>
      <c r="AB110" s="6"/>
    </row>
    <row r="111" ht="15.75" customHeight="1">
      <c r="A111" s="130"/>
      <c r="B111" s="2"/>
      <c r="C111" s="132"/>
      <c r="D111" s="132"/>
      <c r="E111" s="132"/>
      <c r="F111" s="132"/>
      <c r="G111" s="6"/>
      <c r="H111" s="6"/>
      <c r="I111" s="6"/>
      <c r="J111" s="6"/>
      <c r="K111" s="6"/>
      <c r="L111" s="6"/>
      <c r="M111" s="6"/>
      <c r="N111" s="6"/>
      <c r="O111" s="6"/>
      <c r="P111" s="6"/>
      <c r="Q111" s="6"/>
      <c r="R111" s="6"/>
      <c r="S111" s="6"/>
      <c r="T111" s="6"/>
      <c r="U111" s="6"/>
      <c r="V111" s="6"/>
      <c r="W111" s="6"/>
      <c r="X111" s="6"/>
      <c r="Y111" s="6"/>
      <c r="Z111" s="6"/>
      <c r="AA111" s="6"/>
      <c r="AB111" s="6"/>
    </row>
    <row r="112" ht="15.75" customHeight="1">
      <c r="A112" s="130"/>
      <c r="B112" s="2"/>
      <c r="C112" s="132"/>
      <c r="D112" s="132"/>
      <c r="E112" s="132"/>
      <c r="F112" s="132"/>
      <c r="G112" s="6"/>
      <c r="H112" s="6"/>
      <c r="I112" s="6"/>
      <c r="J112" s="6"/>
      <c r="K112" s="6"/>
      <c r="L112" s="6"/>
      <c r="M112" s="6"/>
      <c r="N112" s="6"/>
      <c r="O112" s="6"/>
      <c r="P112" s="6"/>
      <c r="Q112" s="6"/>
      <c r="R112" s="6"/>
      <c r="S112" s="6"/>
      <c r="T112" s="6"/>
      <c r="U112" s="6"/>
      <c r="V112" s="6"/>
      <c r="W112" s="6"/>
      <c r="X112" s="6"/>
      <c r="Y112" s="6"/>
      <c r="Z112" s="6"/>
      <c r="AA112" s="6"/>
      <c r="AB112" s="6"/>
    </row>
    <row r="113" ht="15.75" customHeight="1">
      <c r="A113" s="130"/>
      <c r="B113" s="2"/>
      <c r="C113" s="132"/>
      <c r="D113" s="132"/>
      <c r="E113" s="132"/>
      <c r="F113" s="132"/>
      <c r="G113" s="6"/>
      <c r="H113" s="6"/>
      <c r="I113" s="6"/>
      <c r="J113" s="6"/>
      <c r="K113" s="6"/>
      <c r="L113" s="6"/>
      <c r="M113" s="6"/>
      <c r="N113" s="6"/>
      <c r="O113" s="6"/>
      <c r="P113" s="6"/>
      <c r="Q113" s="6"/>
      <c r="R113" s="6"/>
      <c r="S113" s="6"/>
      <c r="T113" s="6"/>
      <c r="U113" s="6"/>
      <c r="V113" s="6"/>
      <c r="W113" s="6"/>
      <c r="X113" s="6"/>
      <c r="Y113" s="6"/>
      <c r="Z113" s="6"/>
      <c r="AA113" s="6"/>
      <c r="AB113" s="6"/>
    </row>
    <row r="114" ht="15.75" customHeight="1">
      <c r="A114" s="130"/>
      <c r="B114" s="2"/>
      <c r="C114" s="132"/>
      <c r="D114" s="132"/>
      <c r="E114" s="132"/>
      <c r="F114" s="132"/>
      <c r="G114" s="6"/>
      <c r="H114" s="6"/>
      <c r="I114" s="6"/>
      <c r="J114" s="6"/>
      <c r="K114" s="6"/>
      <c r="L114" s="6"/>
      <c r="M114" s="6"/>
      <c r="N114" s="6"/>
      <c r="O114" s="6"/>
      <c r="P114" s="6"/>
      <c r="Q114" s="6"/>
      <c r="R114" s="6"/>
      <c r="S114" s="6"/>
      <c r="T114" s="6"/>
      <c r="U114" s="6"/>
      <c r="V114" s="6"/>
      <c r="W114" s="6"/>
      <c r="X114" s="6"/>
      <c r="Y114" s="6"/>
      <c r="Z114" s="6"/>
      <c r="AA114" s="6"/>
      <c r="AB114" s="6"/>
    </row>
    <row r="115" ht="15.75" customHeight="1">
      <c r="A115" s="130"/>
      <c r="B115" s="2"/>
      <c r="C115" s="132"/>
      <c r="D115" s="132"/>
      <c r="E115" s="132"/>
      <c r="F115" s="132"/>
      <c r="G115" s="6"/>
      <c r="H115" s="6"/>
      <c r="I115" s="6"/>
      <c r="J115" s="6"/>
      <c r="K115" s="6"/>
      <c r="L115" s="6"/>
      <c r="M115" s="6"/>
      <c r="N115" s="6"/>
      <c r="O115" s="6"/>
      <c r="P115" s="6"/>
      <c r="Q115" s="6"/>
      <c r="R115" s="6"/>
      <c r="S115" s="6"/>
      <c r="T115" s="6"/>
      <c r="U115" s="6"/>
      <c r="V115" s="6"/>
      <c r="W115" s="6"/>
      <c r="X115" s="6"/>
      <c r="Y115" s="6"/>
      <c r="Z115" s="6"/>
      <c r="AA115" s="6"/>
      <c r="AB115" s="6"/>
    </row>
    <row r="116" ht="15.75" customHeight="1">
      <c r="A116" s="130"/>
      <c r="B116" s="2"/>
      <c r="C116" s="132"/>
      <c r="D116" s="132"/>
      <c r="E116" s="132"/>
      <c r="F116" s="132"/>
      <c r="G116" s="6"/>
      <c r="H116" s="6"/>
      <c r="I116" s="6"/>
      <c r="J116" s="6"/>
      <c r="K116" s="6"/>
      <c r="L116" s="6"/>
      <c r="M116" s="6"/>
      <c r="N116" s="6"/>
      <c r="O116" s="6"/>
      <c r="P116" s="6"/>
      <c r="Q116" s="6"/>
      <c r="R116" s="6"/>
      <c r="S116" s="6"/>
      <c r="T116" s="6"/>
      <c r="U116" s="6"/>
      <c r="V116" s="6"/>
      <c r="W116" s="6"/>
      <c r="X116" s="6"/>
      <c r="Y116" s="6"/>
      <c r="Z116" s="6"/>
      <c r="AA116" s="6"/>
      <c r="AB116" s="6"/>
    </row>
    <row r="117" ht="15.75" customHeight="1">
      <c r="A117" s="130"/>
      <c r="B117" s="2"/>
      <c r="C117" s="132"/>
      <c r="D117" s="132"/>
      <c r="E117" s="132"/>
      <c r="F117" s="132"/>
      <c r="G117" s="6"/>
      <c r="H117" s="6"/>
      <c r="I117" s="6"/>
      <c r="J117" s="6"/>
      <c r="K117" s="6"/>
      <c r="L117" s="6"/>
      <c r="M117" s="6"/>
      <c r="N117" s="6"/>
      <c r="O117" s="6"/>
      <c r="P117" s="6"/>
      <c r="Q117" s="6"/>
      <c r="R117" s="6"/>
      <c r="S117" s="6"/>
      <c r="T117" s="6"/>
      <c r="U117" s="6"/>
      <c r="V117" s="6"/>
      <c r="W117" s="6"/>
      <c r="X117" s="6"/>
      <c r="Y117" s="6"/>
      <c r="Z117" s="6"/>
      <c r="AA117" s="6"/>
      <c r="AB117" s="6"/>
    </row>
    <row r="118" ht="15.75" customHeight="1">
      <c r="A118" s="130"/>
      <c r="B118" s="2"/>
      <c r="C118" s="132"/>
      <c r="D118" s="132"/>
      <c r="E118" s="132"/>
      <c r="F118" s="132"/>
      <c r="G118" s="6"/>
      <c r="H118" s="6"/>
      <c r="I118" s="6"/>
      <c r="J118" s="6"/>
      <c r="K118" s="6"/>
      <c r="L118" s="6"/>
      <c r="M118" s="6"/>
      <c r="N118" s="6"/>
      <c r="O118" s="6"/>
      <c r="P118" s="6"/>
      <c r="Q118" s="6"/>
      <c r="R118" s="6"/>
      <c r="S118" s="6"/>
      <c r="T118" s="6"/>
      <c r="U118" s="6"/>
      <c r="V118" s="6"/>
      <c r="W118" s="6"/>
      <c r="X118" s="6"/>
      <c r="Y118" s="6"/>
      <c r="Z118" s="6"/>
      <c r="AA118" s="6"/>
      <c r="AB118" s="6"/>
    </row>
    <row r="119" ht="15.75" customHeight="1">
      <c r="A119" s="130"/>
      <c r="B119" s="2"/>
      <c r="C119" s="132"/>
      <c r="D119" s="132"/>
      <c r="E119" s="132"/>
      <c r="F119" s="132"/>
      <c r="G119" s="6"/>
      <c r="H119" s="6"/>
      <c r="I119" s="6"/>
      <c r="J119" s="6"/>
      <c r="K119" s="6"/>
      <c r="L119" s="6"/>
      <c r="M119" s="6"/>
      <c r="N119" s="6"/>
      <c r="O119" s="6"/>
      <c r="P119" s="6"/>
      <c r="Q119" s="6"/>
      <c r="R119" s="6"/>
      <c r="S119" s="6"/>
      <c r="T119" s="6"/>
      <c r="U119" s="6"/>
      <c r="V119" s="6"/>
      <c r="W119" s="6"/>
      <c r="X119" s="6"/>
      <c r="Y119" s="6"/>
      <c r="Z119" s="6"/>
      <c r="AA119" s="6"/>
      <c r="AB119" s="6"/>
    </row>
    <row r="120" ht="15.75" customHeight="1">
      <c r="A120" s="130"/>
      <c r="B120" s="2"/>
      <c r="C120" s="132"/>
      <c r="D120" s="132"/>
      <c r="E120" s="132"/>
      <c r="F120" s="132"/>
      <c r="G120" s="6"/>
      <c r="H120" s="6"/>
      <c r="I120" s="6"/>
      <c r="J120" s="6"/>
      <c r="K120" s="6"/>
      <c r="L120" s="6"/>
      <c r="M120" s="6"/>
      <c r="N120" s="6"/>
      <c r="O120" s="6"/>
      <c r="P120" s="6"/>
      <c r="Q120" s="6"/>
      <c r="R120" s="6"/>
      <c r="S120" s="6"/>
      <c r="T120" s="6"/>
      <c r="U120" s="6"/>
      <c r="V120" s="6"/>
      <c r="W120" s="6"/>
      <c r="X120" s="6"/>
      <c r="Y120" s="6"/>
      <c r="Z120" s="6"/>
      <c r="AA120" s="6"/>
      <c r="AB120" s="6"/>
    </row>
    <row r="121" ht="15.75" customHeight="1">
      <c r="A121" s="130"/>
      <c r="B121" s="2"/>
      <c r="C121" s="132"/>
      <c r="D121" s="132"/>
      <c r="E121" s="132"/>
      <c r="F121" s="132"/>
      <c r="G121" s="6"/>
      <c r="H121" s="6"/>
      <c r="I121" s="6"/>
      <c r="J121" s="6"/>
      <c r="K121" s="6"/>
      <c r="L121" s="6"/>
      <c r="M121" s="6"/>
      <c r="N121" s="6"/>
      <c r="O121" s="6"/>
      <c r="P121" s="6"/>
      <c r="Q121" s="6"/>
      <c r="R121" s="6"/>
      <c r="S121" s="6"/>
      <c r="T121" s="6"/>
      <c r="U121" s="6"/>
      <c r="V121" s="6"/>
      <c r="W121" s="6"/>
      <c r="X121" s="6"/>
      <c r="Y121" s="6"/>
      <c r="Z121" s="6"/>
      <c r="AA121" s="6"/>
      <c r="AB121" s="6"/>
    </row>
    <row r="122" ht="15.75" customHeight="1">
      <c r="A122" s="130"/>
      <c r="B122" s="2"/>
      <c r="C122" s="132"/>
      <c r="D122" s="132"/>
      <c r="E122" s="132"/>
      <c r="F122" s="132"/>
      <c r="G122" s="6"/>
      <c r="H122" s="6"/>
      <c r="I122" s="6"/>
      <c r="J122" s="6"/>
      <c r="K122" s="6"/>
      <c r="L122" s="6"/>
      <c r="M122" s="6"/>
      <c r="N122" s="6"/>
      <c r="O122" s="6"/>
      <c r="P122" s="6"/>
      <c r="Q122" s="6"/>
      <c r="R122" s="6"/>
      <c r="S122" s="6"/>
      <c r="T122" s="6"/>
      <c r="U122" s="6"/>
      <c r="V122" s="6"/>
      <c r="W122" s="6"/>
      <c r="X122" s="6"/>
      <c r="Y122" s="6"/>
      <c r="Z122" s="6"/>
      <c r="AA122" s="6"/>
      <c r="AB122" s="6"/>
    </row>
    <row r="123" ht="15.75" customHeight="1">
      <c r="A123" s="130"/>
      <c r="B123" s="2"/>
      <c r="C123" s="132"/>
      <c r="D123" s="132"/>
      <c r="E123" s="132"/>
      <c r="F123" s="132"/>
      <c r="G123" s="6"/>
      <c r="H123" s="6"/>
      <c r="I123" s="6"/>
      <c r="J123" s="6"/>
      <c r="K123" s="6"/>
      <c r="L123" s="6"/>
      <c r="M123" s="6"/>
      <c r="N123" s="6"/>
      <c r="O123" s="6"/>
      <c r="P123" s="6"/>
      <c r="Q123" s="6"/>
      <c r="R123" s="6"/>
      <c r="S123" s="6"/>
      <c r="T123" s="6"/>
      <c r="U123" s="6"/>
      <c r="V123" s="6"/>
      <c r="W123" s="6"/>
      <c r="X123" s="6"/>
      <c r="Y123" s="6"/>
      <c r="Z123" s="6"/>
      <c r="AA123" s="6"/>
      <c r="AB123" s="6"/>
    </row>
    <row r="124" ht="15.75" customHeight="1">
      <c r="A124" s="130"/>
      <c r="B124" s="2"/>
      <c r="C124" s="132"/>
      <c r="D124" s="132"/>
      <c r="E124" s="132"/>
      <c r="F124" s="132"/>
      <c r="G124" s="6"/>
      <c r="H124" s="6"/>
      <c r="I124" s="6"/>
      <c r="J124" s="6"/>
      <c r="K124" s="6"/>
      <c r="L124" s="6"/>
      <c r="M124" s="6"/>
      <c r="N124" s="6"/>
      <c r="O124" s="6"/>
      <c r="P124" s="6"/>
      <c r="Q124" s="6"/>
      <c r="R124" s="6"/>
      <c r="S124" s="6"/>
      <c r="T124" s="6"/>
      <c r="U124" s="6"/>
      <c r="V124" s="6"/>
      <c r="W124" s="6"/>
      <c r="X124" s="6"/>
      <c r="Y124" s="6"/>
      <c r="Z124" s="6"/>
      <c r="AA124" s="6"/>
      <c r="AB124" s="6"/>
    </row>
    <row r="125" ht="15.75" customHeight="1">
      <c r="A125" s="130"/>
      <c r="B125" s="2"/>
      <c r="C125" s="132"/>
      <c r="D125" s="132"/>
      <c r="E125" s="132"/>
      <c r="F125" s="132"/>
      <c r="G125" s="6"/>
      <c r="H125" s="6"/>
      <c r="I125" s="6"/>
      <c r="J125" s="6"/>
      <c r="K125" s="6"/>
      <c r="L125" s="6"/>
      <c r="M125" s="6"/>
      <c r="N125" s="6"/>
      <c r="O125" s="6"/>
      <c r="P125" s="6"/>
      <c r="Q125" s="6"/>
      <c r="R125" s="6"/>
      <c r="S125" s="6"/>
      <c r="T125" s="6"/>
      <c r="U125" s="6"/>
      <c r="V125" s="6"/>
      <c r="W125" s="6"/>
      <c r="X125" s="6"/>
      <c r="Y125" s="6"/>
      <c r="Z125" s="6"/>
      <c r="AA125" s="6"/>
      <c r="AB125" s="6"/>
    </row>
    <row r="126" ht="15.75" customHeight="1">
      <c r="A126" s="130"/>
      <c r="B126" s="2"/>
      <c r="C126" s="132"/>
      <c r="D126" s="132"/>
      <c r="E126" s="132"/>
      <c r="F126" s="132"/>
      <c r="G126" s="6"/>
      <c r="H126" s="6"/>
      <c r="I126" s="6"/>
      <c r="J126" s="6"/>
      <c r="K126" s="6"/>
      <c r="L126" s="6"/>
      <c r="M126" s="6"/>
      <c r="N126" s="6"/>
      <c r="O126" s="6"/>
      <c r="P126" s="6"/>
      <c r="Q126" s="6"/>
      <c r="R126" s="6"/>
      <c r="S126" s="6"/>
      <c r="T126" s="6"/>
      <c r="U126" s="6"/>
      <c r="V126" s="6"/>
      <c r="W126" s="6"/>
      <c r="X126" s="6"/>
      <c r="Y126" s="6"/>
      <c r="Z126" s="6"/>
      <c r="AA126" s="6"/>
      <c r="AB126" s="6"/>
    </row>
    <row r="127" ht="15.75" customHeight="1">
      <c r="A127" s="130"/>
      <c r="B127" s="2"/>
      <c r="C127" s="132"/>
      <c r="D127" s="132"/>
      <c r="E127" s="132"/>
      <c r="F127" s="132"/>
      <c r="G127" s="6"/>
      <c r="H127" s="6"/>
      <c r="I127" s="6"/>
      <c r="J127" s="6"/>
      <c r="K127" s="6"/>
      <c r="L127" s="6"/>
      <c r="M127" s="6"/>
      <c r="N127" s="6"/>
      <c r="O127" s="6"/>
      <c r="P127" s="6"/>
      <c r="Q127" s="6"/>
      <c r="R127" s="6"/>
      <c r="S127" s="6"/>
      <c r="T127" s="6"/>
      <c r="U127" s="6"/>
      <c r="V127" s="6"/>
      <c r="W127" s="6"/>
      <c r="X127" s="6"/>
      <c r="Y127" s="6"/>
      <c r="Z127" s="6"/>
      <c r="AA127" s="6"/>
      <c r="AB127" s="6"/>
    </row>
    <row r="128" ht="15.75" customHeight="1">
      <c r="A128" s="130"/>
      <c r="B128" s="2"/>
      <c r="C128" s="132"/>
      <c r="D128" s="132"/>
      <c r="E128" s="132"/>
      <c r="F128" s="132"/>
      <c r="G128" s="6"/>
      <c r="H128" s="6"/>
      <c r="I128" s="6"/>
      <c r="J128" s="6"/>
      <c r="K128" s="6"/>
      <c r="L128" s="6"/>
      <c r="M128" s="6"/>
      <c r="N128" s="6"/>
      <c r="O128" s="6"/>
      <c r="P128" s="6"/>
      <c r="Q128" s="6"/>
      <c r="R128" s="6"/>
      <c r="S128" s="6"/>
      <c r="T128" s="6"/>
      <c r="U128" s="6"/>
      <c r="V128" s="6"/>
      <c r="W128" s="6"/>
      <c r="X128" s="6"/>
      <c r="Y128" s="6"/>
      <c r="Z128" s="6"/>
      <c r="AA128" s="6"/>
      <c r="AB128" s="6"/>
    </row>
    <row r="129" ht="15.75" customHeight="1">
      <c r="A129" s="130"/>
      <c r="B129" s="2"/>
      <c r="C129" s="132"/>
      <c r="D129" s="132"/>
      <c r="E129" s="132"/>
      <c r="F129" s="132"/>
      <c r="G129" s="6"/>
      <c r="H129" s="6"/>
      <c r="I129" s="6"/>
      <c r="J129" s="6"/>
      <c r="K129" s="6"/>
      <c r="L129" s="6"/>
      <c r="M129" s="6"/>
      <c r="N129" s="6"/>
      <c r="O129" s="6"/>
      <c r="P129" s="6"/>
      <c r="Q129" s="6"/>
      <c r="R129" s="6"/>
      <c r="S129" s="6"/>
      <c r="T129" s="6"/>
      <c r="U129" s="6"/>
      <c r="V129" s="6"/>
      <c r="W129" s="6"/>
      <c r="X129" s="6"/>
      <c r="Y129" s="6"/>
      <c r="Z129" s="6"/>
      <c r="AA129" s="6"/>
      <c r="AB129" s="6"/>
    </row>
    <row r="130" ht="15.75" customHeight="1">
      <c r="A130" s="130"/>
      <c r="B130" s="2"/>
      <c r="C130" s="132"/>
      <c r="D130" s="132"/>
      <c r="E130" s="132"/>
      <c r="F130" s="132"/>
      <c r="G130" s="6"/>
      <c r="H130" s="6"/>
      <c r="I130" s="6"/>
      <c r="J130" s="6"/>
      <c r="K130" s="6"/>
      <c r="L130" s="6"/>
      <c r="M130" s="6"/>
      <c r="N130" s="6"/>
      <c r="O130" s="6"/>
      <c r="P130" s="6"/>
      <c r="Q130" s="6"/>
      <c r="R130" s="6"/>
      <c r="S130" s="6"/>
      <c r="T130" s="6"/>
      <c r="U130" s="6"/>
      <c r="V130" s="6"/>
      <c r="W130" s="6"/>
      <c r="X130" s="6"/>
      <c r="Y130" s="6"/>
      <c r="Z130" s="6"/>
      <c r="AA130" s="6"/>
      <c r="AB130" s="6"/>
    </row>
    <row r="131" ht="15.75" customHeight="1">
      <c r="A131" s="130"/>
      <c r="B131" s="2"/>
      <c r="C131" s="132"/>
      <c r="D131" s="132"/>
      <c r="E131" s="132"/>
      <c r="F131" s="132"/>
      <c r="G131" s="6"/>
      <c r="H131" s="6"/>
      <c r="I131" s="6"/>
      <c r="J131" s="6"/>
      <c r="K131" s="6"/>
      <c r="L131" s="6"/>
      <c r="M131" s="6"/>
      <c r="N131" s="6"/>
      <c r="O131" s="6"/>
      <c r="P131" s="6"/>
      <c r="Q131" s="6"/>
      <c r="R131" s="6"/>
      <c r="S131" s="6"/>
      <c r="T131" s="6"/>
      <c r="U131" s="6"/>
      <c r="V131" s="6"/>
      <c r="W131" s="6"/>
      <c r="X131" s="6"/>
      <c r="Y131" s="6"/>
      <c r="Z131" s="6"/>
      <c r="AA131" s="6"/>
      <c r="AB131" s="6"/>
    </row>
    <row r="132" ht="15.75" customHeight="1">
      <c r="A132" s="130"/>
      <c r="B132" s="2"/>
      <c r="C132" s="132"/>
      <c r="D132" s="132"/>
      <c r="E132" s="132"/>
      <c r="F132" s="132"/>
      <c r="G132" s="6"/>
      <c r="H132" s="6"/>
      <c r="I132" s="6"/>
      <c r="J132" s="6"/>
      <c r="K132" s="6"/>
      <c r="L132" s="6"/>
      <c r="M132" s="6"/>
      <c r="N132" s="6"/>
      <c r="O132" s="6"/>
      <c r="P132" s="6"/>
      <c r="Q132" s="6"/>
      <c r="R132" s="6"/>
      <c r="S132" s="6"/>
      <c r="T132" s="6"/>
      <c r="U132" s="6"/>
      <c r="V132" s="6"/>
      <c r="W132" s="6"/>
      <c r="X132" s="6"/>
      <c r="Y132" s="6"/>
      <c r="Z132" s="6"/>
      <c r="AA132" s="6"/>
      <c r="AB132" s="6"/>
    </row>
    <row r="133" ht="15.75" customHeight="1">
      <c r="A133" s="130"/>
      <c r="B133" s="2"/>
      <c r="C133" s="132"/>
      <c r="D133" s="132"/>
      <c r="E133" s="132"/>
      <c r="F133" s="132"/>
      <c r="G133" s="6"/>
      <c r="H133" s="6"/>
      <c r="I133" s="6"/>
      <c r="J133" s="6"/>
      <c r="K133" s="6"/>
      <c r="L133" s="6"/>
      <c r="M133" s="6"/>
      <c r="N133" s="6"/>
      <c r="O133" s="6"/>
      <c r="P133" s="6"/>
      <c r="Q133" s="6"/>
      <c r="R133" s="6"/>
      <c r="S133" s="6"/>
      <c r="T133" s="6"/>
      <c r="U133" s="6"/>
      <c r="V133" s="6"/>
      <c r="W133" s="6"/>
      <c r="X133" s="6"/>
      <c r="Y133" s="6"/>
      <c r="Z133" s="6"/>
      <c r="AA133" s="6"/>
      <c r="AB133" s="6"/>
    </row>
    <row r="134" ht="15.75" customHeight="1">
      <c r="A134" s="130"/>
      <c r="B134" s="2"/>
      <c r="C134" s="132"/>
      <c r="D134" s="132"/>
      <c r="E134" s="132"/>
      <c r="F134" s="132"/>
      <c r="G134" s="6"/>
      <c r="H134" s="6"/>
      <c r="I134" s="6"/>
      <c r="J134" s="6"/>
      <c r="K134" s="6"/>
      <c r="L134" s="6"/>
      <c r="M134" s="6"/>
      <c r="N134" s="6"/>
      <c r="O134" s="6"/>
      <c r="P134" s="6"/>
      <c r="Q134" s="6"/>
      <c r="R134" s="6"/>
      <c r="S134" s="6"/>
      <c r="T134" s="6"/>
      <c r="U134" s="6"/>
      <c r="V134" s="6"/>
      <c r="W134" s="6"/>
      <c r="X134" s="6"/>
      <c r="Y134" s="6"/>
      <c r="Z134" s="6"/>
      <c r="AA134" s="6"/>
      <c r="AB134" s="6"/>
    </row>
    <row r="135" ht="15.75" customHeight="1">
      <c r="A135" s="130"/>
      <c r="B135" s="2"/>
      <c r="C135" s="132"/>
      <c r="D135" s="132"/>
      <c r="E135" s="132"/>
      <c r="F135" s="132"/>
      <c r="G135" s="6"/>
      <c r="H135" s="6"/>
      <c r="I135" s="6"/>
      <c r="J135" s="6"/>
      <c r="K135" s="6"/>
      <c r="L135" s="6"/>
      <c r="M135" s="6"/>
      <c r="N135" s="6"/>
      <c r="O135" s="6"/>
      <c r="P135" s="6"/>
      <c r="Q135" s="6"/>
      <c r="R135" s="6"/>
      <c r="S135" s="6"/>
      <c r="T135" s="6"/>
      <c r="U135" s="6"/>
      <c r="V135" s="6"/>
      <c r="W135" s="6"/>
      <c r="X135" s="6"/>
      <c r="Y135" s="6"/>
      <c r="Z135" s="6"/>
      <c r="AA135" s="6"/>
      <c r="AB135" s="6"/>
    </row>
    <row r="136" ht="15.75" customHeight="1">
      <c r="A136" s="130"/>
      <c r="B136" s="2"/>
      <c r="C136" s="132"/>
      <c r="D136" s="132"/>
      <c r="E136" s="132"/>
      <c r="F136" s="132"/>
      <c r="G136" s="6"/>
      <c r="H136" s="6"/>
      <c r="I136" s="6"/>
      <c r="J136" s="6"/>
      <c r="K136" s="6"/>
      <c r="L136" s="6"/>
      <c r="M136" s="6"/>
      <c r="N136" s="6"/>
      <c r="O136" s="6"/>
      <c r="P136" s="6"/>
      <c r="Q136" s="6"/>
      <c r="R136" s="6"/>
      <c r="S136" s="6"/>
      <c r="T136" s="6"/>
      <c r="U136" s="6"/>
      <c r="V136" s="6"/>
      <c r="W136" s="6"/>
      <c r="X136" s="6"/>
      <c r="Y136" s="6"/>
      <c r="Z136" s="6"/>
      <c r="AA136" s="6"/>
      <c r="AB136" s="6"/>
    </row>
    <row r="137" ht="15.75" customHeight="1">
      <c r="A137" s="130"/>
      <c r="B137" s="2"/>
      <c r="C137" s="132"/>
      <c r="D137" s="132"/>
      <c r="E137" s="132"/>
      <c r="F137" s="132"/>
      <c r="G137" s="6"/>
      <c r="H137" s="6"/>
      <c r="I137" s="6"/>
      <c r="J137" s="6"/>
      <c r="K137" s="6"/>
      <c r="L137" s="6"/>
      <c r="M137" s="6"/>
      <c r="N137" s="6"/>
      <c r="O137" s="6"/>
      <c r="P137" s="6"/>
      <c r="Q137" s="6"/>
      <c r="R137" s="6"/>
      <c r="S137" s="6"/>
      <c r="T137" s="6"/>
      <c r="U137" s="6"/>
      <c r="V137" s="6"/>
      <c r="W137" s="6"/>
      <c r="X137" s="6"/>
      <c r="Y137" s="6"/>
      <c r="Z137" s="6"/>
      <c r="AA137" s="6"/>
      <c r="AB137" s="6"/>
    </row>
    <row r="138" ht="15.75" customHeight="1">
      <c r="A138" s="130"/>
      <c r="B138" s="2"/>
      <c r="C138" s="132"/>
      <c r="D138" s="132"/>
      <c r="E138" s="132"/>
      <c r="F138" s="132"/>
      <c r="G138" s="6"/>
      <c r="H138" s="6"/>
      <c r="I138" s="6"/>
      <c r="J138" s="6"/>
      <c r="K138" s="6"/>
      <c r="L138" s="6"/>
      <c r="M138" s="6"/>
      <c r="N138" s="6"/>
      <c r="O138" s="6"/>
      <c r="P138" s="6"/>
      <c r="Q138" s="6"/>
      <c r="R138" s="6"/>
      <c r="S138" s="6"/>
      <c r="T138" s="6"/>
      <c r="U138" s="6"/>
      <c r="V138" s="6"/>
      <c r="W138" s="6"/>
      <c r="X138" s="6"/>
      <c r="Y138" s="6"/>
      <c r="Z138" s="6"/>
      <c r="AA138" s="6"/>
      <c r="AB138" s="6"/>
    </row>
    <row r="139" ht="15.75" customHeight="1">
      <c r="A139" s="130"/>
      <c r="B139" s="2"/>
      <c r="C139" s="132"/>
      <c r="D139" s="132"/>
      <c r="E139" s="132"/>
      <c r="F139" s="132"/>
      <c r="G139" s="6"/>
      <c r="H139" s="6"/>
      <c r="I139" s="6"/>
      <c r="J139" s="6"/>
      <c r="K139" s="6"/>
      <c r="L139" s="6"/>
      <c r="M139" s="6"/>
      <c r="N139" s="6"/>
      <c r="O139" s="6"/>
      <c r="P139" s="6"/>
      <c r="Q139" s="6"/>
      <c r="R139" s="6"/>
      <c r="S139" s="6"/>
      <c r="T139" s="6"/>
      <c r="U139" s="6"/>
      <c r="V139" s="6"/>
      <c r="W139" s="6"/>
      <c r="X139" s="6"/>
      <c r="Y139" s="6"/>
      <c r="Z139" s="6"/>
      <c r="AA139" s="6"/>
      <c r="AB139" s="6"/>
    </row>
    <row r="140" ht="15.75" customHeight="1">
      <c r="A140" s="130"/>
      <c r="B140" s="2"/>
      <c r="C140" s="132"/>
      <c r="D140" s="132"/>
      <c r="E140" s="132"/>
      <c r="F140" s="132"/>
      <c r="G140" s="6"/>
      <c r="H140" s="6"/>
      <c r="I140" s="6"/>
      <c r="J140" s="6"/>
      <c r="K140" s="6"/>
      <c r="L140" s="6"/>
      <c r="M140" s="6"/>
      <c r="N140" s="6"/>
      <c r="O140" s="6"/>
      <c r="P140" s="6"/>
      <c r="Q140" s="6"/>
      <c r="R140" s="6"/>
      <c r="S140" s="6"/>
      <c r="T140" s="6"/>
      <c r="U140" s="6"/>
      <c r="V140" s="6"/>
      <c r="W140" s="6"/>
      <c r="X140" s="6"/>
      <c r="Y140" s="6"/>
      <c r="Z140" s="6"/>
      <c r="AA140" s="6"/>
      <c r="AB140" s="6"/>
    </row>
    <row r="141" ht="15.75" customHeight="1">
      <c r="A141" s="130"/>
      <c r="B141" s="2"/>
      <c r="C141" s="132"/>
      <c r="D141" s="132"/>
      <c r="E141" s="132"/>
      <c r="F141" s="132"/>
      <c r="G141" s="131"/>
      <c r="H141" s="131"/>
      <c r="I141" s="131"/>
      <c r="J141" s="131"/>
      <c r="K141" s="6"/>
      <c r="L141" s="6"/>
      <c r="M141" s="6"/>
      <c r="N141" s="6"/>
      <c r="O141" s="6"/>
      <c r="P141" s="6"/>
      <c r="Q141" s="6"/>
      <c r="R141" s="6"/>
      <c r="S141" s="6"/>
      <c r="T141" s="6"/>
      <c r="U141" s="6"/>
      <c r="V141" s="6"/>
      <c r="W141" s="6"/>
      <c r="X141" s="6"/>
      <c r="Y141" s="6"/>
      <c r="Z141" s="6"/>
      <c r="AA141" s="6"/>
      <c r="AB141" s="6"/>
    </row>
    <row r="142" ht="15.75" customHeight="1">
      <c r="A142" s="130"/>
      <c r="B142" s="2"/>
      <c r="C142" s="132"/>
      <c r="D142" s="132"/>
      <c r="E142" s="132"/>
      <c r="F142" s="132"/>
      <c r="G142" s="131"/>
      <c r="H142" s="131"/>
      <c r="I142" s="131"/>
      <c r="J142" s="131"/>
      <c r="K142" s="6"/>
      <c r="L142" s="6"/>
      <c r="M142" s="6"/>
      <c r="N142" s="6"/>
      <c r="O142" s="6"/>
      <c r="P142" s="6"/>
      <c r="Q142" s="6"/>
      <c r="R142" s="6"/>
      <c r="S142" s="6"/>
      <c r="T142" s="6"/>
      <c r="U142" s="6"/>
      <c r="V142" s="6"/>
      <c r="W142" s="6"/>
      <c r="X142" s="6"/>
      <c r="Y142" s="6"/>
      <c r="Z142" s="6"/>
      <c r="AA142" s="6"/>
      <c r="AB142" s="6"/>
    </row>
    <row r="143" ht="15.75" customHeight="1">
      <c r="A143" s="130"/>
      <c r="B143" s="2"/>
      <c r="C143" s="132"/>
      <c r="D143" s="132"/>
      <c r="E143" s="132"/>
      <c r="F143" s="132"/>
      <c r="G143" s="131"/>
      <c r="H143" s="131"/>
      <c r="I143" s="131"/>
      <c r="J143" s="131"/>
      <c r="K143" s="6"/>
      <c r="L143" s="6"/>
      <c r="M143" s="6"/>
      <c r="N143" s="6"/>
      <c r="O143" s="6"/>
      <c r="P143" s="6"/>
      <c r="Q143" s="6"/>
      <c r="R143" s="6"/>
      <c r="S143" s="6"/>
      <c r="T143" s="6"/>
      <c r="U143" s="6"/>
      <c r="V143" s="6"/>
      <c r="W143" s="6"/>
      <c r="X143" s="6"/>
      <c r="Y143" s="6"/>
      <c r="Z143" s="6"/>
      <c r="AA143" s="6"/>
      <c r="AB143" s="6"/>
    </row>
    <row r="144" ht="15.75" customHeight="1">
      <c r="A144" s="130"/>
      <c r="B144" s="2"/>
      <c r="C144" s="132"/>
      <c r="D144" s="132"/>
      <c r="E144" s="132"/>
      <c r="F144" s="132"/>
      <c r="G144" s="131"/>
      <c r="H144" s="131"/>
      <c r="I144" s="131"/>
      <c r="J144" s="131"/>
      <c r="K144" s="6"/>
      <c r="L144" s="6"/>
      <c r="M144" s="6"/>
      <c r="N144" s="6"/>
      <c r="O144" s="6"/>
      <c r="P144" s="6"/>
      <c r="Q144" s="6"/>
      <c r="R144" s="6"/>
      <c r="S144" s="6"/>
      <c r="T144" s="6"/>
      <c r="U144" s="6"/>
      <c r="V144" s="6"/>
      <c r="W144" s="6"/>
      <c r="X144" s="6"/>
      <c r="Y144" s="6"/>
      <c r="Z144" s="6"/>
      <c r="AA144" s="6"/>
      <c r="AB144" s="6"/>
    </row>
    <row r="145" ht="15.75" customHeight="1">
      <c r="A145" s="130"/>
      <c r="B145" s="2"/>
      <c r="C145" s="132"/>
      <c r="D145" s="132"/>
      <c r="E145" s="132"/>
      <c r="F145" s="132"/>
      <c r="G145" s="131"/>
      <c r="H145" s="131"/>
      <c r="I145" s="131"/>
      <c r="J145" s="131"/>
      <c r="K145" s="6"/>
      <c r="L145" s="6"/>
      <c r="M145" s="6"/>
      <c r="N145" s="6"/>
      <c r="O145" s="6"/>
      <c r="P145" s="6"/>
      <c r="Q145" s="6"/>
      <c r="R145" s="6"/>
      <c r="S145" s="6"/>
      <c r="T145" s="6"/>
      <c r="U145" s="6"/>
      <c r="V145" s="6"/>
      <c r="W145" s="6"/>
      <c r="X145" s="6"/>
      <c r="Y145" s="6"/>
      <c r="Z145" s="6"/>
      <c r="AA145" s="6"/>
      <c r="AB145" s="6"/>
    </row>
    <row r="146" ht="15.75" customHeight="1">
      <c r="A146" s="130"/>
      <c r="B146" s="2"/>
      <c r="C146" s="132"/>
      <c r="D146" s="132"/>
      <c r="E146" s="132"/>
      <c r="F146" s="132"/>
      <c r="G146" s="13"/>
      <c r="H146" s="13"/>
      <c r="I146" s="13"/>
      <c r="J146" s="13"/>
      <c r="K146" s="6"/>
      <c r="L146" s="6"/>
      <c r="M146" s="6"/>
      <c r="N146" s="6"/>
      <c r="O146" s="6"/>
      <c r="P146" s="6"/>
      <c r="Q146" s="6"/>
      <c r="R146" s="6"/>
      <c r="S146" s="6"/>
      <c r="T146" s="6"/>
      <c r="U146" s="6"/>
      <c r="V146" s="6"/>
      <c r="W146" s="6"/>
      <c r="X146" s="6"/>
      <c r="Y146" s="6"/>
      <c r="Z146" s="6"/>
      <c r="AA146" s="6"/>
      <c r="AB146" s="6"/>
    </row>
    <row r="147" ht="15.75" customHeight="1">
      <c r="A147" s="130"/>
      <c r="B147" s="2"/>
      <c r="C147" s="132"/>
      <c r="D147" s="132"/>
      <c r="E147" s="132"/>
      <c r="F147" s="132"/>
      <c r="G147" s="13"/>
      <c r="H147" s="13"/>
      <c r="I147" s="13"/>
      <c r="J147" s="13"/>
      <c r="K147" s="6"/>
      <c r="L147" s="6"/>
      <c r="M147" s="6"/>
      <c r="N147" s="6"/>
      <c r="O147" s="6"/>
      <c r="P147" s="6"/>
      <c r="Q147" s="6"/>
      <c r="R147" s="6"/>
      <c r="S147" s="6"/>
      <c r="T147" s="6"/>
      <c r="U147" s="6"/>
      <c r="V147" s="6"/>
      <c r="W147" s="6"/>
      <c r="X147" s="6"/>
      <c r="Y147" s="6"/>
      <c r="Z147" s="6"/>
      <c r="AA147" s="6"/>
      <c r="AB147" s="6"/>
    </row>
    <row r="148" ht="15.75" customHeight="1">
      <c r="A148" s="130"/>
      <c r="B148" s="2"/>
      <c r="C148" s="132"/>
      <c r="D148" s="132"/>
      <c r="E148" s="132"/>
      <c r="F148" s="132"/>
      <c r="G148" s="13"/>
      <c r="H148" s="13"/>
      <c r="I148" s="13"/>
      <c r="J148" s="13"/>
      <c r="K148" s="6"/>
      <c r="L148" s="6"/>
      <c r="M148" s="6"/>
      <c r="N148" s="6"/>
      <c r="O148" s="6"/>
      <c r="P148" s="6"/>
      <c r="Q148" s="6"/>
      <c r="R148" s="6"/>
      <c r="S148" s="6"/>
      <c r="T148" s="6"/>
      <c r="U148" s="6"/>
      <c r="V148" s="6"/>
      <c r="W148" s="6"/>
      <c r="X148" s="6"/>
      <c r="Y148" s="6"/>
      <c r="Z148" s="6"/>
      <c r="AA148" s="6"/>
      <c r="AB148" s="6"/>
    </row>
    <row r="149" ht="15.75" customHeight="1">
      <c r="A149" s="130"/>
      <c r="B149" s="2"/>
      <c r="C149" s="132"/>
      <c r="D149" s="132"/>
      <c r="E149" s="132"/>
      <c r="F149" s="132"/>
      <c r="G149" s="131"/>
      <c r="H149" s="131"/>
      <c r="I149" s="131"/>
      <c r="J149" s="131"/>
      <c r="K149" s="6"/>
      <c r="L149" s="6"/>
      <c r="M149" s="6"/>
      <c r="N149" s="6"/>
      <c r="O149" s="6"/>
      <c r="P149" s="6"/>
      <c r="Q149" s="6"/>
      <c r="R149" s="6"/>
      <c r="S149" s="6"/>
      <c r="T149" s="6"/>
      <c r="U149" s="6"/>
      <c r="V149" s="6"/>
      <c r="W149" s="6"/>
      <c r="X149" s="6"/>
      <c r="Y149" s="6"/>
      <c r="Z149" s="6"/>
      <c r="AA149" s="6"/>
      <c r="AB149" s="6"/>
    </row>
    <row r="150" ht="15.75" customHeight="1">
      <c r="A150" s="130"/>
      <c r="B150" s="2"/>
      <c r="C150" s="132"/>
      <c r="D150" s="132"/>
      <c r="E150" s="132"/>
      <c r="F150" s="132"/>
      <c r="G150" s="131"/>
      <c r="H150" s="131"/>
      <c r="I150" s="131"/>
      <c r="J150" s="131"/>
      <c r="K150" s="6"/>
      <c r="L150" s="6"/>
      <c r="M150" s="6"/>
      <c r="N150" s="6"/>
      <c r="O150" s="6"/>
      <c r="P150" s="6"/>
      <c r="Q150" s="6"/>
      <c r="R150" s="6"/>
      <c r="S150" s="6"/>
      <c r="T150" s="6"/>
      <c r="U150" s="6"/>
      <c r="V150" s="6"/>
      <c r="W150" s="6"/>
      <c r="X150" s="6"/>
      <c r="Y150" s="6"/>
      <c r="Z150" s="6"/>
      <c r="AA150" s="6"/>
      <c r="AB150" s="6"/>
    </row>
    <row r="151" ht="15.75" customHeight="1">
      <c r="A151" s="130"/>
      <c r="B151" s="2"/>
      <c r="C151" s="132"/>
      <c r="D151" s="132"/>
      <c r="E151" s="132"/>
      <c r="F151" s="132"/>
      <c r="G151" s="131"/>
      <c r="H151" s="131"/>
      <c r="I151" s="131"/>
      <c r="J151" s="131"/>
      <c r="K151" s="6"/>
      <c r="L151" s="6"/>
      <c r="M151" s="6"/>
      <c r="N151" s="6"/>
      <c r="O151" s="6"/>
      <c r="P151" s="6"/>
      <c r="Q151" s="6"/>
      <c r="R151" s="6"/>
      <c r="S151" s="6"/>
      <c r="T151" s="6"/>
      <c r="U151" s="6"/>
      <c r="V151" s="6"/>
      <c r="W151" s="6"/>
      <c r="X151" s="6"/>
      <c r="Y151" s="6"/>
      <c r="Z151" s="6"/>
      <c r="AA151" s="6"/>
      <c r="AB151" s="6"/>
    </row>
    <row r="152" ht="15.75" customHeight="1">
      <c r="A152" s="130"/>
      <c r="B152" s="2"/>
      <c r="C152" s="132"/>
      <c r="D152" s="132"/>
      <c r="E152" s="132"/>
      <c r="F152" s="132"/>
      <c r="G152" s="131"/>
      <c r="H152" s="131"/>
      <c r="I152" s="131"/>
      <c r="J152" s="131"/>
      <c r="K152" s="6"/>
      <c r="L152" s="6"/>
      <c r="M152" s="6"/>
      <c r="N152" s="6"/>
      <c r="O152" s="6"/>
      <c r="P152" s="6"/>
      <c r="Q152" s="6"/>
      <c r="R152" s="6"/>
      <c r="S152" s="6"/>
      <c r="T152" s="6"/>
      <c r="U152" s="6"/>
      <c r="V152" s="6"/>
      <c r="W152" s="6"/>
      <c r="X152" s="6"/>
      <c r="Y152" s="6"/>
      <c r="Z152" s="6"/>
      <c r="AA152" s="6"/>
      <c r="AB152" s="6"/>
    </row>
    <row r="153" ht="15.75" customHeight="1">
      <c r="A153" s="130"/>
      <c r="B153" s="2"/>
      <c r="C153" s="132"/>
      <c r="D153" s="132"/>
      <c r="E153" s="132"/>
      <c r="F153" s="132"/>
      <c r="G153" s="131"/>
      <c r="H153" s="131"/>
      <c r="I153" s="131"/>
      <c r="J153" s="131"/>
      <c r="K153" s="6"/>
      <c r="L153" s="6"/>
      <c r="M153" s="6"/>
      <c r="N153" s="6"/>
      <c r="O153" s="6"/>
      <c r="P153" s="6"/>
      <c r="Q153" s="6"/>
      <c r="R153" s="6"/>
      <c r="S153" s="6"/>
      <c r="T153" s="6"/>
      <c r="U153" s="6"/>
      <c r="V153" s="6"/>
      <c r="W153" s="6"/>
      <c r="X153" s="6"/>
      <c r="Y153" s="6"/>
      <c r="Z153" s="6"/>
      <c r="AA153" s="6"/>
      <c r="AB153" s="6"/>
    </row>
    <row r="154" ht="15.75" customHeight="1">
      <c r="A154" s="130"/>
      <c r="B154" s="2"/>
      <c r="C154" s="132"/>
      <c r="D154" s="132"/>
      <c r="E154" s="132"/>
      <c r="F154" s="132"/>
      <c r="G154" s="6"/>
      <c r="H154" s="6"/>
      <c r="I154" s="6"/>
      <c r="J154" s="6"/>
      <c r="K154" s="6"/>
      <c r="L154" s="6"/>
      <c r="M154" s="6"/>
      <c r="N154" s="6"/>
      <c r="O154" s="6"/>
      <c r="P154" s="6"/>
      <c r="Q154" s="6"/>
      <c r="R154" s="6"/>
      <c r="S154" s="6"/>
      <c r="T154" s="6"/>
      <c r="U154" s="6"/>
      <c r="V154" s="6"/>
      <c r="W154" s="6"/>
      <c r="X154" s="6"/>
      <c r="Y154" s="6"/>
      <c r="Z154" s="6"/>
      <c r="AA154" s="6"/>
      <c r="AB154" s="6"/>
    </row>
    <row r="155" ht="15.75" customHeight="1">
      <c r="A155" s="130"/>
      <c r="B155" s="2"/>
      <c r="C155" s="132"/>
      <c r="D155" s="132"/>
      <c r="E155" s="132"/>
      <c r="F155" s="132"/>
      <c r="G155" s="6"/>
      <c r="H155" s="6"/>
      <c r="I155" s="6"/>
      <c r="J155" s="6"/>
      <c r="K155" s="6"/>
      <c r="L155" s="6"/>
      <c r="M155" s="6"/>
      <c r="N155" s="6"/>
      <c r="O155" s="6"/>
      <c r="P155" s="6"/>
      <c r="Q155" s="6"/>
      <c r="R155" s="6"/>
      <c r="S155" s="6"/>
      <c r="T155" s="6"/>
      <c r="U155" s="6"/>
      <c r="V155" s="6"/>
      <c r="W155" s="6"/>
      <c r="X155" s="6"/>
      <c r="Y155" s="6"/>
      <c r="Z155" s="6"/>
      <c r="AA155" s="6"/>
      <c r="AB155" s="6"/>
    </row>
    <row r="156" ht="15.75" customHeight="1">
      <c r="A156" s="130"/>
      <c r="B156" s="2"/>
      <c r="C156" s="132"/>
      <c r="D156" s="132"/>
      <c r="E156" s="132"/>
      <c r="F156" s="132"/>
      <c r="G156" s="6"/>
      <c r="H156" s="6"/>
      <c r="I156" s="6"/>
      <c r="J156" s="6"/>
      <c r="K156" s="6"/>
      <c r="L156" s="6"/>
      <c r="M156" s="6"/>
      <c r="N156" s="6"/>
      <c r="O156" s="6"/>
      <c r="P156" s="6"/>
      <c r="Q156" s="6"/>
      <c r="R156" s="6"/>
      <c r="S156" s="6"/>
      <c r="T156" s="6"/>
      <c r="U156" s="6"/>
      <c r="V156" s="6"/>
      <c r="W156" s="6"/>
      <c r="X156" s="6"/>
      <c r="Y156" s="6"/>
      <c r="Z156" s="6"/>
      <c r="AA156" s="6"/>
      <c r="AB156" s="6"/>
    </row>
    <row r="157" ht="15.75" customHeight="1">
      <c r="A157" s="130"/>
      <c r="B157" s="2"/>
      <c r="C157" s="132"/>
      <c r="D157" s="132"/>
      <c r="E157" s="132"/>
      <c r="F157" s="132"/>
      <c r="G157" s="6"/>
      <c r="H157" s="6"/>
      <c r="I157" s="6"/>
      <c r="J157" s="6"/>
      <c r="K157" s="6"/>
      <c r="L157" s="6"/>
      <c r="M157" s="6"/>
      <c r="N157" s="6"/>
      <c r="O157" s="6"/>
      <c r="P157" s="6"/>
      <c r="Q157" s="6"/>
      <c r="R157" s="6"/>
      <c r="S157" s="6"/>
      <c r="T157" s="6"/>
      <c r="U157" s="6"/>
      <c r="V157" s="6"/>
      <c r="W157" s="6"/>
      <c r="X157" s="6"/>
      <c r="Y157" s="6"/>
      <c r="Z157" s="6"/>
      <c r="AA157" s="6"/>
      <c r="AB157" s="6"/>
    </row>
    <row r="158" ht="15.75" customHeight="1">
      <c r="A158" s="130"/>
      <c r="B158" s="2"/>
      <c r="C158" s="132"/>
      <c r="D158" s="132"/>
      <c r="E158" s="132"/>
      <c r="F158" s="132"/>
      <c r="G158" s="6"/>
      <c r="H158" s="6"/>
      <c r="I158" s="6"/>
      <c r="J158" s="6"/>
      <c r="K158" s="6"/>
      <c r="L158" s="6"/>
      <c r="M158" s="6"/>
      <c r="N158" s="6"/>
      <c r="O158" s="6"/>
      <c r="P158" s="6"/>
      <c r="Q158" s="6"/>
      <c r="R158" s="6"/>
      <c r="S158" s="6"/>
      <c r="T158" s="6"/>
      <c r="U158" s="6"/>
      <c r="V158" s="6"/>
      <c r="W158" s="6"/>
      <c r="X158" s="6"/>
      <c r="Y158" s="6"/>
      <c r="Z158" s="6"/>
      <c r="AA158" s="6"/>
      <c r="AB158" s="6"/>
    </row>
    <row r="159" ht="15.75" customHeight="1">
      <c r="A159" s="130"/>
      <c r="B159" s="2"/>
      <c r="C159" s="132"/>
      <c r="D159" s="132"/>
      <c r="E159" s="132"/>
      <c r="F159" s="132"/>
      <c r="G159" s="6"/>
      <c r="H159" s="6"/>
      <c r="I159" s="6"/>
      <c r="J159" s="6"/>
      <c r="K159" s="6"/>
      <c r="L159" s="6"/>
      <c r="M159" s="6"/>
      <c r="N159" s="6"/>
      <c r="O159" s="6"/>
      <c r="P159" s="6"/>
      <c r="Q159" s="6"/>
      <c r="R159" s="6"/>
      <c r="S159" s="6"/>
      <c r="T159" s="6"/>
      <c r="U159" s="6"/>
      <c r="V159" s="6"/>
      <c r="W159" s="6"/>
      <c r="X159" s="6"/>
      <c r="Y159" s="6"/>
      <c r="Z159" s="6"/>
      <c r="AA159" s="6"/>
      <c r="AB159" s="6"/>
    </row>
    <row r="160" ht="15.75" customHeight="1">
      <c r="A160" s="130"/>
      <c r="B160" s="2"/>
      <c r="C160" s="132"/>
      <c r="D160" s="132"/>
      <c r="E160" s="132"/>
      <c r="F160" s="132"/>
      <c r="G160" s="6"/>
      <c r="H160" s="6"/>
      <c r="I160" s="6"/>
      <c r="J160" s="6"/>
      <c r="K160" s="6"/>
      <c r="L160" s="6"/>
      <c r="M160" s="6"/>
      <c r="N160" s="6"/>
      <c r="O160" s="6"/>
      <c r="P160" s="6"/>
      <c r="Q160" s="6"/>
      <c r="R160" s="6"/>
      <c r="S160" s="6"/>
      <c r="T160" s="6"/>
      <c r="U160" s="6"/>
      <c r="V160" s="6"/>
      <c r="W160" s="6"/>
      <c r="X160" s="6"/>
      <c r="Y160" s="6"/>
      <c r="Z160" s="6"/>
      <c r="AA160" s="6"/>
      <c r="AB160" s="6"/>
    </row>
    <row r="161" ht="15.75" customHeight="1">
      <c r="A161" s="130"/>
      <c r="B161" s="2"/>
      <c r="C161" s="132"/>
      <c r="D161" s="132"/>
      <c r="E161" s="132"/>
      <c r="F161" s="132"/>
      <c r="G161" s="6"/>
      <c r="H161" s="6"/>
      <c r="I161" s="6"/>
      <c r="J161" s="6"/>
      <c r="K161" s="6"/>
      <c r="L161" s="6"/>
      <c r="M161" s="6"/>
      <c r="N161" s="6"/>
      <c r="O161" s="6"/>
      <c r="P161" s="6"/>
      <c r="Q161" s="6"/>
      <c r="R161" s="6"/>
      <c r="S161" s="6"/>
      <c r="T161" s="6"/>
      <c r="U161" s="6"/>
      <c r="V161" s="6"/>
      <c r="W161" s="6"/>
      <c r="X161" s="6"/>
      <c r="Y161" s="6"/>
      <c r="Z161" s="6"/>
      <c r="AA161" s="6"/>
      <c r="AB161" s="6"/>
    </row>
    <row r="162" ht="15.75" customHeight="1">
      <c r="A162" s="130"/>
      <c r="B162" s="2"/>
      <c r="C162" s="132"/>
      <c r="D162" s="132"/>
      <c r="E162" s="132"/>
      <c r="F162" s="132"/>
      <c r="G162" s="6"/>
      <c r="H162" s="6"/>
      <c r="I162" s="6"/>
      <c r="J162" s="6"/>
      <c r="K162" s="6"/>
      <c r="L162" s="6"/>
      <c r="M162" s="6"/>
      <c r="N162" s="6"/>
      <c r="O162" s="6"/>
      <c r="P162" s="6"/>
      <c r="Q162" s="6"/>
      <c r="R162" s="6"/>
      <c r="S162" s="6"/>
      <c r="T162" s="6"/>
      <c r="U162" s="6"/>
      <c r="V162" s="6"/>
      <c r="W162" s="6"/>
      <c r="X162" s="6"/>
      <c r="Y162" s="6"/>
      <c r="Z162" s="6"/>
      <c r="AA162" s="6"/>
      <c r="AB162" s="6"/>
    </row>
    <row r="163" ht="15.75" customHeight="1">
      <c r="A163" s="130"/>
      <c r="B163" s="2"/>
      <c r="C163" s="132"/>
      <c r="D163" s="132"/>
      <c r="E163" s="132"/>
      <c r="F163" s="132"/>
      <c r="G163" s="6"/>
      <c r="H163" s="6"/>
      <c r="I163" s="6"/>
      <c r="J163" s="6"/>
      <c r="K163" s="6"/>
      <c r="L163" s="6"/>
      <c r="M163" s="6"/>
      <c r="N163" s="6"/>
      <c r="O163" s="6"/>
      <c r="P163" s="6"/>
      <c r="Q163" s="6"/>
      <c r="R163" s="6"/>
      <c r="S163" s="6"/>
      <c r="T163" s="6"/>
      <c r="U163" s="6"/>
      <c r="V163" s="6"/>
      <c r="W163" s="6"/>
      <c r="X163" s="6"/>
      <c r="Y163" s="6"/>
      <c r="Z163" s="6"/>
      <c r="AA163" s="6"/>
      <c r="AB163" s="6"/>
    </row>
    <row r="164" ht="15.75" customHeight="1">
      <c r="A164" s="130"/>
      <c r="B164" s="2"/>
      <c r="C164" s="132"/>
      <c r="D164" s="132"/>
      <c r="E164" s="132"/>
      <c r="F164" s="132"/>
      <c r="G164" s="6"/>
      <c r="H164" s="6"/>
      <c r="I164" s="6"/>
      <c r="J164" s="6"/>
      <c r="K164" s="6"/>
      <c r="L164" s="6"/>
      <c r="M164" s="6"/>
      <c r="N164" s="6"/>
      <c r="O164" s="6"/>
      <c r="P164" s="6"/>
      <c r="Q164" s="6"/>
      <c r="R164" s="6"/>
      <c r="S164" s="6"/>
      <c r="T164" s="6"/>
      <c r="U164" s="6"/>
      <c r="V164" s="6"/>
      <c r="W164" s="6"/>
      <c r="X164" s="6"/>
      <c r="Y164" s="6"/>
      <c r="Z164" s="6"/>
      <c r="AA164" s="6"/>
      <c r="AB164" s="6"/>
    </row>
    <row r="165" ht="15.75" customHeight="1">
      <c r="A165" s="130"/>
      <c r="B165" s="2"/>
      <c r="C165" s="132"/>
      <c r="D165" s="132"/>
      <c r="E165" s="132"/>
      <c r="F165" s="132"/>
      <c r="G165" s="6"/>
      <c r="H165" s="6"/>
      <c r="I165" s="6"/>
      <c r="J165" s="6"/>
      <c r="K165" s="6"/>
      <c r="L165" s="6"/>
      <c r="M165" s="6"/>
      <c r="N165" s="6"/>
      <c r="O165" s="6"/>
      <c r="P165" s="6"/>
      <c r="Q165" s="6"/>
      <c r="R165" s="6"/>
      <c r="S165" s="6"/>
      <c r="T165" s="6"/>
      <c r="U165" s="6"/>
      <c r="V165" s="6"/>
      <c r="W165" s="6"/>
      <c r="X165" s="6"/>
      <c r="Y165" s="6"/>
      <c r="Z165" s="6"/>
      <c r="AA165" s="6"/>
      <c r="AB165" s="6"/>
    </row>
    <row r="166" ht="15.75" customHeight="1">
      <c r="A166" s="130"/>
      <c r="B166" s="2"/>
      <c r="C166" s="132"/>
      <c r="D166" s="132"/>
      <c r="E166" s="132"/>
      <c r="F166" s="132"/>
      <c r="G166" s="6"/>
      <c r="H166" s="6"/>
      <c r="I166" s="6"/>
      <c r="J166" s="6"/>
      <c r="K166" s="6"/>
      <c r="L166" s="6"/>
      <c r="M166" s="6"/>
      <c r="N166" s="6"/>
      <c r="O166" s="6"/>
      <c r="P166" s="6"/>
      <c r="Q166" s="6"/>
      <c r="R166" s="6"/>
      <c r="S166" s="6"/>
      <c r="T166" s="6"/>
      <c r="U166" s="6"/>
      <c r="V166" s="6"/>
      <c r="W166" s="6"/>
      <c r="X166" s="6"/>
      <c r="Y166" s="6"/>
      <c r="Z166" s="6"/>
      <c r="AA166" s="6"/>
      <c r="AB166" s="6"/>
    </row>
    <row r="167" ht="15.75" customHeight="1">
      <c r="A167" s="130"/>
      <c r="B167" s="2"/>
      <c r="C167" s="132"/>
      <c r="D167" s="132"/>
      <c r="E167" s="132"/>
      <c r="F167" s="132"/>
      <c r="G167" s="6"/>
      <c r="H167" s="6"/>
      <c r="I167" s="6"/>
      <c r="J167" s="6"/>
      <c r="K167" s="6"/>
      <c r="L167" s="6"/>
      <c r="M167" s="6"/>
      <c r="N167" s="6"/>
      <c r="O167" s="6"/>
      <c r="P167" s="6"/>
      <c r="Q167" s="6"/>
      <c r="R167" s="6"/>
      <c r="S167" s="6"/>
      <c r="T167" s="6"/>
      <c r="U167" s="6"/>
      <c r="V167" s="6"/>
      <c r="W167" s="6"/>
      <c r="X167" s="6"/>
      <c r="Y167" s="6"/>
      <c r="Z167" s="6"/>
      <c r="AA167" s="6"/>
      <c r="AB167" s="6"/>
    </row>
    <row r="168" ht="15.75" customHeight="1">
      <c r="A168" s="130"/>
      <c r="B168" s="2"/>
      <c r="C168" s="132"/>
      <c r="D168" s="132"/>
      <c r="E168" s="132"/>
      <c r="F168" s="132"/>
      <c r="G168" s="6"/>
      <c r="H168" s="6"/>
      <c r="I168" s="6"/>
      <c r="J168" s="6"/>
      <c r="K168" s="6"/>
      <c r="L168" s="6"/>
      <c r="M168" s="6"/>
      <c r="N168" s="6"/>
      <c r="O168" s="6"/>
      <c r="P168" s="6"/>
      <c r="Q168" s="6"/>
      <c r="R168" s="6"/>
      <c r="S168" s="6"/>
      <c r="T168" s="6"/>
      <c r="U168" s="6"/>
      <c r="V168" s="6"/>
      <c r="W168" s="6"/>
      <c r="X168" s="6"/>
      <c r="Y168" s="6"/>
      <c r="Z168" s="6"/>
      <c r="AA168" s="6"/>
      <c r="AB168" s="6"/>
    </row>
    <row r="169" ht="15.75" customHeight="1">
      <c r="A169" s="130"/>
      <c r="B169" s="2"/>
      <c r="C169" s="132"/>
      <c r="D169" s="132"/>
      <c r="E169" s="132"/>
      <c r="F169" s="132"/>
      <c r="G169" s="6"/>
      <c r="H169" s="6"/>
      <c r="I169" s="6"/>
      <c r="J169" s="6"/>
      <c r="K169" s="6"/>
      <c r="L169" s="6"/>
      <c r="M169" s="6"/>
      <c r="N169" s="6"/>
      <c r="O169" s="6"/>
      <c r="P169" s="6"/>
      <c r="Q169" s="6"/>
      <c r="R169" s="6"/>
      <c r="S169" s="6"/>
      <c r="T169" s="6"/>
      <c r="U169" s="6"/>
      <c r="V169" s="6"/>
      <c r="W169" s="6"/>
      <c r="X169" s="6"/>
      <c r="Y169" s="6"/>
      <c r="Z169" s="6"/>
      <c r="AA169" s="6"/>
      <c r="AB169" s="6"/>
    </row>
    <row r="170" ht="15.75" customHeight="1">
      <c r="A170" s="130"/>
      <c r="B170" s="2"/>
      <c r="C170" s="132"/>
      <c r="D170" s="132"/>
      <c r="E170" s="132"/>
      <c r="F170" s="132"/>
      <c r="G170" s="6"/>
      <c r="H170" s="6"/>
      <c r="I170" s="6"/>
      <c r="J170" s="6"/>
      <c r="K170" s="6"/>
      <c r="L170" s="6"/>
      <c r="M170" s="6"/>
      <c r="N170" s="6"/>
      <c r="O170" s="6"/>
      <c r="P170" s="6"/>
      <c r="Q170" s="6"/>
      <c r="R170" s="6"/>
      <c r="S170" s="6"/>
      <c r="T170" s="6"/>
      <c r="U170" s="6"/>
      <c r="V170" s="6"/>
      <c r="W170" s="6"/>
      <c r="X170" s="6"/>
      <c r="Y170" s="6"/>
      <c r="Z170" s="6"/>
      <c r="AA170" s="6"/>
      <c r="AB170" s="6"/>
    </row>
    <row r="171" ht="15.75" customHeight="1">
      <c r="A171" s="130"/>
      <c r="B171" s="2"/>
      <c r="C171" s="132"/>
      <c r="D171" s="132"/>
      <c r="E171" s="132"/>
      <c r="F171" s="132"/>
      <c r="G171" s="6"/>
      <c r="H171" s="6"/>
      <c r="I171" s="6"/>
      <c r="J171" s="6"/>
      <c r="K171" s="6"/>
      <c r="L171" s="6"/>
      <c r="M171" s="6"/>
      <c r="N171" s="6"/>
      <c r="O171" s="6"/>
      <c r="P171" s="6"/>
      <c r="Q171" s="6"/>
      <c r="R171" s="6"/>
      <c r="S171" s="6"/>
      <c r="T171" s="6"/>
      <c r="U171" s="6"/>
      <c r="V171" s="6"/>
      <c r="W171" s="6"/>
      <c r="X171" s="6"/>
      <c r="Y171" s="6"/>
      <c r="Z171" s="6"/>
      <c r="AA171" s="6"/>
      <c r="AB171" s="6"/>
    </row>
    <row r="172" ht="15.75" customHeight="1">
      <c r="A172" s="130"/>
      <c r="B172" s="2"/>
      <c r="C172" s="132"/>
      <c r="D172" s="132"/>
      <c r="E172" s="132"/>
      <c r="F172" s="132"/>
      <c r="G172" s="6"/>
      <c r="H172" s="6"/>
      <c r="I172" s="6"/>
      <c r="J172" s="6"/>
      <c r="K172" s="6"/>
      <c r="L172" s="6"/>
      <c r="M172" s="6"/>
      <c r="N172" s="6"/>
      <c r="O172" s="6"/>
      <c r="P172" s="6"/>
      <c r="Q172" s="6"/>
      <c r="R172" s="6"/>
      <c r="S172" s="6"/>
      <c r="T172" s="6"/>
      <c r="U172" s="6"/>
      <c r="V172" s="6"/>
      <c r="W172" s="6"/>
      <c r="X172" s="6"/>
      <c r="Y172" s="6"/>
      <c r="Z172" s="6"/>
      <c r="AA172" s="6"/>
      <c r="AB172" s="6"/>
    </row>
    <row r="173" ht="15.75" customHeight="1">
      <c r="A173" s="130"/>
      <c r="B173" s="2"/>
      <c r="C173" s="132"/>
      <c r="D173" s="132"/>
      <c r="E173" s="132"/>
      <c r="F173" s="132"/>
      <c r="G173" s="6"/>
      <c r="H173" s="6"/>
      <c r="I173" s="6"/>
      <c r="J173" s="6"/>
      <c r="K173" s="6"/>
      <c r="L173" s="6"/>
      <c r="M173" s="6"/>
      <c r="N173" s="6"/>
      <c r="O173" s="6"/>
      <c r="P173" s="6"/>
      <c r="Q173" s="6"/>
      <c r="R173" s="6"/>
      <c r="S173" s="6"/>
      <c r="T173" s="6"/>
      <c r="U173" s="6"/>
      <c r="V173" s="6"/>
      <c r="W173" s="6"/>
      <c r="X173" s="6"/>
      <c r="Y173" s="6"/>
      <c r="Z173" s="6"/>
      <c r="AA173" s="6"/>
      <c r="AB173" s="6"/>
    </row>
    <row r="174" ht="15.75" customHeight="1">
      <c r="A174" s="130"/>
      <c r="B174" s="2"/>
      <c r="C174" s="132"/>
      <c r="D174" s="132"/>
      <c r="E174" s="132"/>
      <c r="F174" s="132"/>
      <c r="G174" s="6"/>
      <c r="H174" s="6"/>
      <c r="I174" s="6"/>
      <c r="J174" s="6"/>
      <c r="K174" s="6"/>
      <c r="L174" s="6"/>
      <c r="M174" s="6"/>
      <c r="N174" s="6"/>
      <c r="O174" s="6"/>
      <c r="P174" s="6"/>
      <c r="Q174" s="6"/>
      <c r="R174" s="6"/>
      <c r="S174" s="6"/>
      <c r="T174" s="6"/>
      <c r="U174" s="6"/>
      <c r="V174" s="6"/>
      <c r="W174" s="6"/>
      <c r="X174" s="6"/>
      <c r="Y174" s="6"/>
      <c r="Z174" s="6"/>
      <c r="AA174" s="6"/>
      <c r="AB174" s="6"/>
    </row>
    <row r="175" ht="15.75" customHeight="1">
      <c r="A175" s="130"/>
      <c r="B175" s="2"/>
      <c r="C175" s="132"/>
      <c r="D175" s="132"/>
      <c r="E175" s="132"/>
      <c r="F175" s="132"/>
      <c r="G175" s="6"/>
      <c r="H175" s="6"/>
      <c r="I175" s="6"/>
      <c r="J175" s="6"/>
      <c r="K175" s="6"/>
      <c r="L175" s="6"/>
      <c r="M175" s="6"/>
      <c r="N175" s="6"/>
      <c r="O175" s="6"/>
      <c r="P175" s="6"/>
      <c r="Q175" s="6"/>
      <c r="R175" s="6"/>
      <c r="S175" s="6"/>
      <c r="T175" s="6"/>
      <c r="U175" s="6"/>
      <c r="V175" s="6"/>
      <c r="W175" s="6"/>
      <c r="X175" s="6"/>
      <c r="Y175" s="6"/>
      <c r="Z175" s="6"/>
      <c r="AA175" s="6"/>
      <c r="AB175" s="6"/>
    </row>
    <row r="176" ht="15.75" customHeight="1">
      <c r="A176" s="130"/>
      <c r="B176" s="2"/>
      <c r="C176" s="132"/>
      <c r="D176" s="132"/>
      <c r="E176" s="132"/>
      <c r="F176" s="132"/>
      <c r="G176" s="6"/>
      <c r="H176" s="6"/>
      <c r="I176" s="6"/>
      <c r="J176" s="6"/>
      <c r="K176" s="6"/>
      <c r="L176" s="6"/>
      <c r="M176" s="6"/>
      <c r="N176" s="6"/>
      <c r="O176" s="6"/>
      <c r="P176" s="6"/>
      <c r="Q176" s="6"/>
      <c r="R176" s="6"/>
      <c r="S176" s="6"/>
      <c r="T176" s="6"/>
      <c r="U176" s="6"/>
      <c r="V176" s="6"/>
      <c r="W176" s="6"/>
      <c r="X176" s="6"/>
      <c r="Y176" s="6"/>
      <c r="Z176" s="6"/>
      <c r="AA176" s="6"/>
      <c r="AB176" s="6"/>
    </row>
    <row r="177" ht="15.75" customHeight="1">
      <c r="A177" s="130"/>
      <c r="B177" s="2"/>
      <c r="C177" s="132"/>
      <c r="D177" s="132"/>
      <c r="E177" s="132"/>
      <c r="F177" s="132"/>
      <c r="G177" s="6"/>
      <c r="H177" s="6"/>
      <c r="I177" s="6"/>
      <c r="J177" s="6"/>
      <c r="K177" s="6"/>
      <c r="L177" s="6"/>
      <c r="M177" s="6"/>
      <c r="N177" s="6"/>
      <c r="O177" s="6"/>
      <c r="P177" s="6"/>
      <c r="Q177" s="6"/>
      <c r="R177" s="6"/>
      <c r="S177" s="6"/>
      <c r="T177" s="6"/>
      <c r="U177" s="6"/>
      <c r="V177" s="6"/>
      <c r="W177" s="6"/>
      <c r="X177" s="6"/>
      <c r="Y177" s="6"/>
      <c r="Z177" s="6"/>
      <c r="AA177" s="6"/>
      <c r="AB177" s="6"/>
    </row>
    <row r="178" ht="15.75" customHeight="1">
      <c r="A178" s="130"/>
      <c r="B178" s="2"/>
      <c r="C178" s="132"/>
      <c r="D178" s="132"/>
      <c r="E178" s="132"/>
      <c r="F178" s="132"/>
      <c r="G178" s="6"/>
      <c r="H178" s="6"/>
      <c r="I178" s="6"/>
      <c r="J178" s="6"/>
      <c r="K178" s="6"/>
      <c r="L178" s="6"/>
      <c r="M178" s="6"/>
      <c r="N178" s="6"/>
      <c r="O178" s="6"/>
      <c r="P178" s="6"/>
      <c r="Q178" s="6"/>
      <c r="R178" s="6"/>
      <c r="S178" s="6"/>
      <c r="T178" s="6"/>
      <c r="U178" s="6"/>
      <c r="V178" s="6"/>
      <c r="W178" s="6"/>
      <c r="X178" s="6"/>
      <c r="Y178" s="6"/>
      <c r="Z178" s="6"/>
      <c r="AA178" s="6"/>
      <c r="AB178" s="6"/>
    </row>
    <row r="179" ht="15.75" customHeight="1">
      <c r="A179" s="130"/>
      <c r="B179" s="2"/>
      <c r="C179" s="132"/>
      <c r="D179" s="132"/>
      <c r="E179" s="132"/>
      <c r="F179" s="132"/>
      <c r="G179" s="6"/>
      <c r="H179" s="6"/>
      <c r="I179" s="6"/>
      <c r="J179" s="6"/>
      <c r="K179" s="6"/>
      <c r="L179" s="6"/>
      <c r="M179" s="6"/>
      <c r="N179" s="6"/>
      <c r="O179" s="6"/>
      <c r="P179" s="6"/>
      <c r="Q179" s="6"/>
      <c r="R179" s="6"/>
      <c r="S179" s="6"/>
      <c r="T179" s="6"/>
      <c r="U179" s="6"/>
      <c r="V179" s="6"/>
      <c r="W179" s="6"/>
      <c r="X179" s="6"/>
      <c r="Y179" s="6"/>
      <c r="Z179" s="6"/>
      <c r="AA179" s="6"/>
      <c r="AB179" s="6"/>
    </row>
    <row r="180" ht="15.75" customHeight="1">
      <c r="A180" s="130"/>
      <c r="B180" s="2"/>
      <c r="C180" s="132"/>
      <c r="D180" s="132"/>
      <c r="E180" s="132"/>
      <c r="F180" s="132"/>
      <c r="G180" s="6"/>
      <c r="H180" s="6"/>
      <c r="I180" s="6"/>
      <c r="J180" s="6"/>
      <c r="K180" s="6"/>
      <c r="L180" s="6"/>
      <c r="M180" s="6"/>
      <c r="N180" s="6"/>
      <c r="O180" s="6"/>
      <c r="P180" s="6"/>
      <c r="Q180" s="6"/>
      <c r="R180" s="6"/>
      <c r="S180" s="6"/>
      <c r="T180" s="6"/>
      <c r="U180" s="6"/>
      <c r="V180" s="6"/>
      <c r="W180" s="6"/>
      <c r="X180" s="6"/>
      <c r="Y180" s="6"/>
      <c r="Z180" s="6"/>
      <c r="AA180" s="6"/>
      <c r="AB180" s="6"/>
    </row>
    <row r="181" ht="15.75" customHeight="1">
      <c r="A181" s="130"/>
      <c r="B181" s="2"/>
      <c r="C181" s="132"/>
      <c r="D181" s="132"/>
      <c r="E181" s="132"/>
      <c r="F181" s="132"/>
      <c r="G181" s="6"/>
      <c r="H181" s="6"/>
      <c r="I181" s="6"/>
      <c r="J181" s="6"/>
      <c r="K181" s="6"/>
      <c r="L181" s="6"/>
      <c r="M181" s="6"/>
      <c r="N181" s="6"/>
      <c r="O181" s="6"/>
      <c r="P181" s="6"/>
      <c r="Q181" s="6"/>
      <c r="R181" s="6"/>
      <c r="S181" s="6"/>
      <c r="T181" s="6"/>
      <c r="U181" s="6"/>
      <c r="V181" s="6"/>
      <c r="W181" s="6"/>
      <c r="X181" s="6"/>
      <c r="Y181" s="6"/>
      <c r="Z181" s="6"/>
      <c r="AA181" s="6"/>
      <c r="AB181" s="6"/>
    </row>
    <row r="182" ht="15.75" customHeight="1">
      <c r="A182" s="130"/>
      <c r="B182" s="2"/>
      <c r="C182" s="132"/>
      <c r="D182" s="132"/>
      <c r="E182" s="132"/>
      <c r="F182" s="132"/>
      <c r="G182" s="6"/>
      <c r="H182" s="6"/>
      <c r="I182" s="6"/>
      <c r="J182" s="6"/>
      <c r="K182" s="6"/>
      <c r="L182" s="6"/>
      <c r="M182" s="6"/>
      <c r="N182" s="6"/>
      <c r="O182" s="6"/>
      <c r="P182" s="6"/>
      <c r="Q182" s="6"/>
      <c r="R182" s="6"/>
      <c r="S182" s="6"/>
      <c r="T182" s="6"/>
      <c r="U182" s="6"/>
      <c r="V182" s="6"/>
      <c r="W182" s="6"/>
      <c r="X182" s="6"/>
      <c r="Y182" s="6"/>
      <c r="Z182" s="6"/>
      <c r="AA182" s="6"/>
      <c r="AB182" s="6"/>
    </row>
    <row r="183" ht="15.75" customHeight="1">
      <c r="A183" s="130"/>
      <c r="B183" s="2"/>
      <c r="C183" s="132"/>
      <c r="D183" s="132"/>
      <c r="E183" s="132"/>
      <c r="F183" s="132"/>
      <c r="G183" s="6"/>
      <c r="H183" s="6"/>
      <c r="I183" s="6"/>
      <c r="J183" s="6"/>
      <c r="K183" s="6"/>
      <c r="L183" s="6"/>
      <c r="M183" s="6"/>
      <c r="N183" s="6"/>
      <c r="O183" s="6"/>
      <c r="P183" s="6"/>
      <c r="Q183" s="6"/>
      <c r="R183" s="6"/>
      <c r="S183" s="6"/>
      <c r="T183" s="6"/>
      <c r="U183" s="6"/>
      <c r="V183" s="6"/>
      <c r="W183" s="6"/>
      <c r="X183" s="6"/>
      <c r="Y183" s="6"/>
      <c r="Z183" s="6"/>
      <c r="AA183" s="6"/>
      <c r="AB183" s="6"/>
    </row>
    <row r="184" ht="15.75" customHeight="1">
      <c r="A184" s="130"/>
      <c r="B184" s="2"/>
      <c r="C184" s="132"/>
      <c r="D184" s="132"/>
      <c r="E184" s="132"/>
      <c r="F184" s="132"/>
      <c r="G184" s="6"/>
      <c r="H184" s="6"/>
      <c r="I184" s="6"/>
      <c r="J184" s="6"/>
      <c r="K184" s="6"/>
      <c r="L184" s="6"/>
      <c r="M184" s="6"/>
      <c r="N184" s="6"/>
      <c r="O184" s="6"/>
      <c r="P184" s="6"/>
      <c r="Q184" s="6"/>
      <c r="R184" s="6"/>
      <c r="S184" s="6"/>
      <c r="T184" s="6"/>
      <c r="U184" s="6"/>
      <c r="V184" s="6"/>
      <c r="W184" s="6"/>
      <c r="X184" s="6"/>
      <c r="Y184" s="6"/>
      <c r="Z184" s="6"/>
      <c r="AA184" s="6"/>
      <c r="AB184" s="6"/>
    </row>
    <row r="185" ht="15.75" customHeight="1">
      <c r="A185" s="130"/>
      <c r="B185" s="2"/>
      <c r="C185" s="132"/>
      <c r="D185" s="132"/>
      <c r="E185" s="132"/>
      <c r="F185" s="132"/>
      <c r="G185" s="6"/>
      <c r="H185" s="6"/>
      <c r="I185" s="6"/>
      <c r="J185" s="6"/>
      <c r="K185" s="6"/>
      <c r="L185" s="6"/>
      <c r="M185" s="6"/>
      <c r="N185" s="6"/>
      <c r="O185" s="6"/>
      <c r="P185" s="6"/>
      <c r="Q185" s="6"/>
      <c r="R185" s="6"/>
      <c r="S185" s="6"/>
      <c r="T185" s="6"/>
      <c r="U185" s="6"/>
      <c r="V185" s="6"/>
      <c r="W185" s="6"/>
      <c r="X185" s="6"/>
      <c r="Y185" s="6"/>
      <c r="Z185" s="6"/>
      <c r="AA185" s="6"/>
      <c r="AB185" s="6"/>
    </row>
    <row r="186" ht="15.75" customHeight="1">
      <c r="A186" s="130"/>
      <c r="B186" s="2"/>
      <c r="C186" s="132"/>
      <c r="D186" s="132"/>
      <c r="E186" s="132"/>
      <c r="F186" s="132"/>
      <c r="G186" s="6"/>
      <c r="H186" s="6"/>
      <c r="I186" s="6"/>
      <c r="J186" s="6"/>
      <c r="K186" s="6"/>
      <c r="L186" s="6"/>
      <c r="M186" s="6"/>
      <c r="N186" s="6"/>
      <c r="O186" s="6"/>
      <c r="P186" s="6"/>
      <c r="Q186" s="6"/>
      <c r="R186" s="6"/>
      <c r="S186" s="6"/>
      <c r="T186" s="6"/>
      <c r="U186" s="6"/>
      <c r="V186" s="6"/>
      <c r="W186" s="6"/>
      <c r="X186" s="6"/>
      <c r="Y186" s="6"/>
      <c r="Z186" s="6"/>
      <c r="AA186" s="6"/>
      <c r="AB186" s="6"/>
    </row>
    <row r="187" ht="15.75" customHeight="1">
      <c r="A187" s="130"/>
      <c r="B187" s="2"/>
      <c r="C187" s="132"/>
      <c r="D187" s="132"/>
      <c r="E187" s="132"/>
      <c r="F187" s="132"/>
      <c r="G187" s="6"/>
      <c r="H187" s="6"/>
      <c r="I187" s="6"/>
      <c r="J187" s="6"/>
      <c r="K187" s="6"/>
      <c r="L187" s="6"/>
      <c r="M187" s="6"/>
      <c r="N187" s="6"/>
      <c r="O187" s="6"/>
      <c r="P187" s="6"/>
      <c r="Q187" s="6"/>
      <c r="R187" s="6"/>
      <c r="S187" s="6"/>
      <c r="T187" s="6"/>
      <c r="U187" s="6"/>
      <c r="V187" s="6"/>
      <c r="W187" s="6"/>
      <c r="X187" s="6"/>
      <c r="Y187" s="6"/>
      <c r="Z187" s="6"/>
      <c r="AA187" s="6"/>
      <c r="AB187" s="6"/>
    </row>
    <row r="188" ht="15.75" customHeight="1">
      <c r="A188" s="130"/>
      <c r="B188" s="2"/>
      <c r="C188" s="132"/>
      <c r="D188" s="132"/>
      <c r="E188" s="132"/>
      <c r="F188" s="132"/>
      <c r="G188" s="6"/>
      <c r="H188" s="6"/>
      <c r="I188" s="6"/>
      <c r="J188" s="6"/>
      <c r="K188" s="6"/>
      <c r="L188" s="6"/>
      <c r="M188" s="6"/>
      <c r="N188" s="6"/>
      <c r="O188" s="6"/>
      <c r="P188" s="6"/>
      <c r="Q188" s="6"/>
      <c r="R188" s="6"/>
      <c r="S188" s="6"/>
      <c r="T188" s="6"/>
      <c r="U188" s="6"/>
      <c r="V188" s="6"/>
      <c r="W188" s="6"/>
      <c r="X188" s="6"/>
      <c r="Y188" s="6"/>
      <c r="Z188" s="6"/>
      <c r="AA188" s="6"/>
      <c r="AB188" s="6"/>
    </row>
    <row r="189" ht="15.75" customHeight="1">
      <c r="A189" s="130"/>
      <c r="B189" s="2"/>
      <c r="C189" s="132"/>
      <c r="D189" s="132"/>
      <c r="E189" s="132"/>
      <c r="F189" s="132"/>
      <c r="G189" s="6"/>
      <c r="H189" s="6"/>
      <c r="I189" s="6"/>
      <c r="J189" s="6"/>
      <c r="K189" s="6"/>
      <c r="L189" s="6"/>
      <c r="M189" s="6"/>
      <c r="N189" s="6"/>
      <c r="O189" s="6"/>
      <c r="P189" s="6"/>
      <c r="Q189" s="6"/>
      <c r="R189" s="6"/>
      <c r="S189" s="6"/>
      <c r="T189" s="6"/>
      <c r="U189" s="6"/>
      <c r="V189" s="6"/>
      <c r="W189" s="6"/>
      <c r="X189" s="6"/>
      <c r="Y189" s="6"/>
      <c r="Z189" s="6"/>
      <c r="AA189" s="6"/>
      <c r="AB189" s="6"/>
    </row>
    <row r="190" ht="15.75" customHeight="1">
      <c r="A190" s="130"/>
      <c r="B190" s="2"/>
      <c r="C190" s="132"/>
      <c r="D190" s="132"/>
      <c r="E190" s="132"/>
      <c r="F190" s="132"/>
      <c r="G190" s="6"/>
      <c r="H190" s="6"/>
      <c r="I190" s="6"/>
      <c r="J190" s="6"/>
      <c r="K190" s="6"/>
      <c r="L190" s="6"/>
      <c r="M190" s="6"/>
      <c r="N190" s="6"/>
      <c r="O190" s="6"/>
      <c r="P190" s="6"/>
      <c r="Q190" s="6"/>
      <c r="R190" s="6"/>
      <c r="S190" s="6"/>
      <c r="T190" s="6"/>
      <c r="U190" s="6"/>
      <c r="V190" s="6"/>
      <c r="W190" s="6"/>
      <c r="X190" s="6"/>
      <c r="Y190" s="6"/>
      <c r="Z190" s="6"/>
      <c r="AA190" s="6"/>
      <c r="AB190" s="6"/>
    </row>
    <row r="191" ht="15.75" customHeight="1">
      <c r="A191" s="130"/>
      <c r="B191" s="2"/>
      <c r="C191" s="132"/>
      <c r="D191" s="132"/>
      <c r="E191" s="132"/>
      <c r="F191" s="132"/>
      <c r="G191" s="6"/>
      <c r="H191" s="6"/>
      <c r="I191" s="6"/>
      <c r="J191" s="6"/>
      <c r="K191" s="6"/>
      <c r="L191" s="6"/>
      <c r="M191" s="6"/>
      <c r="N191" s="6"/>
      <c r="O191" s="6"/>
      <c r="P191" s="6"/>
      <c r="Q191" s="6"/>
      <c r="R191" s="6"/>
      <c r="S191" s="6"/>
      <c r="T191" s="6"/>
      <c r="U191" s="6"/>
      <c r="V191" s="6"/>
      <c r="W191" s="6"/>
      <c r="X191" s="6"/>
      <c r="Y191" s="6"/>
      <c r="Z191" s="6"/>
      <c r="AA191" s="6"/>
      <c r="AB191" s="6"/>
    </row>
    <row r="192" ht="15.75" customHeight="1">
      <c r="A192" s="130"/>
      <c r="B192" s="2"/>
      <c r="C192" s="132"/>
      <c r="D192" s="132"/>
      <c r="E192" s="132"/>
      <c r="F192" s="132"/>
      <c r="G192" s="6"/>
      <c r="H192" s="6"/>
      <c r="I192" s="6"/>
      <c r="J192" s="6"/>
      <c r="K192" s="6"/>
      <c r="L192" s="6"/>
      <c r="M192" s="6"/>
      <c r="N192" s="6"/>
      <c r="O192" s="6"/>
      <c r="P192" s="6"/>
      <c r="Q192" s="6"/>
      <c r="R192" s="6"/>
      <c r="S192" s="6"/>
      <c r="T192" s="6"/>
      <c r="U192" s="6"/>
      <c r="V192" s="6"/>
      <c r="W192" s="6"/>
      <c r="X192" s="6"/>
      <c r="Y192" s="6"/>
      <c r="Z192" s="6"/>
      <c r="AA192" s="6"/>
      <c r="AB192" s="6"/>
    </row>
    <row r="193" ht="15.75" customHeight="1">
      <c r="A193" s="130"/>
      <c r="B193" s="2"/>
      <c r="C193" s="132"/>
      <c r="D193" s="132"/>
      <c r="E193" s="132"/>
      <c r="F193" s="132"/>
      <c r="G193" s="6"/>
      <c r="H193" s="6"/>
      <c r="I193" s="6"/>
      <c r="J193" s="6"/>
      <c r="K193" s="6"/>
      <c r="L193" s="6"/>
      <c r="M193" s="6"/>
      <c r="N193" s="6"/>
      <c r="O193" s="6"/>
      <c r="P193" s="6"/>
      <c r="Q193" s="6"/>
      <c r="R193" s="6"/>
      <c r="S193" s="6"/>
      <c r="T193" s="6"/>
      <c r="U193" s="6"/>
      <c r="V193" s="6"/>
      <c r="W193" s="6"/>
      <c r="X193" s="6"/>
      <c r="Y193" s="6"/>
      <c r="Z193" s="6"/>
      <c r="AA193" s="6"/>
      <c r="AB193" s="6"/>
    </row>
    <row r="194" ht="15.75" customHeight="1">
      <c r="A194" s="130"/>
      <c r="B194" s="2"/>
      <c r="C194" s="132"/>
      <c r="D194" s="132"/>
      <c r="E194" s="132"/>
      <c r="F194" s="132"/>
      <c r="G194" s="6"/>
      <c r="H194" s="6"/>
      <c r="I194" s="6"/>
      <c r="J194" s="6"/>
      <c r="K194" s="6"/>
      <c r="L194" s="6"/>
      <c r="M194" s="6"/>
      <c r="N194" s="6"/>
      <c r="O194" s="6"/>
      <c r="P194" s="6"/>
      <c r="Q194" s="6"/>
      <c r="R194" s="6"/>
      <c r="S194" s="6"/>
      <c r="T194" s="6"/>
      <c r="U194" s="6"/>
      <c r="V194" s="6"/>
      <c r="W194" s="6"/>
      <c r="X194" s="6"/>
      <c r="Y194" s="6"/>
      <c r="Z194" s="6"/>
      <c r="AA194" s="6"/>
      <c r="AB194" s="6"/>
    </row>
    <row r="195" ht="15.75" customHeight="1">
      <c r="A195" s="130"/>
      <c r="B195" s="2"/>
      <c r="C195" s="132"/>
      <c r="D195" s="132"/>
      <c r="E195" s="132"/>
      <c r="F195" s="132"/>
      <c r="G195" s="6"/>
      <c r="H195" s="6"/>
      <c r="I195" s="6"/>
      <c r="J195" s="6"/>
      <c r="K195" s="6"/>
      <c r="L195" s="6"/>
      <c r="M195" s="6"/>
      <c r="N195" s="6"/>
      <c r="O195" s="6"/>
      <c r="P195" s="6"/>
      <c r="Q195" s="6"/>
      <c r="R195" s="6"/>
      <c r="S195" s="6"/>
      <c r="T195" s="6"/>
      <c r="U195" s="6"/>
      <c r="V195" s="6"/>
      <c r="W195" s="6"/>
      <c r="X195" s="6"/>
      <c r="Y195" s="6"/>
      <c r="Z195" s="6"/>
      <c r="AA195" s="6"/>
      <c r="AB195" s="6"/>
    </row>
    <row r="196" ht="15.75" customHeight="1">
      <c r="A196" s="130"/>
      <c r="B196" s="2"/>
      <c r="C196" s="132"/>
      <c r="D196" s="132"/>
      <c r="E196" s="132"/>
      <c r="F196" s="132"/>
      <c r="G196" s="6"/>
      <c r="H196" s="6"/>
      <c r="I196" s="6"/>
      <c r="J196" s="6"/>
      <c r="K196" s="6"/>
      <c r="L196" s="6"/>
      <c r="M196" s="6"/>
      <c r="N196" s="6"/>
      <c r="O196" s="6"/>
      <c r="P196" s="6"/>
      <c r="Q196" s="6"/>
      <c r="R196" s="6"/>
      <c r="S196" s="6"/>
      <c r="T196" s="6"/>
      <c r="U196" s="6"/>
      <c r="V196" s="6"/>
      <c r="W196" s="6"/>
      <c r="X196" s="6"/>
      <c r="Y196" s="6"/>
      <c r="Z196" s="6"/>
      <c r="AA196" s="6"/>
      <c r="AB196" s="6"/>
    </row>
    <row r="197" ht="15.75" customHeight="1">
      <c r="A197" s="130"/>
      <c r="B197" s="2"/>
      <c r="C197" s="132"/>
      <c r="D197" s="132"/>
      <c r="E197" s="132"/>
      <c r="F197" s="132"/>
      <c r="G197" s="6"/>
      <c r="H197" s="6"/>
      <c r="I197" s="6"/>
      <c r="J197" s="6"/>
      <c r="K197" s="6"/>
      <c r="L197" s="6"/>
      <c r="M197" s="6"/>
      <c r="N197" s="6"/>
      <c r="O197" s="6"/>
      <c r="P197" s="6"/>
      <c r="Q197" s="6"/>
      <c r="R197" s="6"/>
      <c r="S197" s="6"/>
      <c r="T197" s="6"/>
      <c r="U197" s="6"/>
      <c r="V197" s="6"/>
      <c r="W197" s="6"/>
      <c r="X197" s="6"/>
      <c r="Y197" s="6"/>
      <c r="Z197" s="6"/>
      <c r="AA197" s="6"/>
      <c r="AB197" s="6"/>
    </row>
    <row r="198" ht="15.75" customHeight="1">
      <c r="A198" s="130"/>
      <c r="B198" s="2"/>
      <c r="C198" s="132"/>
      <c r="D198" s="132"/>
      <c r="E198" s="132"/>
      <c r="F198" s="132"/>
      <c r="G198" s="6"/>
      <c r="H198" s="6"/>
      <c r="I198" s="6"/>
      <c r="J198" s="6"/>
      <c r="K198" s="6"/>
      <c r="L198" s="6"/>
      <c r="M198" s="6"/>
      <c r="N198" s="6"/>
      <c r="O198" s="6"/>
      <c r="P198" s="6"/>
      <c r="Q198" s="6"/>
      <c r="R198" s="6"/>
      <c r="S198" s="6"/>
      <c r="T198" s="6"/>
      <c r="U198" s="6"/>
      <c r="V198" s="6"/>
      <c r="W198" s="6"/>
      <c r="X198" s="6"/>
      <c r="Y198" s="6"/>
      <c r="Z198" s="6"/>
      <c r="AA198" s="6"/>
      <c r="AB198" s="6"/>
    </row>
    <row r="199" ht="15.75" customHeight="1">
      <c r="A199" s="130"/>
      <c r="B199" s="2"/>
      <c r="C199" s="132"/>
      <c r="D199" s="132"/>
      <c r="E199" s="132"/>
      <c r="F199" s="132"/>
      <c r="G199" s="6"/>
      <c r="H199" s="6"/>
      <c r="I199" s="6"/>
      <c r="J199" s="6"/>
      <c r="K199" s="6"/>
      <c r="L199" s="6"/>
      <c r="M199" s="6"/>
      <c r="N199" s="6"/>
      <c r="O199" s="6"/>
      <c r="P199" s="6"/>
      <c r="Q199" s="6"/>
      <c r="R199" s="6"/>
      <c r="S199" s="6"/>
      <c r="T199" s="6"/>
      <c r="U199" s="6"/>
      <c r="V199" s="6"/>
      <c r="W199" s="6"/>
      <c r="X199" s="6"/>
      <c r="Y199" s="6"/>
      <c r="Z199" s="6"/>
      <c r="AA199" s="6"/>
      <c r="AB199" s="6"/>
    </row>
    <row r="200" ht="15.75" customHeight="1">
      <c r="A200" s="130"/>
      <c r="B200" s="2"/>
      <c r="C200" s="132"/>
      <c r="D200" s="132"/>
      <c r="E200" s="132"/>
      <c r="F200" s="132"/>
      <c r="G200" s="6"/>
      <c r="H200" s="6"/>
      <c r="I200" s="6"/>
      <c r="J200" s="6"/>
      <c r="K200" s="6"/>
      <c r="L200" s="6"/>
      <c r="M200" s="6"/>
      <c r="N200" s="6"/>
      <c r="O200" s="6"/>
      <c r="P200" s="6"/>
      <c r="Q200" s="6"/>
      <c r="R200" s="6"/>
      <c r="S200" s="6"/>
      <c r="T200" s="6"/>
      <c r="U200" s="6"/>
      <c r="V200" s="6"/>
      <c r="W200" s="6"/>
      <c r="X200" s="6"/>
      <c r="Y200" s="6"/>
      <c r="Z200" s="6"/>
      <c r="AA200" s="6"/>
      <c r="AB200" s="6"/>
    </row>
    <row r="201" ht="15.75" customHeight="1">
      <c r="A201" s="130"/>
      <c r="B201" s="2"/>
      <c r="C201" s="132"/>
      <c r="D201" s="132"/>
      <c r="E201" s="132"/>
      <c r="F201" s="132"/>
      <c r="G201" s="6"/>
      <c r="H201" s="6"/>
      <c r="I201" s="6"/>
      <c r="J201" s="6"/>
      <c r="K201" s="6"/>
      <c r="L201" s="6"/>
      <c r="M201" s="6"/>
      <c r="N201" s="6"/>
      <c r="O201" s="6"/>
      <c r="P201" s="6"/>
      <c r="Q201" s="6"/>
      <c r="R201" s="6"/>
      <c r="S201" s="6"/>
      <c r="T201" s="6"/>
      <c r="U201" s="6"/>
      <c r="V201" s="6"/>
      <c r="W201" s="6"/>
      <c r="X201" s="6"/>
      <c r="Y201" s="6"/>
      <c r="Z201" s="6"/>
      <c r="AA201" s="6"/>
      <c r="AB201" s="6"/>
    </row>
    <row r="202" ht="15.75" customHeight="1">
      <c r="A202" s="130"/>
      <c r="B202" s="2"/>
      <c r="C202" s="132"/>
      <c r="D202" s="132"/>
      <c r="E202" s="132"/>
      <c r="F202" s="132"/>
      <c r="G202" s="6"/>
      <c r="H202" s="6"/>
      <c r="I202" s="6"/>
      <c r="J202" s="6"/>
      <c r="K202" s="6"/>
      <c r="L202" s="6"/>
      <c r="M202" s="6"/>
      <c r="N202" s="6"/>
      <c r="O202" s="6"/>
      <c r="P202" s="6"/>
      <c r="Q202" s="6"/>
      <c r="R202" s="6"/>
      <c r="S202" s="6"/>
      <c r="T202" s="6"/>
      <c r="U202" s="6"/>
      <c r="V202" s="6"/>
      <c r="W202" s="6"/>
      <c r="X202" s="6"/>
      <c r="Y202" s="6"/>
      <c r="Z202" s="6"/>
      <c r="AA202" s="6"/>
      <c r="AB202" s="6"/>
    </row>
    <row r="203" ht="15.75" customHeight="1">
      <c r="A203" s="130"/>
      <c r="B203" s="2"/>
      <c r="C203" s="132"/>
      <c r="D203" s="132"/>
      <c r="E203" s="132"/>
      <c r="F203" s="132"/>
      <c r="G203" s="6"/>
      <c r="H203" s="6"/>
      <c r="I203" s="6"/>
      <c r="J203" s="6"/>
      <c r="K203" s="6"/>
      <c r="L203" s="6"/>
      <c r="M203" s="6"/>
      <c r="N203" s="6"/>
      <c r="O203" s="6"/>
      <c r="P203" s="6"/>
      <c r="Q203" s="6"/>
      <c r="R203" s="6"/>
      <c r="S203" s="6"/>
      <c r="T203" s="6"/>
      <c r="U203" s="6"/>
      <c r="V203" s="6"/>
      <c r="W203" s="6"/>
      <c r="X203" s="6"/>
      <c r="Y203" s="6"/>
      <c r="Z203" s="6"/>
      <c r="AA203" s="6"/>
      <c r="AB203" s="6"/>
    </row>
    <row r="204" ht="15.75" customHeight="1">
      <c r="A204" s="130"/>
      <c r="B204" s="2"/>
      <c r="C204" s="132"/>
      <c r="D204" s="132"/>
      <c r="E204" s="132"/>
      <c r="F204" s="132"/>
      <c r="G204" s="6"/>
      <c r="H204" s="6"/>
      <c r="I204" s="6"/>
      <c r="J204" s="6"/>
      <c r="K204" s="6"/>
      <c r="L204" s="6"/>
      <c r="M204" s="6"/>
      <c r="N204" s="6"/>
      <c r="O204" s="6"/>
      <c r="P204" s="6"/>
      <c r="Q204" s="6"/>
      <c r="R204" s="6"/>
      <c r="S204" s="6"/>
      <c r="T204" s="6"/>
      <c r="U204" s="6"/>
      <c r="V204" s="6"/>
      <c r="W204" s="6"/>
      <c r="X204" s="6"/>
      <c r="Y204" s="6"/>
      <c r="Z204" s="6"/>
      <c r="AA204" s="6"/>
      <c r="AB204" s="6"/>
    </row>
    <row r="205" ht="15.75" customHeight="1">
      <c r="A205" s="130"/>
      <c r="B205" s="2"/>
      <c r="C205" s="132"/>
      <c r="D205" s="132"/>
      <c r="E205" s="132"/>
      <c r="F205" s="132"/>
      <c r="G205" s="6"/>
      <c r="H205" s="6"/>
      <c r="I205" s="6"/>
      <c r="J205" s="6"/>
      <c r="K205" s="6"/>
      <c r="L205" s="6"/>
      <c r="M205" s="6"/>
      <c r="N205" s="6"/>
      <c r="O205" s="6"/>
      <c r="P205" s="6"/>
      <c r="Q205" s="6"/>
      <c r="R205" s="6"/>
      <c r="S205" s="6"/>
      <c r="T205" s="6"/>
      <c r="U205" s="6"/>
      <c r="V205" s="6"/>
      <c r="W205" s="6"/>
      <c r="X205" s="6"/>
      <c r="Y205" s="6"/>
      <c r="Z205" s="6"/>
      <c r="AA205" s="6"/>
      <c r="AB205" s="6"/>
    </row>
    <row r="206" ht="15.75" customHeight="1">
      <c r="A206" s="130"/>
      <c r="B206" s="2"/>
      <c r="C206" s="132"/>
      <c r="D206" s="132"/>
      <c r="E206" s="132"/>
      <c r="F206" s="132"/>
      <c r="G206" s="6"/>
      <c r="H206" s="6"/>
      <c r="I206" s="6"/>
      <c r="J206" s="6"/>
      <c r="K206" s="6"/>
      <c r="L206" s="6"/>
      <c r="M206" s="6"/>
      <c r="N206" s="6"/>
      <c r="O206" s="6"/>
      <c r="P206" s="6"/>
      <c r="Q206" s="6"/>
      <c r="R206" s="6"/>
      <c r="S206" s="6"/>
      <c r="T206" s="6"/>
      <c r="U206" s="6"/>
      <c r="V206" s="6"/>
      <c r="W206" s="6"/>
      <c r="X206" s="6"/>
      <c r="Y206" s="6"/>
      <c r="Z206" s="6"/>
      <c r="AA206" s="6"/>
      <c r="AB206" s="6"/>
    </row>
    <row r="207" ht="15.75" customHeight="1">
      <c r="A207" s="130"/>
      <c r="B207" s="2"/>
      <c r="C207" s="132"/>
      <c r="D207" s="132"/>
      <c r="E207" s="132"/>
      <c r="F207" s="132"/>
      <c r="G207" s="6"/>
      <c r="H207" s="6"/>
      <c r="I207" s="6"/>
      <c r="J207" s="6"/>
      <c r="K207" s="6"/>
      <c r="L207" s="6"/>
      <c r="M207" s="6"/>
      <c r="N207" s="6"/>
      <c r="O207" s="6"/>
      <c r="P207" s="6"/>
      <c r="Q207" s="6"/>
      <c r="R207" s="6"/>
      <c r="S207" s="6"/>
      <c r="T207" s="6"/>
      <c r="U207" s="6"/>
      <c r="V207" s="6"/>
      <c r="W207" s="6"/>
      <c r="X207" s="6"/>
      <c r="Y207" s="6"/>
      <c r="Z207" s="6"/>
      <c r="AA207" s="6"/>
      <c r="AB207" s="6"/>
    </row>
    <row r="208" ht="15.75" customHeight="1">
      <c r="A208" s="130"/>
      <c r="B208" s="2"/>
      <c r="C208" s="132"/>
      <c r="D208" s="132"/>
      <c r="E208" s="132"/>
      <c r="F208" s="132"/>
      <c r="G208" s="6"/>
      <c r="H208" s="6"/>
      <c r="I208" s="6"/>
      <c r="J208" s="6"/>
      <c r="K208" s="6"/>
      <c r="L208" s="6"/>
      <c r="M208" s="6"/>
      <c r="N208" s="6"/>
      <c r="O208" s="6"/>
      <c r="P208" s="6"/>
      <c r="Q208" s="6"/>
      <c r="R208" s="6"/>
      <c r="S208" s="6"/>
      <c r="T208" s="6"/>
      <c r="U208" s="6"/>
      <c r="V208" s="6"/>
      <c r="W208" s="6"/>
      <c r="X208" s="6"/>
      <c r="Y208" s="6"/>
      <c r="Z208" s="6"/>
      <c r="AA208" s="6"/>
      <c r="AB208" s="6"/>
    </row>
    <row r="209" ht="15.75" customHeight="1">
      <c r="A209" s="130"/>
      <c r="B209" s="2"/>
      <c r="C209" s="132"/>
      <c r="D209" s="132"/>
      <c r="E209" s="132"/>
      <c r="F209" s="132"/>
      <c r="G209" s="6"/>
      <c r="H209" s="6"/>
      <c r="I209" s="6"/>
      <c r="J209" s="6"/>
      <c r="K209" s="6"/>
      <c r="L209" s="6"/>
      <c r="M209" s="6"/>
      <c r="N209" s="6"/>
      <c r="O209" s="6"/>
      <c r="P209" s="6"/>
      <c r="Q209" s="6"/>
      <c r="R209" s="6"/>
      <c r="S209" s="6"/>
      <c r="T209" s="6"/>
      <c r="U209" s="6"/>
      <c r="V209" s="6"/>
      <c r="W209" s="6"/>
      <c r="X209" s="6"/>
      <c r="Y209" s="6"/>
      <c r="Z209" s="6"/>
      <c r="AA209" s="6"/>
      <c r="AB209" s="6"/>
    </row>
    <row r="210" ht="15.75" customHeight="1">
      <c r="A210" s="130"/>
      <c r="B210" s="2"/>
      <c r="C210" s="132"/>
      <c r="D210" s="132"/>
      <c r="E210" s="132"/>
      <c r="F210" s="132"/>
      <c r="G210" s="6"/>
      <c r="H210" s="6"/>
      <c r="I210" s="6"/>
      <c r="J210" s="6"/>
      <c r="K210" s="6"/>
      <c r="L210" s="6"/>
      <c r="M210" s="6"/>
      <c r="N210" s="6"/>
      <c r="O210" s="6"/>
      <c r="P210" s="6"/>
      <c r="Q210" s="6"/>
      <c r="R210" s="6"/>
      <c r="S210" s="6"/>
      <c r="T210" s="6"/>
      <c r="U210" s="6"/>
      <c r="V210" s="6"/>
      <c r="W210" s="6"/>
      <c r="X210" s="6"/>
      <c r="Y210" s="6"/>
      <c r="Z210" s="6"/>
      <c r="AA210" s="6"/>
      <c r="AB210" s="6"/>
    </row>
    <row r="211" ht="15.75" customHeight="1">
      <c r="A211" s="130"/>
      <c r="B211" s="2"/>
      <c r="C211" s="132"/>
      <c r="D211" s="132"/>
      <c r="E211" s="132"/>
      <c r="F211" s="132"/>
      <c r="G211" s="6"/>
      <c r="H211" s="6"/>
      <c r="I211" s="6"/>
      <c r="J211" s="6"/>
      <c r="K211" s="6"/>
      <c r="L211" s="6"/>
      <c r="M211" s="6"/>
      <c r="N211" s="6"/>
      <c r="O211" s="6"/>
      <c r="P211" s="6"/>
      <c r="Q211" s="6"/>
      <c r="R211" s="6"/>
      <c r="S211" s="6"/>
      <c r="T211" s="6"/>
      <c r="U211" s="6"/>
      <c r="V211" s="6"/>
      <c r="W211" s="6"/>
      <c r="X211" s="6"/>
      <c r="Y211" s="6"/>
      <c r="Z211" s="6"/>
      <c r="AA211" s="6"/>
      <c r="AB211" s="6"/>
    </row>
    <row r="212" ht="15.75" customHeight="1">
      <c r="A212" s="130"/>
      <c r="B212" s="2"/>
      <c r="C212" s="132"/>
      <c r="D212" s="132"/>
      <c r="E212" s="132"/>
      <c r="F212" s="132"/>
      <c r="G212" s="6"/>
      <c r="H212" s="6"/>
      <c r="I212" s="6"/>
      <c r="J212" s="6"/>
      <c r="K212" s="6"/>
      <c r="L212" s="6"/>
      <c r="M212" s="6"/>
      <c r="N212" s="6"/>
      <c r="O212" s="6"/>
      <c r="P212" s="6"/>
      <c r="Q212" s="6"/>
      <c r="R212" s="6"/>
      <c r="S212" s="6"/>
      <c r="T212" s="6"/>
      <c r="U212" s="6"/>
      <c r="V212" s="6"/>
      <c r="W212" s="6"/>
      <c r="X212" s="6"/>
      <c r="Y212" s="6"/>
      <c r="Z212" s="6"/>
      <c r="AA212" s="6"/>
      <c r="AB212" s="6"/>
    </row>
    <row r="213" ht="15.75" customHeight="1">
      <c r="A213" s="130"/>
      <c r="B213" s="2"/>
      <c r="C213" s="132"/>
      <c r="D213" s="132"/>
      <c r="E213" s="132"/>
      <c r="F213" s="132"/>
      <c r="G213" s="6"/>
      <c r="H213" s="6"/>
      <c r="I213" s="6"/>
      <c r="J213" s="6"/>
      <c r="K213" s="6"/>
      <c r="L213" s="6"/>
      <c r="M213" s="6"/>
      <c r="N213" s="6"/>
      <c r="O213" s="6"/>
      <c r="P213" s="6"/>
      <c r="Q213" s="6"/>
      <c r="R213" s="6"/>
      <c r="S213" s="6"/>
      <c r="T213" s="6"/>
      <c r="U213" s="6"/>
      <c r="V213" s="6"/>
      <c r="W213" s="6"/>
      <c r="X213" s="6"/>
      <c r="Y213" s="6"/>
      <c r="Z213" s="6"/>
      <c r="AA213" s="6"/>
      <c r="AB213" s="6"/>
    </row>
    <row r="214" ht="15.75" customHeight="1">
      <c r="A214" s="130"/>
      <c r="B214" s="2"/>
      <c r="C214" s="132"/>
      <c r="D214" s="132"/>
      <c r="E214" s="132"/>
      <c r="F214" s="132"/>
      <c r="G214" s="6"/>
      <c r="H214" s="6"/>
      <c r="I214" s="6"/>
      <c r="J214" s="6"/>
      <c r="K214" s="6"/>
      <c r="L214" s="6"/>
      <c r="M214" s="6"/>
      <c r="N214" s="6"/>
      <c r="O214" s="6"/>
      <c r="P214" s="6"/>
      <c r="Q214" s="6"/>
      <c r="R214" s="6"/>
      <c r="S214" s="6"/>
      <c r="T214" s="6"/>
      <c r="U214" s="6"/>
      <c r="V214" s="6"/>
      <c r="W214" s="6"/>
      <c r="X214" s="6"/>
      <c r="Y214" s="6"/>
      <c r="Z214" s="6"/>
      <c r="AA214" s="6"/>
      <c r="AB214" s="6"/>
    </row>
    <row r="215" ht="15.75" customHeight="1">
      <c r="A215" s="130"/>
      <c r="B215" s="2"/>
      <c r="C215" s="132"/>
      <c r="D215" s="132"/>
      <c r="E215" s="132"/>
      <c r="F215" s="132"/>
      <c r="G215" s="6"/>
      <c r="H215" s="6"/>
      <c r="I215" s="6"/>
      <c r="J215" s="6"/>
      <c r="K215" s="6"/>
      <c r="L215" s="6"/>
      <c r="M215" s="6"/>
      <c r="N215" s="6"/>
      <c r="O215" s="6"/>
      <c r="P215" s="6"/>
      <c r="Q215" s="6"/>
      <c r="R215" s="6"/>
      <c r="S215" s="6"/>
      <c r="T215" s="6"/>
      <c r="U215" s="6"/>
      <c r="V215" s="6"/>
      <c r="W215" s="6"/>
      <c r="X215" s="6"/>
      <c r="Y215" s="6"/>
      <c r="Z215" s="6"/>
      <c r="AA215" s="6"/>
      <c r="AB215" s="6"/>
    </row>
    <row r="216" ht="15.75" customHeight="1">
      <c r="A216" s="130"/>
      <c r="B216" s="2"/>
      <c r="C216" s="132"/>
      <c r="D216" s="132"/>
      <c r="E216" s="132"/>
      <c r="F216" s="132"/>
      <c r="G216" s="6"/>
      <c r="H216" s="6"/>
      <c r="I216" s="6"/>
      <c r="J216" s="6"/>
      <c r="K216" s="6"/>
      <c r="L216" s="6"/>
      <c r="M216" s="6"/>
      <c r="N216" s="6"/>
      <c r="O216" s="6"/>
      <c r="P216" s="6"/>
      <c r="Q216" s="6"/>
      <c r="R216" s="6"/>
      <c r="S216" s="6"/>
      <c r="T216" s="6"/>
      <c r="U216" s="6"/>
      <c r="V216" s="6"/>
      <c r="W216" s="6"/>
      <c r="X216" s="6"/>
      <c r="Y216" s="6"/>
      <c r="Z216" s="6"/>
      <c r="AA216" s="6"/>
      <c r="AB216" s="6"/>
    </row>
    <row r="217" ht="15.75" customHeight="1">
      <c r="A217" s="130"/>
      <c r="B217" s="2"/>
      <c r="C217" s="132"/>
      <c r="D217" s="132"/>
      <c r="E217" s="132"/>
      <c r="F217" s="132"/>
      <c r="G217" s="6"/>
      <c r="H217" s="6"/>
      <c r="I217" s="6"/>
      <c r="J217" s="6"/>
      <c r="K217" s="6"/>
      <c r="L217" s="6"/>
      <c r="M217" s="6"/>
      <c r="N217" s="6"/>
      <c r="O217" s="6"/>
      <c r="P217" s="6"/>
      <c r="Q217" s="6"/>
      <c r="R217" s="6"/>
      <c r="S217" s="6"/>
      <c r="T217" s="6"/>
      <c r="U217" s="6"/>
      <c r="V217" s="6"/>
      <c r="W217" s="6"/>
      <c r="X217" s="6"/>
      <c r="Y217" s="6"/>
      <c r="Z217" s="6"/>
      <c r="AA217" s="6"/>
      <c r="AB217" s="6"/>
    </row>
    <row r="218" ht="15.75" customHeight="1">
      <c r="A218" s="130"/>
      <c r="B218" s="2"/>
      <c r="C218" s="132"/>
      <c r="D218" s="132"/>
      <c r="E218" s="132"/>
      <c r="F218" s="132"/>
      <c r="G218" s="6"/>
      <c r="H218" s="6"/>
      <c r="I218" s="6"/>
      <c r="J218" s="6"/>
      <c r="K218" s="6"/>
      <c r="L218" s="6"/>
      <c r="M218" s="6"/>
      <c r="N218" s="6"/>
      <c r="O218" s="6"/>
      <c r="P218" s="6"/>
      <c r="Q218" s="6"/>
      <c r="R218" s="6"/>
      <c r="S218" s="6"/>
      <c r="T218" s="6"/>
      <c r="U218" s="6"/>
      <c r="V218" s="6"/>
      <c r="W218" s="6"/>
      <c r="X218" s="6"/>
      <c r="Y218" s="6"/>
      <c r="Z218" s="6"/>
      <c r="AA218" s="6"/>
      <c r="AB218" s="6"/>
    </row>
    <row r="219" ht="15.75" customHeight="1">
      <c r="A219" s="130"/>
      <c r="B219" s="2"/>
      <c r="C219" s="132"/>
      <c r="D219" s="132"/>
      <c r="E219" s="132"/>
      <c r="F219" s="132"/>
      <c r="G219" s="6"/>
      <c r="H219" s="6"/>
      <c r="I219" s="6"/>
      <c r="J219" s="6"/>
      <c r="K219" s="6"/>
      <c r="L219" s="6"/>
      <c r="M219" s="6"/>
      <c r="N219" s="6"/>
      <c r="O219" s="6"/>
      <c r="P219" s="6"/>
      <c r="Q219" s="6"/>
      <c r="R219" s="6"/>
      <c r="S219" s="6"/>
      <c r="T219" s="6"/>
      <c r="U219" s="6"/>
      <c r="V219" s="6"/>
      <c r="W219" s="6"/>
      <c r="X219" s="6"/>
      <c r="Y219" s="6"/>
      <c r="Z219" s="6"/>
      <c r="AA219" s="6"/>
      <c r="AB219" s="6"/>
    </row>
    <row r="220" ht="15.75" customHeight="1">
      <c r="A220" s="130"/>
      <c r="B220" s="2"/>
      <c r="C220" s="132"/>
      <c r="D220" s="132"/>
      <c r="E220" s="132"/>
      <c r="F220" s="132"/>
      <c r="G220" s="6"/>
      <c r="H220" s="6"/>
      <c r="I220" s="6"/>
      <c r="J220" s="6"/>
      <c r="K220" s="6"/>
      <c r="L220" s="6"/>
      <c r="M220" s="6"/>
      <c r="N220" s="6"/>
      <c r="O220" s="6"/>
      <c r="P220" s="6"/>
      <c r="Q220" s="6"/>
      <c r="R220" s="6"/>
      <c r="S220" s="6"/>
      <c r="T220" s="6"/>
      <c r="U220" s="6"/>
      <c r="V220" s="6"/>
      <c r="W220" s="6"/>
      <c r="X220" s="6"/>
      <c r="Y220" s="6"/>
      <c r="Z220" s="6"/>
      <c r="AA220" s="6"/>
      <c r="AB220" s="6"/>
    </row>
    <row r="221" ht="15.75" customHeight="1">
      <c r="A221" s="130"/>
      <c r="B221" s="2"/>
      <c r="C221" s="132"/>
      <c r="D221" s="132"/>
      <c r="E221" s="132"/>
      <c r="F221" s="132"/>
      <c r="G221" s="6"/>
      <c r="H221" s="6"/>
      <c r="I221" s="6"/>
      <c r="J221" s="6"/>
      <c r="K221" s="6"/>
      <c r="L221" s="6"/>
      <c r="M221" s="6"/>
      <c r="N221" s="6"/>
      <c r="O221" s="6"/>
      <c r="P221" s="6"/>
      <c r="Q221" s="6"/>
      <c r="R221" s="6"/>
      <c r="S221" s="6"/>
      <c r="T221" s="6"/>
      <c r="U221" s="6"/>
      <c r="V221" s="6"/>
      <c r="W221" s="6"/>
      <c r="X221" s="6"/>
      <c r="Y221" s="6"/>
      <c r="Z221" s="6"/>
      <c r="AA221" s="6"/>
      <c r="AB221" s="6"/>
    </row>
    <row r="222" ht="15.75" customHeight="1">
      <c r="A222" s="130"/>
      <c r="B222" s="2"/>
      <c r="C222" s="132"/>
      <c r="D222" s="132"/>
      <c r="E222" s="132"/>
      <c r="F222" s="132"/>
      <c r="G222" s="6"/>
      <c r="H222" s="6"/>
      <c r="I222" s="6"/>
      <c r="J222" s="6"/>
      <c r="K222" s="6"/>
      <c r="L222" s="6"/>
      <c r="M222" s="6"/>
      <c r="N222" s="6"/>
      <c r="O222" s="6"/>
      <c r="P222" s="6"/>
      <c r="Q222" s="6"/>
      <c r="R222" s="6"/>
      <c r="S222" s="6"/>
      <c r="T222" s="6"/>
      <c r="U222" s="6"/>
      <c r="V222" s="6"/>
      <c r="W222" s="6"/>
      <c r="X222" s="6"/>
      <c r="Y222" s="6"/>
      <c r="Z222" s="6"/>
      <c r="AA222" s="6"/>
      <c r="AB222" s="6"/>
    </row>
    <row r="223" ht="15.75" customHeight="1">
      <c r="A223" s="130"/>
      <c r="B223" s="2"/>
      <c r="C223" s="132"/>
      <c r="D223" s="132"/>
      <c r="E223" s="132"/>
      <c r="F223" s="132"/>
      <c r="G223" s="6"/>
      <c r="H223" s="6"/>
      <c r="I223" s="6"/>
      <c r="J223" s="6"/>
      <c r="K223" s="6"/>
      <c r="L223" s="6"/>
      <c r="M223" s="6"/>
      <c r="N223" s="6"/>
      <c r="O223" s="6"/>
      <c r="P223" s="6"/>
      <c r="Q223" s="6"/>
      <c r="R223" s="6"/>
      <c r="S223" s="6"/>
      <c r="T223" s="6"/>
      <c r="U223" s="6"/>
      <c r="V223" s="6"/>
      <c r="W223" s="6"/>
      <c r="X223" s="6"/>
      <c r="Y223" s="6"/>
      <c r="Z223" s="6"/>
      <c r="AA223" s="6"/>
      <c r="AB223" s="6"/>
    </row>
    <row r="224" ht="15.75" customHeight="1">
      <c r="A224" s="130"/>
      <c r="B224" s="2"/>
      <c r="C224" s="132"/>
      <c r="D224" s="132"/>
      <c r="E224" s="132"/>
      <c r="F224" s="132"/>
      <c r="G224" s="6"/>
      <c r="H224" s="6"/>
      <c r="I224" s="6"/>
      <c r="J224" s="6"/>
      <c r="K224" s="6"/>
      <c r="L224" s="6"/>
      <c r="M224" s="6"/>
      <c r="N224" s="6"/>
      <c r="O224" s="6"/>
      <c r="P224" s="6"/>
      <c r="Q224" s="6"/>
      <c r="R224" s="6"/>
      <c r="S224" s="6"/>
      <c r="T224" s="6"/>
      <c r="U224" s="6"/>
      <c r="V224" s="6"/>
      <c r="W224" s="6"/>
      <c r="X224" s="6"/>
      <c r="Y224" s="6"/>
      <c r="Z224" s="6"/>
      <c r="AA224" s="6"/>
      <c r="AB224" s="6"/>
    </row>
    <row r="225" ht="15.75" customHeight="1">
      <c r="A225" s="130"/>
      <c r="B225" s="2"/>
      <c r="C225" s="132"/>
      <c r="D225" s="132"/>
      <c r="E225" s="132"/>
      <c r="F225" s="132"/>
      <c r="G225" s="6"/>
      <c r="H225" s="6"/>
      <c r="I225" s="6"/>
      <c r="J225" s="6"/>
      <c r="K225" s="6"/>
      <c r="L225" s="6"/>
      <c r="M225" s="6"/>
      <c r="N225" s="6"/>
      <c r="O225" s="6"/>
      <c r="P225" s="6"/>
      <c r="Q225" s="6"/>
      <c r="R225" s="6"/>
      <c r="S225" s="6"/>
      <c r="T225" s="6"/>
      <c r="U225" s="6"/>
      <c r="V225" s="6"/>
      <c r="W225" s="6"/>
      <c r="X225" s="6"/>
      <c r="Y225" s="6"/>
      <c r="Z225" s="6"/>
      <c r="AA225" s="6"/>
      <c r="AB225" s="6"/>
    </row>
    <row r="226" ht="15.75" customHeight="1">
      <c r="A226" s="130"/>
      <c r="B226" s="2"/>
      <c r="C226" s="132"/>
      <c r="D226" s="132"/>
      <c r="E226" s="132"/>
      <c r="F226" s="132"/>
      <c r="G226" s="6"/>
      <c r="H226" s="6"/>
      <c r="I226" s="6"/>
      <c r="J226" s="6"/>
      <c r="K226" s="6"/>
      <c r="L226" s="6"/>
      <c r="M226" s="6"/>
      <c r="N226" s="6"/>
      <c r="O226" s="6"/>
      <c r="P226" s="6"/>
      <c r="Q226" s="6"/>
      <c r="R226" s="6"/>
      <c r="S226" s="6"/>
      <c r="T226" s="6"/>
      <c r="U226" s="6"/>
      <c r="V226" s="6"/>
      <c r="W226" s="6"/>
      <c r="X226" s="6"/>
      <c r="Y226" s="6"/>
      <c r="Z226" s="6"/>
      <c r="AA226" s="6"/>
      <c r="AB226" s="6"/>
    </row>
    <row r="227" ht="15.75" customHeight="1">
      <c r="A227" s="130"/>
      <c r="B227" s="2"/>
      <c r="C227" s="132"/>
      <c r="D227" s="132"/>
      <c r="E227" s="132"/>
      <c r="F227" s="132"/>
      <c r="G227" s="6"/>
      <c r="H227" s="6"/>
      <c r="I227" s="6"/>
      <c r="J227" s="6"/>
      <c r="K227" s="6"/>
      <c r="L227" s="6"/>
      <c r="M227" s="6"/>
      <c r="N227" s="6"/>
      <c r="O227" s="6"/>
      <c r="P227" s="6"/>
      <c r="Q227" s="6"/>
      <c r="R227" s="6"/>
      <c r="S227" s="6"/>
      <c r="T227" s="6"/>
      <c r="U227" s="6"/>
      <c r="V227" s="6"/>
      <c r="W227" s="6"/>
      <c r="X227" s="6"/>
      <c r="Y227" s="6"/>
      <c r="Z227" s="6"/>
      <c r="AA227" s="6"/>
      <c r="AB227" s="6"/>
    </row>
    <row r="228" ht="15.75" customHeight="1">
      <c r="A228" s="130"/>
      <c r="B228" s="2"/>
      <c r="C228" s="132"/>
      <c r="D228" s="132"/>
      <c r="E228" s="132"/>
      <c r="F228" s="132"/>
      <c r="G228" s="6"/>
      <c r="H228" s="6"/>
      <c r="I228" s="6"/>
      <c r="J228" s="6"/>
      <c r="K228" s="6"/>
      <c r="L228" s="6"/>
      <c r="M228" s="6"/>
      <c r="N228" s="6"/>
      <c r="O228" s="6"/>
      <c r="P228" s="6"/>
      <c r="Q228" s="6"/>
      <c r="R228" s="6"/>
      <c r="S228" s="6"/>
      <c r="T228" s="6"/>
      <c r="U228" s="6"/>
      <c r="V228" s="6"/>
      <c r="W228" s="6"/>
      <c r="X228" s="6"/>
      <c r="Y228" s="6"/>
      <c r="Z228" s="6"/>
      <c r="AA228" s="6"/>
      <c r="AB228" s="6"/>
    </row>
    <row r="229" ht="15.75" customHeight="1">
      <c r="A229" s="130"/>
      <c r="B229" s="2"/>
      <c r="C229" s="132"/>
      <c r="D229" s="132"/>
      <c r="E229" s="132"/>
      <c r="F229" s="132"/>
      <c r="G229" s="6"/>
      <c r="H229" s="6"/>
      <c r="I229" s="6"/>
      <c r="J229" s="6"/>
      <c r="K229" s="6"/>
      <c r="L229" s="6"/>
      <c r="M229" s="6"/>
      <c r="N229" s="6"/>
      <c r="O229" s="6"/>
      <c r="P229" s="6"/>
      <c r="Q229" s="6"/>
      <c r="R229" s="6"/>
      <c r="S229" s="6"/>
      <c r="T229" s="6"/>
      <c r="U229" s="6"/>
      <c r="V229" s="6"/>
      <c r="W229" s="6"/>
      <c r="X229" s="6"/>
      <c r="Y229" s="6"/>
      <c r="Z229" s="6"/>
      <c r="AA229" s="6"/>
      <c r="AB229" s="6"/>
    </row>
    <row r="230" ht="15.75" customHeight="1">
      <c r="A230" s="130"/>
      <c r="B230" s="2"/>
      <c r="C230" s="132"/>
      <c r="D230" s="132"/>
      <c r="E230" s="132"/>
      <c r="F230" s="132"/>
      <c r="G230" s="6"/>
      <c r="H230" s="6"/>
      <c r="I230" s="6"/>
      <c r="J230" s="6"/>
      <c r="K230" s="6"/>
      <c r="L230" s="6"/>
      <c r="M230" s="6"/>
      <c r="N230" s="6"/>
      <c r="O230" s="6"/>
      <c r="P230" s="6"/>
      <c r="Q230" s="6"/>
      <c r="R230" s="6"/>
      <c r="S230" s="6"/>
      <c r="T230" s="6"/>
      <c r="U230" s="6"/>
      <c r="V230" s="6"/>
      <c r="W230" s="6"/>
      <c r="X230" s="6"/>
      <c r="Y230" s="6"/>
      <c r="Z230" s="6"/>
      <c r="AA230" s="6"/>
      <c r="AB230" s="6"/>
    </row>
    <row r="231" ht="15.75" customHeight="1">
      <c r="A231" s="130"/>
      <c r="B231" s="2"/>
      <c r="C231" s="132"/>
      <c r="D231" s="132"/>
      <c r="E231" s="132"/>
      <c r="F231" s="132"/>
      <c r="G231" s="6"/>
      <c r="H231" s="6"/>
      <c r="I231" s="6"/>
      <c r="J231" s="6"/>
      <c r="K231" s="6"/>
      <c r="L231" s="6"/>
      <c r="M231" s="6"/>
      <c r="N231" s="6"/>
      <c r="O231" s="6"/>
      <c r="P231" s="6"/>
      <c r="Q231" s="6"/>
      <c r="R231" s="6"/>
      <c r="S231" s="6"/>
      <c r="T231" s="6"/>
      <c r="U231" s="6"/>
      <c r="V231" s="6"/>
      <c r="W231" s="6"/>
      <c r="X231" s="6"/>
      <c r="Y231" s="6"/>
      <c r="Z231" s="6"/>
      <c r="AA231" s="6"/>
      <c r="AB231" s="6"/>
    </row>
    <row r="232" ht="15.75" customHeight="1">
      <c r="A232" s="130"/>
      <c r="B232" s="2"/>
      <c r="C232" s="132"/>
      <c r="D232" s="132"/>
      <c r="E232" s="132"/>
      <c r="F232" s="132"/>
      <c r="G232" s="6"/>
      <c r="H232" s="6"/>
      <c r="I232" s="6"/>
      <c r="J232" s="6"/>
      <c r="K232" s="6"/>
      <c r="L232" s="6"/>
      <c r="M232" s="6"/>
      <c r="N232" s="6"/>
      <c r="O232" s="6"/>
      <c r="P232" s="6"/>
      <c r="Q232" s="6"/>
      <c r="R232" s="6"/>
      <c r="S232" s="6"/>
      <c r="T232" s="6"/>
      <c r="U232" s="6"/>
      <c r="V232" s="6"/>
      <c r="W232" s="6"/>
      <c r="X232" s="6"/>
      <c r="Y232" s="6"/>
      <c r="Z232" s="6"/>
      <c r="AA232" s="6"/>
      <c r="AB232" s="6"/>
    </row>
    <row r="233" ht="15.75" customHeight="1">
      <c r="A233" s="130"/>
      <c r="B233" s="2"/>
      <c r="C233" s="132"/>
      <c r="D233" s="132"/>
      <c r="E233" s="132"/>
      <c r="F233" s="132"/>
      <c r="G233" s="6"/>
      <c r="H233" s="6"/>
      <c r="I233" s="6"/>
      <c r="J233" s="6"/>
      <c r="K233" s="6"/>
      <c r="L233" s="6"/>
      <c r="M233" s="6"/>
      <c r="N233" s="6"/>
      <c r="O233" s="6"/>
      <c r="P233" s="6"/>
      <c r="Q233" s="6"/>
      <c r="R233" s="6"/>
      <c r="S233" s="6"/>
      <c r="T233" s="6"/>
      <c r="U233" s="6"/>
      <c r="V233" s="6"/>
      <c r="W233" s="6"/>
      <c r="X233" s="6"/>
      <c r="Y233" s="6"/>
      <c r="Z233" s="6"/>
      <c r="AA233" s="6"/>
      <c r="AB233" s="6"/>
    </row>
    <row r="234" ht="15.75" customHeight="1">
      <c r="A234" s="130"/>
      <c r="B234" s="2"/>
      <c r="C234" s="132"/>
      <c r="D234" s="132"/>
      <c r="E234" s="132"/>
      <c r="F234" s="132"/>
      <c r="G234" s="6"/>
      <c r="H234" s="6"/>
      <c r="I234" s="6"/>
      <c r="J234" s="6"/>
      <c r="K234" s="6"/>
      <c r="L234" s="6"/>
      <c r="M234" s="6"/>
      <c r="N234" s="6"/>
      <c r="O234" s="6"/>
      <c r="P234" s="6"/>
      <c r="Q234" s="6"/>
      <c r="R234" s="6"/>
      <c r="S234" s="6"/>
      <c r="T234" s="6"/>
      <c r="U234" s="6"/>
      <c r="V234" s="6"/>
      <c r="W234" s="6"/>
      <c r="X234" s="6"/>
      <c r="Y234" s="6"/>
      <c r="Z234" s="6"/>
      <c r="AA234" s="6"/>
      <c r="AB234" s="6"/>
    </row>
    <row r="235" ht="15.75" customHeight="1">
      <c r="A235" s="130"/>
      <c r="B235" s="2"/>
      <c r="C235" s="132"/>
      <c r="D235" s="132"/>
      <c r="E235" s="132"/>
      <c r="F235" s="132"/>
      <c r="G235" s="6"/>
      <c r="H235" s="6"/>
      <c r="I235" s="6"/>
      <c r="J235" s="6"/>
      <c r="K235" s="6"/>
      <c r="L235" s="6"/>
      <c r="M235" s="6"/>
      <c r="N235" s="6"/>
      <c r="O235" s="6"/>
      <c r="P235" s="6"/>
      <c r="Q235" s="6"/>
      <c r="R235" s="6"/>
      <c r="S235" s="6"/>
      <c r="T235" s="6"/>
      <c r="U235" s="6"/>
      <c r="V235" s="6"/>
      <c r="W235" s="6"/>
      <c r="X235" s="6"/>
      <c r="Y235" s="6"/>
      <c r="Z235" s="6"/>
      <c r="AA235" s="6"/>
      <c r="AB235" s="6"/>
    </row>
    <row r="236" ht="15.75" customHeight="1">
      <c r="A236" s="130"/>
      <c r="B236" s="2"/>
      <c r="C236" s="132"/>
      <c r="D236" s="132"/>
      <c r="E236" s="132"/>
      <c r="F236" s="132"/>
      <c r="G236" s="6"/>
      <c r="H236" s="6"/>
      <c r="I236" s="6"/>
      <c r="J236" s="6"/>
      <c r="K236" s="6"/>
      <c r="L236" s="6"/>
      <c r="M236" s="6"/>
      <c r="N236" s="6"/>
      <c r="O236" s="6"/>
      <c r="P236" s="6"/>
      <c r="Q236" s="6"/>
      <c r="R236" s="6"/>
      <c r="S236" s="6"/>
      <c r="T236" s="6"/>
      <c r="U236" s="6"/>
      <c r="V236" s="6"/>
      <c r="W236" s="6"/>
      <c r="X236" s="6"/>
      <c r="Y236" s="6"/>
      <c r="Z236" s="6"/>
      <c r="AA236" s="6"/>
      <c r="AB236" s="6"/>
    </row>
    <row r="237" ht="15.75" customHeight="1">
      <c r="A237" s="130"/>
      <c r="B237" s="2"/>
      <c r="C237" s="132"/>
      <c r="D237" s="132"/>
      <c r="E237" s="132"/>
      <c r="F237" s="132"/>
      <c r="G237" s="6"/>
      <c r="H237" s="6"/>
      <c r="I237" s="6"/>
      <c r="J237" s="6"/>
      <c r="K237" s="6"/>
      <c r="L237" s="6"/>
      <c r="M237" s="6"/>
      <c r="N237" s="6"/>
      <c r="O237" s="6"/>
      <c r="P237" s="6"/>
      <c r="Q237" s="6"/>
      <c r="R237" s="6"/>
      <c r="S237" s="6"/>
      <c r="T237" s="6"/>
      <c r="U237" s="6"/>
      <c r="V237" s="6"/>
      <c r="W237" s="6"/>
      <c r="X237" s="6"/>
      <c r="Y237" s="6"/>
      <c r="Z237" s="6"/>
      <c r="AA237" s="6"/>
      <c r="AB237" s="6"/>
    </row>
    <row r="238" ht="15.75" customHeight="1">
      <c r="A238" s="130"/>
      <c r="B238" s="2"/>
      <c r="C238" s="132"/>
      <c r="D238" s="132"/>
      <c r="E238" s="132"/>
      <c r="F238" s="132"/>
      <c r="G238" s="6"/>
      <c r="H238" s="6"/>
      <c r="I238" s="6"/>
      <c r="J238" s="6"/>
      <c r="K238" s="6"/>
      <c r="L238" s="6"/>
      <c r="M238" s="6"/>
      <c r="N238" s="6"/>
      <c r="O238" s="6"/>
      <c r="P238" s="6"/>
      <c r="Q238" s="6"/>
      <c r="R238" s="6"/>
      <c r="S238" s="6"/>
      <c r="T238" s="6"/>
      <c r="U238" s="6"/>
      <c r="V238" s="6"/>
      <c r="W238" s="6"/>
      <c r="X238" s="6"/>
      <c r="Y238" s="6"/>
      <c r="Z238" s="6"/>
      <c r="AA238" s="6"/>
      <c r="AB238" s="6"/>
    </row>
    <row r="239" ht="15.75" customHeight="1">
      <c r="A239" s="130"/>
      <c r="B239" s="2"/>
      <c r="C239" s="132"/>
      <c r="D239" s="132"/>
      <c r="E239" s="132"/>
      <c r="F239" s="132"/>
      <c r="G239" s="6"/>
      <c r="H239" s="6"/>
      <c r="I239" s="6"/>
      <c r="J239" s="6"/>
      <c r="K239" s="6"/>
      <c r="L239" s="6"/>
      <c r="M239" s="6"/>
      <c r="N239" s="6"/>
      <c r="O239" s="6"/>
      <c r="P239" s="6"/>
      <c r="Q239" s="6"/>
      <c r="R239" s="6"/>
      <c r="S239" s="6"/>
      <c r="T239" s="6"/>
      <c r="U239" s="6"/>
      <c r="V239" s="6"/>
      <c r="W239" s="6"/>
      <c r="X239" s="6"/>
      <c r="Y239" s="6"/>
      <c r="Z239" s="6"/>
      <c r="AA239" s="6"/>
      <c r="AB239" s="6"/>
    </row>
    <row r="240" ht="15.75" customHeight="1">
      <c r="A240" s="130"/>
      <c r="B240" s="2"/>
      <c r="C240" s="132"/>
      <c r="D240" s="132"/>
      <c r="E240" s="132"/>
      <c r="F240" s="132"/>
      <c r="G240" s="6"/>
      <c r="H240" s="6"/>
      <c r="I240" s="6"/>
      <c r="J240" s="6"/>
      <c r="K240" s="6"/>
      <c r="L240" s="6"/>
      <c r="M240" s="6"/>
      <c r="N240" s="6"/>
      <c r="O240" s="6"/>
      <c r="P240" s="6"/>
      <c r="Q240" s="6"/>
      <c r="R240" s="6"/>
      <c r="S240" s="6"/>
      <c r="T240" s="6"/>
      <c r="U240" s="6"/>
      <c r="V240" s="6"/>
      <c r="W240" s="6"/>
      <c r="X240" s="6"/>
      <c r="Y240" s="6"/>
      <c r="Z240" s="6"/>
      <c r="AA240" s="6"/>
      <c r="AB240" s="6"/>
    </row>
    <row r="241" ht="15.75" customHeight="1">
      <c r="A241" s="130"/>
      <c r="B241" s="2"/>
      <c r="C241" s="132"/>
      <c r="D241" s="132"/>
      <c r="E241" s="132"/>
      <c r="F241" s="132"/>
      <c r="G241" s="6"/>
      <c r="H241" s="6"/>
      <c r="I241" s="6"/>
      <c r="J241" s="6"/>
      <c r="K241" s="6"/>
      <c r="L241" s="6"/>
      <c r="M241" s="6"/>
      <c r="N241" s="6"/>
      <c r="O241" s="6"/>
      <c r="P241" s="6"/>
      <c r="Q241" s="6"/>
      <c r="R241" s="6"/>
      <c r="S241" s="6"/>
      <c r="T241" s="6"/>
      <c r="U241" s="6"/>
      <c r="V241" s="6"/>
      <c r="W241" s="6"/>
      <c r="X241" s="6"/>
      <c r="Y241" s="6"/>
      <c r="Z241" s="6"/>
      <c r="AA241" s="6"/>
      <c r="AB241" s="6"/>
    </row>
    <row r="242" ht="15.75" customHeight="1">
      <c r="A242" s="130"/>
      <c r="B242" s="2"/>
      <c r="C242" s="132"/>
      <c r="D242" s="132"/>
      <c r="E242" s="132"/>
      <c r="F242" s="132"/>
      <c r="G242" s="6"/>
      <c r="H242" s="6"/>
      <c r="I242" s="6"/>
      <c r="J242" s="6"/>
      <c r="K242" s="6"/>
      <c r="L242" s="6"/>
      <c r="M242" s="6"/>
      <c r="N242" s="6"/>
      <c r="O242" s="6"/>
      <c r="P242" s="6"/>
      <c r="Q242" s="6"/>
      <c r="R242" s="6"/>
      <c r="S242" s="6"/>
      <c r="T242" s="6"/>
      <c r="U242" s="6"/>
      <c r="V242" s="6"/>
      <c r="W242" s="6"/>
      <c r="X242" s="6"/>
      <c r="Y242" s="6"/>
      <c r="Z242" s="6"/>
      <c r="AA242" s="6"/>
      <c r="AB242" s="6"/>
    </row>
    <row r="243" ht="15.75" customHeight="1">
      <c r="A243" s="130"/>
      <c r="B243" s="2"/>
      <c r="C243" s="132"/>
      <c r="D243" s="132"/>
      <c r="E243" s="132"/>
      <c r="F243" s="132"/>
      <c r="G243" s="6"/>
      <c r="H243" s="6"/>
      <c r="I243" s="6"/>
      <c r="J243" s="6"/>
      <c r="K243" s="6"/>
      <c r="L243" s="6"/>
      <c r="M243" s="6"/>
      <c r="N243" s="6"/>
      <c r="O243" s="6"/>
      <c r="P243" s="6"/>
      <c r="Q243" s="6"/>
      <c r="R243" s="6"/>
      <c r="S243" s="6"/>
      <c r="T243" s="6"/>
      <c r="U243" s="6"/>
      <c r="V243" s="6"/>
      <c r="W243" s="6"/>
      <c r="X243" s="6"/>
      <c r="Y243" s="6"/>
      <c r="Z243" s="6"/>
      <c r="AA243" s="6"/>
      <c r="AB243" s="6"/>
    </row>
    <row r="244" ht="15.75" customHeight="1">
      <c r="A244" s="130"/>
      <c r="B244" s="2"/>
      <c r="C244" s="132"/>
      <c r="D244" s="132"/>
      <c r="E244" s="132"/>
      <c r="F244" s="132"/>
      <c r="G244" s="6"/>
      <c r="H244" s="6"/>
      <c r="I244" s="6"/>
      <c r="J244" s="6"/>
      <c r="K244" s="6"/>
      <c r="L244" s="6"/>
      <c r="M244" s="6"/>
      <c r="N244" s="6"/>
      <c r="O244" s="6"/>
      <c r="P244" s="6"/>
      <c r="Q244" s="6"/>
      <c r="R244" s="6"/>
      <c r="S244" s="6"/>
      <c r="T244" s="6"/>
      <c r="U244" s="6"/>
      <c r="V244" s="6"/>
      <c r="W244" s="6"/>
      <c r="X244" s="6"/>
      <c r="Y244" s="6"/>
      <c r="Z244" s="6"/>
      <c r="AA244" s="6"/>
      <c r="AB244" s="6"/>
    </row>
    <row r="245" ht="15.75" customHeight="1">
      <c r="A245" s="130"/>
      <c r="B245" s="2"/>
      <c r="C245" s="132"/>
      <c r="D245" s="132"/>
      <c r="E245" s="132"/>
      <c r="F245" s="132"/>
      <c r="G245" s="6"/>
      <c r="H245" s="6"/>
      <c r="I245" s="6"/>
      <c r="J245" s="6"/>
      <c r="K245" s="6"/>
      <c r="L245" s="6"/>
      <c r="M245" s="6"/>
      <c r="N245" s="6"/>
      <c r="O245" s="6"/>
      <c r="P245" s="6"/>
      <c r="Q245" s="6"/>
      <c r="R245" s="6"/>
      <c r="S245" s="6"/>
      <c r="T245" s="6"/>
      <c r="U245" s="6"/>
      <c r="V245" s="6"/>
      <c r="W245" s="6"/>
      <c r="X245" s="6"/>
      <c r="Y245" s="6"/>
      <c r="Z245" s="6"/>
      <c r="AA245" s="6"/>
      <c r="AB245" s="6"/>
    </row>
    <row r="246" ht="15.75" customHeight="1">
      <c r="A246" s="130"/>
      <c r="B246" s="2"/>
      <c r="C246" s="132"/>
      <c r="D246" s="132"/>
      <c r="E246" s="132"/>
      <c r="F246" s="132"/>
      <c r="G246" s="6"/>
      <c r="H246" s="6"/>
      <c r="I246" s="6"/>
      <c r="J246" s="6"/>
      <c r="K246" s="6"/>
      <c r="L246" s="6"/>
      <c r="M246" s="6"/>
      <c r="N246" s="6"/>
      <c r="O246" s="6"/>
      <c r="P246" s="6"/>
      <c r="Q246" s="6"/>
      <c r="R246" s="6"/>
      <c r="S246" s="6"/>
      <c r="T246" s="6"/>
      <c r="U246" s="6"/>
      <c r="V246" s="6"/>
      <c r="W246" s="6"/>
      <c r="X246" s="6"/>
      <c r="Y246" s="6"/>
      <c r="Z246" s="6"/>
      <c r="AA246" s="6"/>
      <c r="AB246" s="6"/>
    </row>
    <row r="247" ht="15.75" customHeight="1">
      <c r="A247" s="130"/>
      <c r="B247" s="2"/>
      <c r="C247" s="132"/>
      <c r="D247" s="132"/>
      <c r="E247" s="132"/>
      <c r="F247" s="132"/>
      <c r="G247" s="6"/>
      <c r="H247" s="6"/>
      <c r="I247" s="6"/>
      <c r="J247" s="6"/>
      <c r="K247" s="6"/>
      <c r="L247" s="6"/>
      <c r="M247" s="6"/>
      <c r="N247" s="6"/>
      <c r="O247" s="6"/>
      <c r="P247" s="6"/>
      <c r="Q247" s="6"/>
      <c r="R247" s="6"/>
      <c r="S247" s="6"/>
      <c r="T247" s="6"/>
      <c r="U247" s="6"/>
      <c r="V247" s="6"/>
      <c r="W247" s="6"/>
      <c r="X247" s="6"/>
      <c r="Y247" s="6"/>
      <c r="Z247" s="6"/>
      <c r="AA247" s="6"/>
      <c r="AB247" s="6"/>
    </row>
    <row r="248" ht="15.75" customHeight="1">
      <c r="A248" s="130"/>
      <c r="B248" s="2"/>
      <c r="C248" s="132"/>
      <c r="D248" s="132"/>
      <c r="E248" s="132"/>
      <c r="F248" s="132"/>
      <c r="G248" s="6"/>
      <c r="H248" s="6"/>
      <c r="I248" s="6"/>
      <c r="J248" s="6"/>
      <c r="K248" s="6"/>
      <c r="L248" s="6"/>
      <c r="M248" s="6"/>
      <c r="N248" s="6"/>
      <c r="O248" s="6"/>
      <c r="P248" s="6"/>
      <c r="Q248" s="6"/>
      <c r="R248" s="6"/>
      <c r="S248" s="6"/>
      <c r="T248" s="6"/>
      <c r="U248" s="6"/>
      <c r="V248" s="6"/>
      <c r="W248" s="6"/>
      <c r="X248" s="6"/>
      <c r="Y248" s="6"/>
      <c r="Z248" s="6"/>
      <c r="AA248" s="6"/>
      <c r="AB248" s="6"/>
    </row>
    <row r="249" ht="15.75" customHeight="1">
      <c r="A249" s="130"/>
      <c r="B249" s="2"/>
      <c r="C249" s="132"/>
      <c r="D249" s="132"/>
      <c r="E249" s="132"/>
      <c r="F249" s="132"/>
      <c r="G249" s="6"/>
      <c r="H249" s="6"/>
      <c r="I249" s="6"/>
      <c r="J249" s="6"/>
      <c r="K249" s="6"/>
      <c r="L249" s="6"/>
      <c r="M249" s="6"/>
      <c r="N249" s="6"/>
      <c r="O249" s="6"/>
      <c r="P249" s="6"/>
      <c r="Q249" s="6"/>
      <c r="R249" s="6"/>
      <c r="S249" s="6"/>
      <c r="T249" s="6"/>
      <c r="U249" s="6"/>
      <c r="V249" s="6"/>
      <c r="W249" s="6"/>
      <c r="X249" s="6"/>
      <c r="Y249" s="6"/>
      <c r="Z249" s="6"/>
      <c r="AA249" s="6"/>
      <c r="AB249" s="6"/>
    </row>
    <row r="250" ht="15.75" customHeight="1">
      <c r="A250" s="130"/>
      <c r="B250" s="2"/>
      <c r="C250" s="132"/>
      <c r="D250" s="132"/>
      <c r="E250" s="132"/>
      <c r="F250" s="132"/>
      <c r="G250" s="6"/>
      <c r="H250" s="6"/>
      <c r="I250" s="6"/>
      <c r="J250" s="6"/>
      <c r="K250" s="6"/>
      <c r="L250" s="6"/>
      <c r="M250" s="6"/>
      <c r="N250" s="6"/>
      <c r="O250" s="6"/>
      <c r="P250" s="6"/>
      <c r="Q250" s="6"/>
      <c r="R250" s="6"/>
      <c r="S250" s="6"/>
      <c r="T250" s="6"/>
      <c r="U250" s="6"/>
      <c r="V250" s="6"/>
      <c r="W250" s="6"/>
      <c r="X250" s="6"/>
      <c r="Y250" s="6"/>
      <c r="Z250" s="6"/>
      <c r="AA250" s="6"/>
      <c r="AB250" s="6"/>
    </row>
    <row r="251" ht="15.75" customHeight="1">
      <c r="A251" s="130"/>
      <c r="B251" s="2"/>
      <c r="C251" s="132"/>
      <c r="D251" s="132"/>
      <c r="E251" s="132"/>
      <c r="F251" s="132"/>
      <c r="G251" s="6"/>
      <c r="H251" s="6"/>
      <c r="I251" s="6"/>
      <c r="J251" s="6"/>
      <c r="K251" s="6"/>
      <c r="L251" s="6"/>
      <c r="M251" s="6"/>
      <c r="N251" s="6"/>
      <c r="O251" s="6"/>
      <c r="P251" s="6"/>
      <c r="Q251" s="6"/>
      <c r="R251" s="6"/>
      <c r="S251" s="6"/>
      <c r="T251" s="6"/>
      <c r="U251" s="6"/>
      <c r="V251" s="6"/>
      <c r="W251" s="6"/>
      <c r="X251" s="6"/>
      <c r="Y251" s="6"/>
      <c r="Z251" s="6"/>
      <c r="AA251" s="6"/>
      <c r="AB251" s="6"/>
    </row>
    <row r="252" ht="15.75" customHeight="1">
      <c r="A252" s="130"/>
      <c r="B252" s="2"/>
      <c r="C252" s="132"/>
      <c r="D252" s="132"/>
      <c r="E252" s="132"/>
      <c r="F252" s="132"/>
      <c r="G252" s="6"/>
      <c r="H252" s="6"/>
      <c r="I252" s="6"/>
      <c r="J252" s="6"/>
      <c r="K252" s="6"/>
      <c r="L252" s="6"/>
      <c r="M252" s="6"/>
      <c r="N252" s="6"/>
      <c r="O252" s="6"/>
      <c r="P252" s="6"/>
      <c r="Q252" s="6"/>
      <c r="R252" s="6"/>
      <c r="S252" s="6"/>
      <c r="T252" s="6"/>
      <c r="U252" s="6"/>
      <c r="V252" s="6"/>
      <c r="W252" s="6"/>
      <c r="X252" s="6"/>
      <c r="Y252" s="6"/>
      <c r="Z252" s="6"/>
      <c r="AA252" s="6"/>
      <c r="AB252" s="6"/>
    </row>
    <row r="253" ht="15.75" customHeight="1">
      <c r="A253" s="130"/>
      <c r="B253" s="2"/>
      <c r="C253" s="132"/>
      <c r="D253" s="132"/>
      <c r="E253" s="132"/>
      <c r="F253" s="132"/>
      <c r="G253" s="6"/>
      <c r="H253" s="6"/>
      <c r="I253" s="6"/>
      <c r="J253" s="6"/>
      <c r="K253" s="6"/>
      <c r="L253" s="6"/>
      <c r="M253" s="6"/>
      <c r="N253" s="6"/>
      <c r="O253" s="6"/>
      <c r="P253" s="6"/>
      <c r="Q253" s="6"/>
      <c r="R253" s="6"/>
      <c r="S253" s="6"/>
      <c r="T253" s="6"/>
      <c r="U253" s="6"/>
      <c r="V253" s="6"/>
      <c r="W253" s="6"/>
      <c r="X253" s="6"/>
      <c r="Y253" s="6"/>
      <c r="Z253" s="6"/>
      <c r="AA253" s="6"/>
      <c r="AB253" s="6"/>
    </row>
    <row r="254" ht="15.75" customHeight="1">
      <c r="A254" s="130"/>
      <c r="B254" s="2"/>
      <c r="C254" s="132"/>
      <c r="D254" s="132"/>
      <c r="E254" s="132"/>
      <c r="F254" s="132"/>
      <c r="G254" s="6"/>
      <c r="H254" s="6"/>
      <c r="I254" s="6"/>
      <c r="J254" s="6"/>
      <c r="K254" s="6"/>
      <c r="L254" s="6"/>
      <c r="M254" s="6"/>
      <c r="N254" s="6"/>
      <c r="O254" s="6"/>
      <c r="P254" s="6"/>
      <c r="Q254" s="6"/>
      <c r="R254" s="6"/>
      <c r="S254" s="6"/>
      <c r="T254" s="6"/>
      <c r="U254" s="6"/>
      <c r="V254" s="6"/>
      <c r="W254" s="6"/>
      <c r="X254" s="6"/>
      <c r="Y254" s="6"/>
      <c r="Z254" s="6"/>
      <c r="AA254" s="6"/>
      <c r="AB254" s="6"/>
    </row>
    <row r="255" ht="15.75" customHeight="1">
      <c r="A255" s="130"/>
      <c r="B255" s="2"/>
      <c r="C255" s="132"/>
      <c r="D255" s="132"/>
      <c r="E255" s="132"/>
      <c r="F255" s="132"/>
      <c r="G255" s="6"/>
      <c r="H255" s="6"/>
      <c r="I255" s="6"/>
      <c r="J255" s="6"/>
      <c r="K255" s="6"/>
      <c r="L255" s="6"/>
      <c r="M255" s="6"/>
      <c r="N255" s="6"/>
      <c r="O255" s="6"/>
      <c r="P255" s="6"/>
      <c r="Q255" s="6"/>
      <c r="R255" s="6"/>
      <c r="S255" s="6"/>
      <c r="T255" s="6"/>
      <c r="U255" s="6"/>
      <c r="V255" s="6"/>
      <c r="W255" s="6"/>
      <c r="X255" s="6"/>
      <c r="Y255" s="6"/>
      <c r="Z255" s="6"/>
      <c r="AA255" s="6"/>
      <c r="AB255" s="6"/>
    </row>
    <row r="256" ht="15.75" customHeight="1">
      <c r="A256" s="130"/>
      <c r="B256" s="2"/>
      <c r="C256" s="132"/>
      <c r="D256" s="132"/>
      <c r="E256" s="132"/>
      <c r="F256" s="132"/>
      <c r="G256" s="6"/>
      <c r="H256" s="6"/>
      <c r="I256" s="6"/>
      <c r="J256" s="6"/>
      <c r="K256" s="6"/>
      <c r="L256" s="6"/>
      <c r="M256" s="6"/>
      <c r="N256" s="6"/>
      <c r="O256" s="6"/>
      <c r="P256" s="6"/>
      <c r="Q256" s="6"/>
      <c r="R256" s="6"/>
      <c r="S256" s="6"/>
      <c r="T256" s="6"/>
      <c r="U256" s="6"/>
      <c r="V256" s="6"/>
      <c r="W256" s="6"/>
      <c r="X256" s="6"/>
      <c r="Y256" s="6"/>
      <c r="Z256" s="6"/>
      <c r="AA256" s="6"/>
      <c r="AB256" s="6"/>
    </row>
    <row r="257" ht="15.75" customHeight="1">
      <c r="A257" s="130"/>
      <c r="B257" s="2"/>
      <c r="C257" s="132"/>
      <c r="D257" s="132"/>
      <c r="E257" s="132"/>
      <c r="F257" s="132"/>
      <c r="G257" s="6"/>
      <c r="H257" s="6"/>
      <c r="I257" s="6"/>
      <c r="J257" s="6"/>
      <c r="K257" s="6"/>
      <c r="L257" s="6"/>
      <c r="M257" s="6"/>
      <c r="N257" s="6"/>
      <c r="O257" s="6"/>
      <c r="P257" s="6"/>
      <c r="Q257" s="6"/>
      <c r="R257" s="6"/>
      <c r="S257" s="6"/>
      <c r="T257" s="6"/>
      <c r="U257" s="6"/>
      <c r="V257" s="6"/>
      <c r="W257" s="6"/>
      <c r="X257" s="6"/>
      <c r="Y257" s="6"/>
      <c r="Z257" s="6"/>
      <c r="AA257" s="6"/>
      <c r="AB257" s="6"/>
    </row>
    <row r="258" ht="15.75" customHeight="1">
      <c r="A258" s="130"/>
      <c r="B258" s="2"/>
      <c r="C258" s="132"/>
      <c r="D258" s="132"/>
      <c r="E258" s="132"/>
      <c r="F258" s="132"/>
      <c r="G258" s="6"/>
      <c r="H258" s="6"/>
      <c r="I258" s="6"/>
      <c r="J258" s="6"/>
      <c r="K258" s="6"/>
      <c r="L258" s="6"/>
      <c r="M258" s="6"/>
      <c r="N258" s="6"/>
      <c r="O258" s="6"/>
      <c r="P258" s="6"/>
      <c r="Q258" s="6"/>
      <c r="R258" s="6"/>
      <c r="S258" s="6"/>
      <c r="T258" s="6"/>
      <c r="U258" s="6"/>
      <c r="V258" s="6"/>
      <c r="W258" s="6"/>
      <c r="X258" s="6"/>
      <c r="Y258" s="6"/>
      <c r="Z258" s="6"/>
      <c r="AA258" s="6"/>
      <c r="AB258" s="6"/>
    </row>
    <row r="259" ht="15.75" customHeight="1">
      <c r="A259" s="130"/>
      <c r="B259" s="2"/>
      <c r="C259" s="132"/>
      <c r="D259" s="132"/>
      <c r="E259" s="132"/>
      <c r="F259" s="132"/>
      <c r="G259" s="6"/>
      <c r="H259" s="6"/>
      <c r="I259" s="6"/>
      <c r="J259" s="6"/>
      <c r="K259" s="6"/>
      <c r="L259" s="6"/>
      <c r="M259" s="6"/>
      <c r="N259" s="6"/>
      <c r="O259" s="6"/>
      <c r="P259" s="6"/>
      <c r="Q259" s="6"/>
      <c r="R259" s="6"/>
      <c r="S259" s="6"/>
      <c r="T259" s="6"/>
      <c r="U259" s="6"/>
      <c r="V259" s="6"/>
      <c r="W259" s="6"/>
      <c r="X259" s="6"/>
      <c r="Y259" s="6"/>
      <c r="Z259" s="6"/>
      <c r="AA259" s="6"/>
      <c r="AB259" s="6"/>
    </row>
    <row r="260" ht="15.75" customHeight="1">
      <c r="A260" s="130"/>
      <c r="B260" s="2"/>
      <c r="C260" s="132"/>
      <c r="D260" s="132"/>
      <c r="E260" s="132"/>
      <c r="F260" s="132"/>
      <c r="G260" s="6"/>
      <c r="H260" s="6"/>
      <c r="I260" s="6"/>
      <c r="J260" s="6"/>
      <c r="K260" s="6"/>
      <c r="L260" s="6"/>
      <c r="M260" s="6"/>
      <c r="N260" s="6"/>
      <c r="O260" s="6"/>
      <c r="P260" s="6"/>
      <c r="Q260" s="6"/>
      <c r="R260" s="6"/>
      <c r="S260" s="6"/>
      <c r="T260" s="6"/>
      <c r="U260" s="6"/>
      <c r="V260" s="6"/>
      <c r="W260" s="6"/>
      <c r="X260" s="6"/>
      <c r="Y260" s="6"/>
      <c r="Z260" s="6"/>
      <c r="AA260" s="6"/>
      <c r="AB260" s="6"/>
    </row>
    <row r="261" ht="15.75" customHeight="1">
      <c r="A261" s="130"/>
      <c r="B261" s="2"/>
      <c r="C261" s="132"/>
      <c r="D261" s="132"/>
      <c r="E261" s="132"/>
      <c r="F261" s="132"/>
      <c r="G261" s="6"/>
      <c r="H261" s="6"/>
      <c r="I261" s="6"/>
      <c r="J261" s="6"/>
      <c r="K261" s="6"/>
      <c r="L261" s="6"/>
      <c r="M261" s="6"/>
      <c r="N261" s="6"/>
      <c r="O261" s="6"/>
      <c r="P261" s="6"/>
      <c r="Q261" s="6"/>
      <c r="R261" s="6"/>
      <c r="S261" s="6"/>
      <c r="T261" s="6"/>
      <c r="U261" s="6"/>
      <c r="V261" s="6"/>
      <c r="W261" s="6"/>
      <c r="X261" s="6"/>
      <c r="Y261" s="6"/>
      <c r="Z261" s="6"/>
      <c r="AA261" s="6"/>
      <c r="AB261" s="6"/>
    </row>
    <row r="262" ht="15.75" customHeight="1">
      <c r="A262" s="130"/>
      <c r="B262" s="2"/>
      <c r="C262" s="132"/>
      <c r="D262" s="132"/>
      <c r="E262" s="132"/>
      <c r="F262" s="132"/>
      <c r="G262" s="6"/>
      <c r="H262" s="6"/>
      <c r="I262" s="6"/>
      <c r="J262" s="6"/>
      <c r="K262" s="6"/>
      <c r="L262" s="6"/>
      <c r="M262" s="6"/>
      <c r="N262" s="6"/>
      <c r="O262" s="6"/>
      <c r="P262" s="6"/>
      <c r="Q262" s="6"/>
      <c r="R262" s="6"/>
      <c r="S262" s="6"/>
      <c r="T262" s="6"/>
      <c r="U262" s="6"/>
      <c r="V262" s="6"/>
      <c r="W262" s="6"/>
      <c r="X262" s="6"/>
      <c r="Y262" s="6"/>
      <c r="Z262" s="6"/>
      <c r="AA262" s="6"/>
      <c r="AB262" s="6"/>
    </row>
    <row r="263" ht="15.75" customHeight="1">
      <c r="A263" s="130"/>
      <c r="B263" s="2"/>
      <c r="C263" s="132"/>
      <c r="D263" s="132"/>
      <c r="E263" s="132"/>
      <c r="F263" s="132"/>
      <c r="G263" s="6"/>
      <c r="H263" s="6"/>
      <c r="I263" s="6"/>
      <c r="J263" s="6"/>
      <c r="K263" s="6"/>
      <c r="L263" s="6"/>
      <c r="M263" s="6"/>
      <c r="N263" s="6"/>
      <c r="O263" s="6"/>
      <c r="P263" s="6"/>
      <c r="Q263" s="6"/>
      <c r="R263" s="6"/>
      <c r="S263" s="6"/>
      <c r="T263" s="6"/>
      <c r="U263" s="6"/>
      <c r="V263" s="6"/>
      <c r="W263" s="6"/>
      <c r="X263" s="6"/>
      <c r="Y263" s="6"/>
      <c r="Z263" s="6"/>
      <c r="AA263" s="6"/>
      <c r="AB263" s="6"/>
    </row>
    <row r="264" ht="15.75" customHeight="1">
      <c r="A264" s="130"/>
      <c r="B264" s="2"/>
      <c r="C264" s="132"/>
      <c r="D264" s="132"/>
      <c r="E264" s="132"/>
      <c r="F264" s="132"/>
      <c r="G264" s="6"/>
      <c r="H264" s="6"/>
      <c r="I264" s="6"/>
      <c r="J264" s="6"/>
      <c r="K264" s="6"/>
      <c r="L264" s="6"/>
      <c r="M264" s="6"/>
      <c r="N264" s="6"/>
      <c r="O264" s="6"/>
      <c r="P264" s="6"/>
      <c r="Q264" s="6"/>
      <c r="R264" s="6"/>
      <c r="S264" s="6"/>
      <c r="T264" s="6"/>
      <c r="U264" s="6"/>
      <c r="V264" s="6"/>
      <c r="W264" s="6"/>
      <c r="X264" s="6"/>
      <c r="Y264" s="6"/>
      <c r="Z264" s="6"/>
      <c r="AA264" s="6"/>
      <c r="AB264" s="6"/>
    </row>
    <row r="265" ht="15.75" customHeight="1">
      <c r="A265" s="130"/>
      <c r="B265" s="2"/>
      <c r="C265" s="132"/>
      <c r="D265" s="132"/>
      <c r="E265" s="132"/>
      <c r="F265" s="132"/>
      <c r="G265" s="6"/>
      <c r="H265" s="6"/>
      <c r="I265" s="6"/>
      <c r="J265" s="6"/>
      <c r="K265" s="6"/>
      <c r="L265" s="6"/>
      <c r="M265" s="6"/>
      <c r="N265" s="6"/>
      <c r="O265" s="6"/>
      <c r="P265" s="6"/>
      <c r="Q265" s="6"/>
      <c r="R265" s="6"/>
      <c r="S265" s="6"/>
      <c r="T265" s="6"/>
      <c r="U265" s="6"/>
      <c r="V265" s="6"/>
      <c r="W265" s="6"/>
      <c r="X265" s="6"/>
      <c r="Y265" s="6"/>
      <c r="Z265" s="6"/>
      <c r="AA265" s="6"/>
      <c r="AB265" s="6"/>
    </row>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2">
    <mergeCell ref="I44:I48"/>
    <mergeCell ref="J44:J48"/>
    <mergeCell ref="H34:H38"/>
    <mergeCell ref="I34:I38"/>
    <mergeCell ref="J34:J38"/>
    <mergeCell ref="H39:H43"/>
    <mergeCell ref="I39:I43"/>
    <mergeCell ref="J39:J43"/>
    <mergeCell ref="H44:H48"/>
    <mergeCell ref="A10:A12"/>
    <mergeCell ref="B10:C10"/>
    <mergeCell ref="H10:H12"/>
    <mergeCell ref="I10:I12"/>
    <mergeCell ref="J10:J12"/>
    <mergeCell ref="B13:C13"/>
    <mergeCell ref="J13:J15"/>
    <mergeCell ref="B16:C16"/>
    <mergeCell ref="H13:H15"/>
    <mergeCell ref="I13:I15"/>
    <mergeCell ref="H16:H18"/>
    <mergeCell ref="I16:I18"/>
    <mergeCell ref="J16:J18"/>
    <mergeCell ref="I19:I23"/>
    <mergeCell ref="J19:J23"/>
    <mergeCell ref="A29:A33"/>
    <mergeCell ref="A34:A38"/>
    <mergeCell ref="A39:A43"/>
    <mergeCell ref="A44:A48"/>
    <mergeCell ref="A49:A53"/>
    <mergeCell ref="A54:A58"/>
    <mergeCell ref="A59:A63"/>
    <mergeCell ref="H19:H23"/>
    <mergeCell ref="H24:H28"/>
    <mergeCell ref="I24:I28"/>
    <mergeCell ref="J24:J28"/>
    <mergeCell ref="H29:H33"/>
    <mergeCell ref="I29:I33"/>
    <mergeCell ref="J29:J33"/>
    <mergeCell ref="B34:C34"/>
    <mergeCell ref="B39:C39"/>
    <mergeCell ref="B44:C44"/>
    <mergeCell ref="B49:C49"/>
    <mergeCell ref="B54:C54"/>
    <mergeCell ref="B59:C59"/>
    <mergeCell ref="A13:A15"/>
    <mergeCell ref="A16:A18"/>
    <mergeCell ref="A19:A23"/>
    <mergeCell ref="B19:C19"/>
    <mergeCell ref="A24:A28"/>
    <mergeCell ref="B24:C24"/>
    <mergeCell ref="B29:C29"/>
    <mergeCell ref="G59:G63"/>
    <mergeCell ref="H59:H63"/>
    <mergeCell ref="I59:I63"/>
    <mergeCell ref="J59:J63"/>
    <mergeCell ref="H49:H53"/>
    <mergeCell ref="I49:I53"/>
    <mergeCell ref="J49:J53"/>
    <mergeCell ref="G54:G58"/>
    <mergeCell ref="H54:H58"/>
    <mergeCell ref="I54:I58"/>
    <mergeCell ref="J54:J58"/>
  </mergeCells>
  <hyperlinks>
    <hyperlink r:id="rId1" ref="E10"/>
    <hyperlink r:id="rId2" ref="E11"/>
    <hyperlink r:id="rId3" ref="E12"/>
    <hyperlink r:id="rId4" ref="E13"/>
    <hyperlink r:id="rId5" ref="E14"/>
    <hyperlink r:id="rId6" ref="E15"/>
    <hyperlink r:id="rId7" ref="E17"/>
    <hyperlink r:id="rId8" ref="E20"/>
    <hyperlink r:id="rId9" ref="E29"/>
    <hyperlink r:id="rId10" ref="E30"/>
    <hyperlink r:id="rId11" ref="E31"/>
    <hyperlink r:id="rId12" ref="E32"/>
    <hyperlink r:id="rId13" ref="E35"/>
    <hyperlink r:id="rId14" ref="E36"/>
    <hyperlink r:id="rId15" ref="E37"/>
    <hyperlink r:id="rId16" ref="E40"/>
    <hyperlink r:id="rId17" ref="E41"/>
    <hyperlink r:id="rId18" ref="E45"/>
    <hyperlink r:id="rId19" ref="E46"/>
    <hyperlink r:id="rId20" ref="E47"/>
    <hyperlink r:id="rId21" ref="E51"/>
    <hyperlink r:id="rId22" ref="E55"/>
    <hyperlink r:id="rId23" ref="E56"/>
    <hyperlink r:id="rId24" ref="E57"/>
  </hyperlinks>
  <printOptions horizontalCentered="1"/>
  <pageMargins bottom="0.75" footer="0.0" header="0.0" left="1.25" right="0.25" top="0.75"/>
  <pageSetup paperSize="5" orientation="landscape"/>
  <rowBreaks count="1" manualBreakCount="1">
    <brk id="59" man="1"/>
  </rowBreaks>
  <drawing r:id="rId2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showGridLines="0"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2.63" defaultRowHeight="15.0"/>
  <cols>
    <col customWidth="1" min="1" max="1" width="4.88"/>
    <col customWidth="1" min="2" max="2" width="56.25"/>
    <col customWidth="1" min="3" max="3" width="9.38"/>
    <col customWidth="1" min="4" max="4" width="18.38"/>
    <col customWidth="1" min="5" max="6" width="22.5"/>
    <col customWidth="1" min="7" max="8" width="61.75"/>
    <col customWidth="1" min="9" max="9" width="36.25"/>
    <col customWidth="1" min="10" max="10" width="32.13"/>
    <col customWidth="1" min="11" max="14" width="8.13"/>
    <col customWidth="1" min="15" max="15" width="12.63"/>
  </cols>
  <sheetData>
    <row r="1" ht="5.25" customHeight="1">
      <c r="A1" s="130"/>
      <c r="B1" s="2"/>
      <c r="C1" s="132"/>
      <c r="D1" s="132"/>
      <c r="E1" s="132"/>
      <c r="F1" s="132"/>
      <c r="G1" s="6"/>
      <c r="H1" s="6"/>
      <c r="I1" s="6"/>
      <c r="J1" s="6"/>
      <c r="K1" s="131"/>
      <c r="L1" s="131"/>
      <c r="M1" s="131"/>
      <c r="N1" s="131"/>
      <c r="O1" s="6"/>
      <c r="P1" s="6"/>
      <c r="Q1" s="6"/>
      <c r="R1" s="6"/>
      <c r="S1" s="6"/>
      <c r="T1" s="6"/>
      <c r="U1" s="6"/>
      <c r="V1" s="6"/>
      <c r="W1" s="6"/>
      <c r="X1" s="6"/>
      <c r="Y1" s="6"/>
      <c r="Z1" s="6"/>
      <c r="AA1" s="6"/>
      <c r="AB1" s="6"/>
    </row>
    <row r="2" ht="15.75" customHeight="1">
      <c r="A2" s="130"/>
      <c r="B2" s="2"/>
      <c r="C2" s="132"/>
      <c r="D2" s="132"/>
      <c r="E2" s="132"/>
      <c r="F2" s="132"/>
      <c r="G2" s="6"/>
      <c r="H2" s="6"/>
      <c r="I2" s="6"/>
      <c r="J2" s="6"/>
      <c r="K2" s="131"/>
      <c r="L2" s="131"/>
      <c r="M2" s="131"/>
      <c r="N2" s="131"/>
      <c r="O2" s="6"/>
      <c r="P2" s="6"/>
      <c r="Q2" s="6"/>
      <c r="R2" s="6"/>
      <c r="S2" s="6"/>
      <c r="T2" s="6"/>
      <c r="U2" s="6"/>
      <c r="V2" s="6"/>
      <c r="W2" s="6"/>
      <c r="X2" s="6"/>
      <c r="Y2" s="6"/>
      <c r="Z2" s="6"/>
      <c r="AA2" s="6"/>
      <c r="AB2" s="6"/>
    </row>
    <row r="3" ht="15.75" customHeight="1">
      <c r="A3" s="130"/>
      <c r="B3" s="2"/>
      <c r="C3" s="132"/>
      <c r="D3" s="132"/>
      <c r="E3" s="132"/>
      <c r="F3" s="132"/>
      <c r="G3" s="6"/>
      <c r="H3" s="6"/>
      <c r="I3" s="6"/>
      <c r="J3" s="6"/>
      <c r="K3" s="131"/>
      <c r="L3" s="131"/>
      <c r="M3" s="131"/>
      <c r="N3" s="131"/>
      <c r="O3" s="6"/>
      <c r="P3" s="6"/>
      <c r="Q3" s="6"/>
      <c r="R3" s="6"/>
      <c r="S3" s="6"/>
      <c r="T3" s="6"/>
      <c r="U3" s="6"/>
      <c r="V3" s="6"/>
      <c r="W3" s="6"/>
      <c r="X3" s="6"/>
      <c r="Y3" s="6"/>
      <c r="Z3" s="6"/>
      <c r="AA3" s="6"/>
      <c r="AB3" s="6"/>
    </row>
    <row r="4" ht="15.75" customHeight="1">
      <c r="A4" s="130"/>
      <c r="B4" s="2"/>
      <c r="C4" s="132"/>
      <c r="D4" s="132"/>
      <c r="E4" s="132"/>
      <c r="F4" s="132"/>
      <c r="G4" s="6"/>
      <c r="H4" s="6"/>
      <c r="I4" s="6"/>
      <c r="J4" s="6"/>
      <c r="K4" s="131"/>
      <c r="L4" s="131"/>
      <c r="M4" s="131"/>
      <c r="N4" s="131"/>
      <c r="O4" s="6"/>
      <c r="P4" s="6"/>
      <c r="Q4" s="6"/>
      <c r="R4" s="6"/>
      <c r="S4" s="6"/>
      <c r="T4" s="6"/>
      <c r="U4" s="6"/>
      <c r="V4" s="6"/>
      <c r="W4" s="6"/>
      <c r="X4" s="6"/>
      <c r="Y4" s="6"/>
      <c r="Z4" s="6"/>
      <c r="AA4" s="6"/>
      <c r="AB4" s="6"/>
    </row>
    <row r="5" ht="15.75" customHeight="1">
      <c r="A5" s="130"/>
      <c r="B5" s="2"/>
      <c r="C5" s="132"/>
      <c r="D5" s="132"/>
      <c r="E5" s="132"/>
      <c r="F5" s="132"/>
      <c r="G5" s="6"/>
      <c r="H5" s="6"/>
      <c r="I5" s="6"/>
      <c r="J5" s="6"/>
      <c r="K5" s="131"/>
      <c r="L5" s="131"/>
      <c r="M5" s="131"/>
      <c r="N5" s="131"/>
      <c r="O5" s="6"/>
      <c r="P5" s="6"/>
      <c r="Q5" s="6"/>
      <c r="R5" s="6"/>
      <c r="S5" s="6"/>
      <c r="T5" s="6"/>
      <c r="U5" s="6"/>
      <c r="V5" s="6"/>
      <c r="W5" s="6"/>
      <c r="X5" s="6"/>
      <c r="Y5" s="6"/>
      <c r="Z5" s="6"/>
      <c r="AA5" s="6"/>
      <c r="AB5" s="6"/>
    </row>
    <row r="6" ht="15.75" customHeight="1">
      <c r="A6" s="130"/>
      <c r="B6" s="2"/>
      <c r="C6" s="132"/>
      <c r="D6" s="132"/>
      <c r="E6" s="132"/>
      <c r="F6" s="132"/>
      <c r="G6" s="6"/>
      <c r="H6" s="6"/>
      <c r="I6" s="6"/>
      <c r="J6" s="6"/>
      <c r="K6" s="131"/>
      <c r="L6" s="131"/>
      <c r="M6" s="131"/>
      <c r="N6" s="131"/>
      <c r="O6" s="6"/>
      <c r="P6" s="6"/>
      <c r="Q6" s="6"/>
      <c r="R6" s="6"/>
      <c r="S6" s="6"/>
      <c r="T6" s="6"/>
      <c r="U6" s="6"/>
      <c r="V6" s="6"/>
      <c r="W6" s="6"/>
      <c r="X6" s="6"/>
      <c r="Y6" s="6"/>
      <c r="Z6" s="6"/>
      <c r="AA6" s="6"/>
      <c r="AB6" s="6"/>
    </row>
    <row r="7" ht="17.25" customHeight="1">
      <c r="A7" s="130"/>
      <c r="B7" s="7"/>
      <c r="C7" s="133"/>
      <c r="D7" s="133"/>
      <c r="E7" s="133"/>
      <c r="F7" s="133"/>
      <c r="G7" s="6"/>
      <c r="H7" s="6"/>
      <c r="I7" s="6"/>
      <c r="J7" s="6"/>
      <c r="K7" s="131"/>
      <c r="L7" s="131"/>
      <c r="M7" s="131"/>
      <c r="N7" s="131"/>
      <c r="O7" s="6"/>
      <c r="P7" s="6"/>
      <c r="Q7" s="6"/>
      <c r="R7" s="6"/>
      <c r="S7" s="6"/>
      <c r="T7" s="6"/>
      <c r="U7" s="6"/>
      <c r="V7" s="6"/>
      <c r="W7" s="6"/>
      <c r="X7" s="6"/>
      <c r="Y7" s="6"/>
      <c r="Z7" s="6"/>
      <c r="AA7" s="6"/>
      <c r="AB7" s="6"/>
    </row>
    <row r="8" ht="15.0" customHeight="1">
      <c r="A8" s="212"/>
      <c r="B8" s="7"/>
      <c r="C8" s="133"/>
      <c r="D8" s="133"/>
      <c r="E8" s="133"/>
      <c r="F8" s="133"/>
      <c r="G8" s="6"/>
      <c r="H8" s="6"/>
      <c r="I8" s="6"/>
      <c r="J8" s="6"/>
      <c r="K8" s="131"/>
      <c r="L8" s="131"/>
      <c r="M8" s="131"/>
      <c r="N8" s="131"/>
      <c r="O8" s="6"/>
      <c r="P8" s="6"/>
      <c r="Q8" s="6"/>
      <c r="R8" s="6"/>
      <c r="S8" s="6"/>
      <c r="T8" s="6"/>
      <c r="U8" s="6"/>
      <c r="V8" s="6"/>
      <c r="W8" s="6"/>
      <c r="X8" s="6"/>
      <c r="Y8" s="6"/>
      <c r="Z8" s="6"/>
      <c r="AA8" s="6"/>
      <c r="AB8" s="6"/>
    </row>
    <row r="9" ht="33.75" customHeight="1">
      <c r="A9" s="253" t="s">
        <v>0</v>
      </c>
      <c r="B9" s="254" t="s">
        <v>731</v>
      </c>
      <c r="C9" s="255" t="s">
        <v>2</v>
      </c>
      <c r="D9" s="12" t="s">
        <v>3</v>
      </c>
      <c r="E9" s="12" t="s">
        <v>4</v>
      </c>
      <c r="F9" s="12" t="s">
        <v>5</v>
      </c>
      <c r="G9" s="12" t="s">
        <v>6</v>
      </c>
      <c r="H9" s="12" t="s">
        <v>7</v>
      </c>
      <c r="I9" s="12" t="s">
        <v>8</v>
      </c>
      <c r="J9" s="12" t="s">
        <v>9</v>
      </c>
      <c r="K9" s="136"/>
      <c r="L9" s="136"/>
      <c r="M9" s="136"/>
      <c r="N9" s="136"/>
      <c r="O9" s="136"/>
      <c r="P9" s="6"/>
      <c r="Q9" s="6"/>
      <c r="R9" s="6"/>
      <c r="S9" s="6"/>
      <c r="T9" s="6"/>
      <c r="U9" s="6"/>
      <c r="V9" s="6"/>
      <c r="W9" s="6"/>
      <c r="X9" s="6"/>
      <c r="Y9" s="6"/>
      <c r="Z9" s="6"/>
      <c r="AA9" s="6"/>
      <c r="AB9" s="6"/>
    </row>
    <row r="10" ht="50.25" customHeight="1">
      <c r="A10" s="137">
        <v>1.0</v>
      </c>
      <c r="B10" s="256" t="s">
        <v>732</v>
      </c>
      <c r="C10" s="257"/>
      <c r="D10" s="258"/>
      <c r="E10" s="258"/>
      <c r="F10" s="258"/>
      <c r="G10" s="259" t="s">
        <v>733</v>
      </c>
      <c r="H10" s="260" t="s">
        <v>734</v>
      </c>
      <c r="I10" s="261" t="s">
        <v>735</v>
      </c>
      <c r="J10" s="262" t="s">
        <v>736</v>
      </c>
      <c r="K10" s="13"/>
      <c r="L10" s="13"/>
      <c r="M10" s="13"/>
      <c r="N10" s="13"/>
      <c r="O10" s="13"/>
      <c r="P10" s="6"/>
      <c r="Q10" s="6"/>
      <c r="R10" s="6"/>
      <c r="S10" s="6"/>
      <c r="T10" s="6"/>
      <c r="U10" s="6"/>
      <c r="V10" s="6"/>
      <c r="W10" s="6"/>
      <c r="X10" s="6"/>
      <c r="Y10" s="6"/>
      <c r="Z10" s="6"/>
      <c r="AA10" s="6"/>
      <c r="AB10" s="6"/>
    </row>
    <row r="11" ht="21.0" customHeight="1">
      <c r="A11" s="24"/>
      <c r="B11" s="263" t="s">
        <v>737</v>
      </c>
      <c r="C11" s="264">
        <v>100.0</v>
      </c>
      <c r="D11" s="265">
        <v>100.0</v>
      </c>
      <c r="E11" s="265"/>
      <c r="F11" s="265"/>
      <c r="G11" s="266"/>
      <c r="H11" s="267"/>
      <c r="I11" s="267"/>
      <c r="J11" s="267"/>
      <c r="K11" s="13"/>
      <c r="L11" s="13"/>
      <c r="M11" s="13"/>
      <c r="N11" s="13"/>
      <c r="O11" s="13"/>
      <c r="P11" s="6"/>
      <c r="Q11" s="6"/>
      <c r="R11" s="6"/>
      <c r="S11" s="6"/>
      <c r="T11" s="6"/>
      <c r="U11" s="6"/>
      <c r="V11" s="6"/>
      <c r="W11" s="6"/>
      <c r="X11" s="6"/>
      <c r="Y11" s="6"/>
      <c r="Z11" s="6"/>
      <c r="AA11" s="6"/>
      <c r="AB11" s="6"/>
    </row>
    <row r="12" ht="21.0" customHeight="1">
      <c r="A12" s="24"/>
      <c r="B12" s="263" t="s">
        <v>738</v>
      </c>
      <c r="C12" s="264">
        <v>50.0</v>
      </c>
      <c r="D12" s="265"/>
      <c r="E12" s="93" t="s">
        <v>739</v>
      </c>
      <c r="F12" s="265"/>
      <c r="G12" s="266"/>
      <c r="H12" s="267"/>
      <c r="I12" s="267"/>
      <c r="J12" s="267"/>
      <c r="K12" s="13"/>
      <c r="L12" s="13"/>
      <c r="M12" s="13"/>
      <c r="N12" s="13"/>
      <c r="O12" s="13"/>
      <c r="P12" s="6"/>
      <c r="Q12" s="6"/>
      <c r="R12" s="6"/>
      <c r="S12" s="6"/>
      <c r="T12" s="6"/>
      <c r="U12" s="6"/>
      <c r="V12" s="6"/>
      <c r="W12" s="6"/>
      <c r="X12" s="6"/>
      <c r="Y12" s="6"/>
      <c r="Z12" s="6"/>
      <c r="AA12" s="6"/>
      <c r="AB12" s="6"/>
    </row>
    <row r="13" ht="38.25" customHeight="1">
      <c r="A13" s="24"/>
      <c r="B13" s="263" t="s">
        <v>740</v>
      </c>
      <c r="C13" s="264">
        <v>25.0</v>
      </c>
      <c r="D13" s="268"/>
      <c r="E13" s="93" t="s">
        <v>741</v>
      </c>
      <c r="F13" s="268"/>
      <c r="G13" s="266"/>
      <c r="H13" s="267"/>
      <c r="I13" s="267"/>
      <c r="J13" s="267"/>
      <c r="K13" s="13"/>
      <c r="L13" s="13"/>
      <c r="M13" s="13"/>
      <c r="N13" s="13"/>
      <c r="O13" s="13"/>
      <c r="P13" s="6"/>
      <c r="Q13" s="6"/>
      <c r="R13" s="6"/>
      <c r="S13" s="6"/>
      <c r="T13" s="6"/>
      <c r="U13" s="6"/>
      <c r="V13" s="6"/>
      <c r="W13" s="6"/>
      <c r="X13" s="6"/>
      <c r="Y13" s="6"/>
      <c r="Z13" s="6"/>
      <c r="AA13" s="6"/>
      <c r="AB13" s="6"/>
    </row>
    <row r="14" ht="39.75" customHeight="1">
      <c r="A14" s="32"/>
      <c r="B14" s="263" t="s">
        <v>742</v>
      </c>
      <c r="C14" s="264">
        <v>0.0</v>
      </c>
      <c r="D14" s="265"/>
      <c r="E14" s="92"/>
      <c r="F14" s="265">
        <v>0.0</v>
      </c>
      <c r="G14" s="266"/>
      <c r="H14" s="58"/>
      <c r="I14" s="58"/>
      <c r="J14" s="58"/>
      <c r="K14" s="13"/>
      <c r="L14" s="13"/>
      <c r="M14" s="13"/>
      <c r="N14" s="13"/>
      <c r="O14" s="13"/>
      <c r="P14" s="6"/>
      <c r="Q14" s="6"/>
      <c r="R14" s="6"/>
      <c r="S14" s="6"/>
      <c r="T14" s="6"/>
      <c r="U14" s="6"/>
      <c r="V14" s="6"/>
      <c r="W14" s="6"/>
      <c r="X14" s="6"/>
      <c r="Y14" s="6"/>
      <c r="Z14" s="6"/>
      <c r="AA14" s="6"/>
      <c r="AB14" s="6"/>
    </row>
    <row r="15" ht="21.0" customHeight="1">
      <c r="A15" s="168">
        <v>2.0</v>
      </c>
      <c r="B15" s="269" t="s">
        <v>743</v>
      </c>
      <c r="C15" s="268"/>
      <c r="D15" s="265"/>
      <c r="E15" s="265"/>
      <c r="F15" s="265"/>
      <c r="G15" s="19" t="s">
        <v>359</v>
      </c>
      <c r="H15" s="270" t="s">
        <v>744</v>
      </c>
      <c r="I15" s="271" t="s">
        <v>745</v>
      </c>
      <c r="J15" s="271" t="s">
        <v>746</v>
      </c>
      <c r="K15" s="13"/>
      <c r="L15" s="13"/>
      <c r="M15" s="13"/>
      <c r="N15" s="13"/>
      <c r="O15" s="13"/>
      <c r="P15" s="6"/>
      <c r="Q15" s="6"/>
      <c r="R15" s="6"/>
      <c r="S15" s="6"/>
      <c r="T15" s="6"/>
      <c r="U15" s="6"/>
      <c r="V15" s="6"/>
      <c r="W15" s="6"/>
      <c r="X15" s="6"/>
      <c r="Y15" s="6"/>
      <c r="Z15" s="6"/>
      <c r="AA15" s="6"/>
      <c r="AB15" s="6"/>
    </row>
    <row r="16" ht="18.0" customHeight="1">
      <c r="A16" s="24"/>
      <c r="B16" s="272" t="s">
        <v>747</v>
      </c>
      <c r="C16" s="273">
        <v>100.0</v>
      </c>
      <c r="D16" s="265">
        <v>100.0</v>
      </c>
      <c r="E16" s="93" t="s">
        <v>748</v>
      </c>
      <c r="F16" s="265"/>
      <c r="G16" s="263"/>
      <c r="H16" s="267"/>
      <c r="I16" s="267"/>
      <c r="J16" s="267"/>
      <c r="K16" s="13"/>
      <c r="L16" s="13"/>
      <c r="M16" s="13"/>
      <c r="N16" s="13"/>
      <c r="O16" s="13"/>
      <c r="P16" s="6"/>
      <c r="Q16" s="6"/>
      <c r="R16" s="6"/>
      <c r="S16" s="6"/>
      <c r="T16" s="6"/>
      <c r="U16" s="6"/>
      <c r="V16" s="6"/>
      <c r="W16" s="6"/>
      <c r="X16" s="6"/>
      <c r="Y16" s="6"/>
      <c r="Z16" s="6"/>
      <c r="AA16" s="6"/>
      <c r="AB16" s="6"/>
    </row>
    <row r="17" ht="21.0" customHeight="1">
      <c r="A17" s="32"/>
      <c r="B17" s="272" t="s">
        <v>749</v>
      </c>
      <c r="C17" s="273">
        <v>0.0</v>
      </c>
      <c r="D17" s="274"/>
      <c r="E17" s="93" t="s">
        <v>750</v>
      </c>
      <c r="F17" s="274"/>
      <c r="G17" s="263"/>
      <c r="H17" s="58"/>
      <c r="I17" s="58"/>
      <c r="J17" s="58"/>
      <c r="K17" s="13"/>
      <c r="L17" s="13"/>
      <c r="M17" s="13"/>
      <c r="N17" s="13"/>
      <c r="O17" s="13"/>
      <c r="P17" s="6"/>
      <c r="Q17" s="6"/>
      <c r="R17" s="6"/>
      <c r="S17" s="6"/>
      <c r="T17" s="6"/>
      <c r="U17" s="6"/>
      <c r="V17" s="6"/>
      <c r="W17" s="6"/>
      <c r="X17" s="6"/>
      <c r="Y17" s="6"/>
      <c r="Z17" s="6"/>
      <c r="AA17" s="6"/>
      <c r="AB17" s="6"/>
    </row>
    <row r="18" ht="53.25" customHeight="1">
      <c r="A18" s="168">
        <v>3.0</v>
      </c>
      <c r="B18" s="275" t="s">
        <v>751</v>
      </c>
      <c r="C18" s="58"/>
      <c r="D18" s="274"/>
      <c r="E18" s="274"/>
      <c r="F18" s="274"/>
      <c r="G18" s="263" t="s">
        <v>608</v>
      </c>
      <c r="H18" s="270" t="s">
        <v>752</v>
      </c>
      <c r="I18" s="270" t="s">
        <v>753</v>
      </c>
      <c r="J18" s="270" t="s">
        <v>754</v>
      </c>
      <c r="K18" s="13"/>
      <c r="L18" s="13"/>
      <c r="M18" s="13"/>
      <c r="N18" s="13"/>
      <c r="O18" s="13"/>
      <c r="P18" s="6"/>
      <c r="Q18" s="6"/>
      <c r="R18" s="6"/>
      <c r="S18" s="6"/>
      <c r="T18" s="6"/>
      <c r="U18" s="6"/>
      <c r="V18" s="6"/>
      <c r="W18" s="6"/>
      <c r="X18" s="6"/>
      <c r="Y18" s="6"/>
      <c r="Z18" s="6"/>
      <c r="AA18" s="6"/>
      <c r="AB18" s="6"/>
    </row>
    <row r="19" ht="20.25" customHeight="1">
      <c r="A19" s="24"/>
      <c r="B19" s="263" t="s">
        <v>755</v>
      </c>
      <c r="C19" s="276">
        <v>100.0</v>
      </c>
      <c r="D19" s="265">
        <v>100.0</v>
      </c>
      <c r="E19" s="93" t="s">
        <v>756</v>
      </c>
      <c r="F19" s="265"/>
      <c r="G19" s="263"/>
      <c r="H19" s="267"/>
      <c r="I19" s="267"/>
      <c r="J19" s="267"/>
      <c r="K19" s="13"/>
      <c r="L19" s="13"/>
      <c r="M19" s="13"/>
      <c r="N19" s="13"/>
      <c r="O19" s="13"/>
      <c r="P19" s="6"/>
      <c r="Q19" s="6"/>
      <c r="R19" s="6"/>
      <c r="S19" s="6"/>
      <c r="T19" s="6"/>
      <c r="U19" s="6"/>
      <c r="V19" s="6"/>
      <c r="W19" s="6"/>
      <c r="X19" s="6"/>
      <c r="Y19" s="6"/>
      <c r="Z19" s="6"/>
      <c r="AA19" s="6"/>
      <c r="AB19" s="6"/>
    </row>
    <row r="20" ht="21.0" customHeight="1">
      <c r="A20" s="32"/>
      <c r="B20" s="263" t="s">
        <v>757</v>
      </c>
      <c r="C20" s="276">
        <v>0.0</v>
      </c>
      <c r="D20" s="265"/>
      <c r="E20" s="93" t="s">
        <v>758</v>
      </c>
      <c r="F20" s="265"/>
      <c r="G20" s="263"/>
      <c r="H20" s="58"/>
      <c r="I20" s="58"/>
      <c r="J20" s="58"/>
      <c r="K20" s="13"/>
      <c r="L20" s="13"/>
      <c r="M20" s="13"/>
      <c r="N20" s="13"/>
      <c r="O20" s="13"/>
      <c r="P20" s="6"/>
      <c r="Q20" s="6"/>
      <c r="R20" s="6"/>
      <c r="S20" s="6"/>
      <c r="T20" s="6"/>
      <c r="U20" s="6"/>
      <c r="V20" s="6"/>
      <c r="W20" s="6"/>
      <c r="X20" s="6"/>
      <c r="Y20" s="6"/>
      <c r="Z20" s="6"/>
      <c r="AA20" s="6"/>
      <c r="AB20" s="6"/>
    </row>
    <row r="21" ht="27.75" customHeight="1">
      <c r="A21" s="168">
        <v>4.0</v>
      </c>
      <c r="B21" s="272" t="s">
        <v>759</v>
      </c>
      <c r="C21" s="268"/>
      <c r="D21" s="265"/>
      <c r="E21" s="265"/>
      <c r="F21" s="265"/>
      <c r="G21" s="272" t="s">
        <v>760</v>
      </c>
      <c r="H21" s="271" t="s">
        <v>761</v>
      </c>
      <c r="I21" s="271" t="s">
        <v>762</v>
      </c>
      <c r="J21" s="271" t="s">
        <v>763</v>
      </c>
      <c r="K21" s="13"/>
      <c r="L21" s="13"/>
      <c r="M21" s="13"/>
      <c r="N21" s="13"/>
      <c r="O21" s="13"/>
      <c r="P21" s="6"/>
      <c r="Q21" s="6"/>
      <c r="R21" s="6"/>
      <c r="S21" s="6"/>
      <c r="T21" s="6"/>
      <c r="U21" s="6"/>
      <c r="V21" s="6"/>
      <c r="W21" s="6"/>
      <c r="X21" s="6"/>
      <c r="Y21" s="6"/>
      <c r="Z21" s="6"/>
      <c r="AA21" s="6"/>
      <c r="AB21" s="6"/>
    </row>
    <row r="22" ht="21.0" customHeight="1">
      <c r="A22" s="24"/>
      <c r="B22" s="272" t="s">
        <v>764</v>
      </c>
      <c r="C22" s="273">
        <v>100.0</v>
      </c>
      <c r="D22" s="265">
        <v>100.0</v>
      </c>
      <c r="E22" s="265"/>
      <c r="F22" s="265"/>
      <c r="G22" s="272"/>
      <c r="H22" s="267"/>
      <c r="I22" s="267"/>
      <c r="J22" s="267"/>
      <c r="K22" s="6"/>
      <c r="L22" s="6"/>
      <c r="M22" s="6"/>
      <c r="N22" s="6"/>
      <c r="O22" s="6"/>
      <c r="P22" s="6"/>
      <c r="Q22" s="6"/>
      <c r="R22" s="6"/>
      <c r="S22" s="6"/>
      <c r="T22" s="6"/>
      <c r="U22" s="6"/>
      <c r="V22" s="6"/>
      <c r="W22" s="6"/>
      <c r="X22" s="6"/>
      <c r="Y22" s="6"/>
      <c r="Z22" s="6"/>
      <c r="AA22" s="6"/>
      <c r="AB22" s="6"/>
    </row>
    <row r="23" ht="23.25" customHeight="1">
      <c r="A23" s="24"/>
      <c r="B23" s="272" t="s">
        <v>765</v>
      </c>
      <c r="C23" s="273">
        <v>50.0</v>
      </c>
      <c r="D23" s="265"/>
      <c r="E23" s="93" t="s">
        <v>766</v>
      </c>
      <c r="F23" s="265"/>
      <c r="G23" s="272"/>
      <c r="H23" s="267"/>
      <c r="I23" s="267"/>
      <c r="J23" s="267"/>
      <c r="K23" s="6"/>
      <c r="L23" s="6"/>
      <c r="M23" s="6"/>
      <c r="N23" s="6"/>
      <c r="O23" s="6"/>
      <c r="P23" s="6"/>
      <c r="Q23" s="6"/>
      <c r="R23" s="6"/>
      <c r="S23" s="6"/>
      <c r="T23" s="6"/>
      <c r="U23" s="6"/>
      <c r="V23" s="6"/>
      <c r="W23" s="6"/>
      <c r="X23" s="6"/>
      <c r="Y23" s="6"/>
      <c r="Z23" s="6"/>
      <c r="AA23" s="6"/>
      <c r="AB23" s="6"/>
    </row>
    <row r="24" ht="36.0" customHeight="1">
      <c r="A24" s="24"/>
      <c r="B24" s="272" t="s">
        <v>523</v>
      </c>
      <c r="C24" s="273">
        <v>25.0</v>
      </c>
      <c r="D24" s="265"/>
      <c r="E24" s="265"/>
      <c r="F24" s="265"/>
      <c r="G24" s="272"/>
      <c r="H24" s="267"/>
      <c r="I24" s="267"/>
      <c r="J24" s="267"/>
      <c r="K24" s="277"/>
      <c r="L24" s="277"/>
      <c r="M24" s="277"/>
      <c r="N24" s="277"/>
      <c r="O24" s="277"/>
      <c r="P24" s="277"/>
      <c r="Q24" s="277"/>
      <c r="R24" s="277"/>
      <c r="S24" s="277"/>
      <c r="T24" s="277"/>
      <c r="U24" s="277"/>
      <c r="V24" s="277"/>
      <c r="W24" s="277"/>
      <c r="X24" s="277"/>
      <c r="Y24" s="277"/>
      <c r="Z24" s="277"/>
      <c r="AA24" s="277"/>
      <c r="AB24" s="277"/>
    </row>
    <row r="25" ht="25.5" customHeight="1">
      <c r="A25" s="32"/>
      <c r="B25" s="272" t="s">
        <v>767</v>
      </c>
      <c r="C25" s="273">
        <v>0.0</v>
      </c>
      <c r="D25" s="265"/>
      <c r="E25" s="265"/>
      <c r="F25" s="265"/>
      <c r="G25" s="272"/>
      <c r="H25" s="58"/>
      <c r="I25" s="58"/>
      <c r="J25" s="58"/>
      <c r="K25" s="277"/>
      <c r="L25" s="277"/>
      <c r="M25" s="277"/>
      <c r="N25" s="277"/>
      <c r="O25" s="277"/>
      <c r="P25" s="277"/>
      <c r="Q25" s="277"/>
      <c r="R25" s="277"/>
      <c r="S25" s="277"/>
      <c r="T25" s="277"/>
      <c r="U25" s="277"/>
      <c r="V25" s="277"/>
      <c r="W25" s="277"/>
      <c r="X25" s="277"/>
      <c r="Y25" s="277"/>
      <c r="Z25" s="277"/>
      <c r="AA25" s="277"/>
      <c r="AB25" s="277"/>
    </row>
    <row r="26" ht="54.0" customHeight="1">
      <c r="A26" s="168">
        <v>5.0</v>
      </c>
      <c r="B26" s="278" t="s">
        <v>768</v>
      </c>
      <c r="C26" s="268"/>
      <c r="D26" s="265"/>
      <c r="E26" s="265"/>
      <c r="F26" s="265"/>
      <c r="G26" s="272"/>
      <c r="H26" s="271" t="s">
        <v>769</v>
      </c>
      <c r="I26" s="271" t="s">
        <v>770</v>
      </c>
      <c r="J26" s="271" t="s">
        <v>770</v>
      </c>
      <c r="K26" s="277"/>
      <c r="L26" s="277"/>
      <c r="M26" s="277"/>
      <c r="N26" s="277"/>
      <c r="O26" s="277"/>
      <c r="P26" s="277"/>
      <c r="Q26" s="277"/>
      <c r="R26" s="277"/>
      <c r="S26" s="277"/>
      <c r="T26" s="277"/>
      <c r="U26" s="277"/>
      <c r="V26" s="277"/>
      <c r="W26" s="277"/>
      <c r="X26" s="277"/>
      <c r="Y26" s="277"/>
      <c r="Z26" s="277"/>
      <c r="AA26" s="277"/>
      <c r="AB26" s="277"/>
    </row>
    <row r="27" ht="36.0" customHeight="1">
      <c r="A27" s="24"/>
      <c r="B27" s="263" t="s">
        <v>771</v>
      </c>
      <c r="C27" s="264">
        <v>100.0</v>
      </c>
      <c r="D27" s="268">
        <v>100.0</v>
      </c>
      <c r="E27" s="93" t="s">
        <v>772</v>
      </c>
      <c r="F27" s="268"/>
      <c r="G27" s="272"/>
      <c r="H27" s="267"/>
      <c r="I27" s="267"/>
      <c r="J27" s="267"/>
      <c r="K27" s="277"/>
      <c r="L27" s="277"/>
      <c r="M27" s="277"/>
      <c r="N27" s="277"/>
      <c r="O27" s="277"/>
      <c r="P27" s="277"/>
      <c r="Q27" s="277"/>
      <c r="R27" s="277"/>
      <c r="S27" s="277"/>
      <c r="T27" s="277"/>
      <c r="U27" s="277"/>
      <c r="V27" s="277"/>
      <c r="W27" s="277"/>
      <c r="X27" s="277"/>
      <c r="Y27" s="277"/>
      <c r="Z27" s="277"/>
      <c r="AA27" s="277"/>
      <c r="AB27" s="277"/>
    </row>
    <row r="28" ht="23.25" customHeight="1">
      <c r="A28" s="24"/>
      <c r="B28" s="263" t="s">
        <v>773</v>
      </c>
      <c r="C28" s="279">
        <v>50.0</v>
      </c>
      <c r="D28" s="280"/>
      <c r="E28" s="93" t="s">
        <v>774</v>
      </c>
      <c r="F28" s="280"/>
      <c r="G28" s="272"/>
      <c r="H28" s="267"/>
      <c r="I28" s="267"/>
      <c r="J28" s="267"/>
      <c r="K28" s="13"/>
      <c r="L28" s="13"/>
      <c r="M28" s="13"/>
      <c r="N28" s="13"/>
      <c r="O28" s="13"/>
      <c r="P28" s="6"/>
      <c r="Q28" s="6"/>
      <c r="R28" s="6"/>
      <c r="S28" s="6"/>
      <c r="T28" s="6"/>
      <c r="U28" s="6"/>
      <c r="V28" s="6"/>
      <c r="W28" s="6"/>
      <c r="X28" s="6"/>
      <c r="Y28" s="6"/>
      <c r="Z28" s="6"/>
      <c r="AA28" s="6"/>
      <c r="AB28" s="6"/>
    </row>
    <row r="29" ht="21.0" customHeight="1">
      <c r="A29" s="24"/>
      <c r="B29" s="263" t="s">
        <v>775</v>
      </c>
      <c r="C29" s="279">
        <v>25.0</v>
      </c>
      <c r="D29" s="280"/>
      <c r="E29" s="280"/>
      <c r="F29" s="280"/>
      <c r="G29" s="272"/>
      <c r="H29" s="267"/>
      <c r="I29" s="267"/>
      <c r="J29" s="267"/>
      <c r="K29" s="13"/>
      <c r="L29" s="13"/>
      <c r="M29" s="13"/>
      <c r="N29" s="13"/>
      <c r="O29" s="13"/>
      <c r="P29" s="6"/>
      <c r="Q29" s="6"/>
      <c r="R29" s="6"/>
      <c r="S29" s="6"/>
      <c r="T29" s="6"/>
      <c r="U29" s="6"/>
      <c r="V29" s="6"/>
      <c r="W29" s="6"/>
      <c r="X29" s="6"/>
      <c r="Y29" s="6"/>
      <c r="Z29" s="6"/>
      <c r="AA29" s="6"/>
      <c r="AB29" s="6"/>
    </row>
    <row r="30" ht="21.0" customHeight="1">
      <c r="A30" s="32"/>
      <c r="B30" s="263" t="s">
        <v>776</v>
      </c>
      <c r="C30" s="279">
        <v>0.0</v>
      </c>
      <c r="D30" s="280"/>
      <c r="E30" s="280"/>
      <c r="F30" s="280"/>
      <c r="G30" s="272"/>
      <c r="H30" s="58"/>
      <c r="I30" s="58"/>
      <c r="J30" s="58"/>
      <c r="K30" s="13"/>
      <c r="L30" s="13"/>
      <c r="M30" s="13"/>
      <c r="N30" s="13"/>
      <c r="O30" s="13"/>
      <c r="P30" s="6"/>
      <c r="Q30" s="6"/>
      <c r="R30" s="6"/>
      <c r="S30" s="6"/>
      <c r="T30" s="6"/>
      <c r="U30" s="6"/>
      <c r="V30" s="6"/>
      <c r="W30" s="6"/>
      <c r="X30" s="6"/>
      <c r="Y30" s="6"/>
      <c r="Z30" s="6"/>
      <c r="AA30" s="6"/>
      <c r="AB30" s="6"/>
    </row>
    <row r="31" ht="58.5" customHeight="1">
      <c r="A31" s="168">
        <v>6.0</v>
      </c>
      <c r="B31" s="281" t="s">
        <v>777</v>
      </c>
      <c r="C31" s="280"/>
      <c r="D31" s="280"/>
      <c r="E31" s="280"/>
      <c r="F31" s="280"/>
      <c r="G31" s="272" t="s">
        <v>778</v>
      </c>
      <c r="H31" s="271" t="s">
        <v>779</v>
      </c>
      <c r="I31" s="282" t="s">
        <v>780</v>
      </c>
      <c r="J31" s="271" t="s">
        <v>754</v>
      </c>
      <c r="K31" s="13"/>
      <c r="L31" s="13"/>
      <c r="M31" s="13"/>
      <c r="N31" s="13"/>
      <c r="O31" s="13"/>
      <c r="P31" s="6"/>
      <c r="Q31" s="6"/>
      <c r="R31" s="6"/>
      <c r="S31" s="6"/>
      <c r="T31" s="6"/>
      <c r="U31" s="6"/>
      <c r="V31" s="6"/>
      <c r="W31" s="6"/>
      <c r="X31" s="6"/>
      <c r="Y31" s="6"/>
      <c r="Z31" s="6"/>
      <c r="AA31" s="6"/>
      <c r="AB31" s="6"/>
    </row>
    <row r="32" ht="33.0" customHeight="1">
      <c r="A32" s="24"/>
      <c r="B32" s="263" t="s">
        <v>781</v>
      </c>
      <c r="C32" s="276">
        <v>100.0</v>
      </c>
      <c r="D32" s="265"/>
      <c r="E32" s="265"/>
      <c r="F32" s="265"/>
      <c r="G32" s="272"/>
      <c r="H32" s="267"/>
      <c r="I32" s="267"/>
      <c r="J32" s="267"/>
      <c r="K32" s="13"/>
      <c r="L32" s="13"/>
      <c r="M32" s="13"/>
      <c r="N32" s="13"/>
      <c r="O32" s="13"/>
      <c r="P32" s="6"/>
      <c r="Q32" s="6"/>
      <c r="R32" s="6"/>
      <c r="S32" s="6"/>
      <c r="T32" s="6"/>
      <c r="U32" s="6"/>
      <c r="V32" s="6"/>
      <c r="W32" s="6"/>
      <c r="X32" s="6"/>
      <c r="Y32" s="6"/>
      <c r="Z32" s="6"/>
      <c r="AA32" s="6"/>
      <c r="AB32" s="6"/>
    </row>
    <row r="33" ht="21.75" customHeight="1">
      <c r="A33" s="24"/>
      <c r="B33" s="263" t="s">
        <v>782</v>
      </c>
      <c r="C33" s="276">
        <v>75.0</v>
      </c>
      <c r="D33" s="280"/>
      <c r="E33" s="280"/>
      <c r="F33" s="280"/>
      <c r="G33" s="272"/>
      <c r="H33" s="267"/>
      <c r="I33" s="267"/>
      <c r="J33" s="267"/>
      <c r="K33" s="13"/>
      <c r="L33" s="13"/>
      <c r="M33" s="13"/>
      <c r="N33" s="13"/>
      <c r="O33" s="13"/>
      <c r="P33" s="6"/>
      <c r="Q33" s="6"/>
      <c r="R33" s="6"/>
      <c r="S33" s="6"/>
      <c r="T33" s="6"/>
      <c r="U33" s="6"/>
      <c r="V33" s="6"/>
      <c r="W33" s="6"/>
      <c r="X33" s="6"/>
      <c r="Y33" s="6"/>
      <c r="Z33" s="6"/>
      <c r="AA33" s="6"/>
      <c r="AB33" s="6"/>
    </row>
    <row r="34" ht="21.0" customHeight="1">
      <c r="A34" s="24"/>
      <c r="B34" s="263" t="s">
        <v>783</v>
      </c>
      <c r="C34" s="276">
        <v>50.0</v>
      </c>
      <c r="D34" s="280"/>
      <c r="E34" s="280"/>
      <c r="F34" s="280"/>
      <c r="G34" s="272"/>
      <c r="H34" s="267"/>
      <c r="I34" s="267"/>
      <c r="J34" s="267"/>
      <c r="K34" s="13"/>
      <c r="L34" s="13"/>
      <c r="M34" s="13"/>
      <c r="N34" s="13"/>
      <c r="O34" s="13"/>
      <c r="P34" s="6"/>
      <c r="Q34" s="6"/>
      <c r="R34" s="6"/>
      <c r="S34" s="6"/>
      <c r="T34" s="6"/>
      <c r="U34" s="6"/>
      <c r="V34" s="6"/>
      <c r="W34" s="6"/>
      <c r="X34" s="6"/>
      <c r="Y34" s="6"/>
      <c r="Z34" s="6"/>
      <c r="AA34" s="6"/>
      <c r="AB34" s="6"/>
    </row>
    <row r="35" ht="21.0" customHeight="1">
      <c r="A35" s="24"/>
      <c r="B35" s="263" t="s">
        <v>784</v>
      </c>
      <c r="C35" s="276">
        <v>25.0</v>
      </c>
      <c r="D35" s="280">
        <v>25.0</v>
      </c>
      <c r="E35" s="93" t="s">
        <v>785</v>
      </c>
      <c r="F35" s="280"/>
      <c r="G35" s="272"/>
      <c r="H35" s="267"/>
      <c r="I35" s="267"/>
      <c r="J35" s="267"/>
      <c r="K35" s="13"/>
      <c r="L35" s="13"/>
      <c r="M35" s="13"/>
      <c r="N35" s="13"/>
      <c r="O35" s="13"/>
      <c r="P35" s="6"/>
      <c r="Q35" s="6"/>
      <c r="R35" s="6"/>
      <c r="S35" s="6"/>
      <c r="T35" s="6"/>
      <c r="U35" s="6"/>
      <c r="V35" s="6"/>
      <c r="W35" s="6"/>
      <c r="X35" s="6"/>
      <c r="Y35" s="6"/>
      <c r="Z35" s="6"/>
      <c r="AA35" s="6"/>
      <c r="AB35" s="6"/>
    </row>
    <row r="36" ht="21.0" customHeight="1">
      <c r="A36" s="32"/>
      <c r="B36" s="263" t="s">
        <v>786</v>
      </c>
      <c r="C36" s="276">
        <v>0.0</v>
      </c>
      <c r="D36" s="280"/>
      <c r="E36" s="280"/>
      <c r="F36" s="280"/>
      <c r="G36" s="272"/>
      <c r="H36" s="58"/>
      <c r="I36" s="58"/>
      <c r="J36" s="58"/>
      <c r="K36" s="13"/>
      <c r="L36" s="13"/>
      <c r="M36" s="13"/>
      <c r="N36" s="13"/>
      <c r="O36" s="13"/>
      <c r="P36" s="6"/>
      <c r="Q36" s="6"/>
      <c r="R36" s="6"/>
      <c r="S36" s="6"/>
      <c r="T36" s="6"/>
      <c r="U36" s="6"/>
      <c r="V36" s="6"/>
      <c r="W36" s="6"/>
      <c r="X36" s="6"/>
      <c r="Y36" s="6"/>
      <c r="Z36" s="6"/>
      <c r="AA36" s="6"/>
      <c r="AB36" s="6"/>
    </row>
    <row r="37" ht="33.75" customHeight="1">
      <c r="A37" s="168">
        <v>7.0</v>
      </c>
      <c r="B37" s="272" t="s">
        <v>787</v>
      </c>
      <c r="C37" s="268"/>
      <c r="D37" s="280"/>
      <c r="E37" s="280"/>
      <c r="F37" s="280"/>
      <c r="G37" s="19" t="s">
        <v>788</v>
      </c>
      <c r="H37" s="271" t="s">
        <v>789</v>
      </c>
      <c r="I37" s="271" t="s">
        <v>790</v>
      </c>
      <c r="J37" s="271" t="s">
        <v>791</v>
      </c>
      <c r="K37" s="13"/>
      <c r="L37" s="13"/>
      <c r="M37" s="13"/>
      <c r="N37" s="13"/>
      <c r="O37" s="13"/>
      <c r="P37" s="6"/>
      <c r="Q37" s="6"/>
      <c r="R37" s="6"/>
      <c r="S37" s="6"/>
      <c r="T37" s="6"/>
      <c r="U37" s="6"/>
      <c r="V37" s="6"/>
      <c r="W37" s="6"/>
      <c r="X37" s="6"/>
      <c r="Y37" s="6"/>
      <c r="Z37" s="6"/>
      <c r="AA37" s="6"/>
      <c r="AB37" s="6"/>
    </row>
    <row r="38" ht="35.25" customHeight="1">
      <c r="A38" s="24"/>
      <c r="B38" s="263" t="s">
        <v>792</v>
      </c>
      <c r="C38" s="264">
        <v>100.0</v>
      </c>
      <c r="D38" s="280">
        <v>100.0</v>
      </c>
      <c r="E38" s="93" t="s">
        <v>793</v>
      </c>
      <c r="F38" s="280"/>
      <c r="G38" s="272"/>
      <c r="H38" s="267"/>
      <c r="I38" s="267"/>
      <c r="J38" s="267"/>
      <c r="K38" s="13"/>
      <c r="L38" s="13"/>
      <c r="M38" s="13"/>
      <c r="N38" s="13"/>
      <c r="O38" s="13"/>
      <c r="P38" s="6"/>
      <c r="Q38" s="6"/>
      <c r="R38" s="6"/>
      <c r="S38" s="6"/>
      <c r="T38" s="6"/>
      <c r="U38" s="6"/>
      <c r="V38" s="6"/>
      <c r="W38" s="6"/>
      <c r="X38" s="6"/>
      <c r="Y38" s="6"/>
      <c r="Z38" s="6"/>
      <c r="AA38" s="6"/>
      <c r="AB38" s="6"/>
    </row>
    <row r="39" ht="21.0" customHeight="1">
      <c r="A39" s="24"/>
      <c r="B39" s="263" t="s">
        <v>794</v>
      </c>
      <c r="C39" s="264">
        <v>75.0</v>
      </c>
      <c r="D39" s="280"/>
      <c r="E39" s="93" t="s">
        <v>795</v>
      </c>
      <c r="F39" s="280"/>
      <c r="G39" s="272"/>
      <c r="H39" s="267"/>
      <c r="I39" s="267"/>
      <c r="J39" s="267"/>
      <c r="K39" s="13"/>
      <c r="L39" s="13"/>
      <c r="M39" s="13"/>
      <c r="N39" s="13"/>
      <c r="O39" s="13"/>
      <c r="P39" s="6"/>
      <c r="Q39" s="6"/>
      <c r="R39" s="6"/>
      <c r="S39" s="6"/>
      <c r="T39" s="6"/>
      <c r="U39" s="6"/>
      <c r="V39" s="6"/>
      <c r="W39" s="6"/>
      <c r="X39" s="6"/>
      <c r="Y39" s="6"/>
      <c r="Z39" s="6"/>
      <c r="AA39" s="6"/>
      <c r="AB39" s="6"/>
    </row>
    <row r="40" ht="21.0" customHeight="1">
      <c r="A40" s="24"/>
      <c r="B40" s="283" t="s">
        <v>796</v>
      </c>
      <c r="C40" s="264">
        <v>50.0</v>
      </c>
      <c r="D40" s="280"/>
      <c r="E40" s="280"/>
      <c r="F40" s="280"/>
      <c r="G40" s="272"/>
      <c r="H40" s="267"/>
      <c r="I40" s="267"/>
      <c r="J40" s="267"/>
      <c r="K40" s="13"/>
      <c r="L40" s="13"/>
      <c r="M40" s="13"/>
      <c r="N40" s="13"/>
      <c r="O40" s="13"/>
      <c r="P40" s="6"/>
      <c r="Q40" s="6"/>
      <c r="R40" s="6"/>
      <c r="S40" s="6"/>
      <c r="T40" s="6"/>
      <c r="U40" s="6"/>
      <c r="V40" s="6"/>
      <c r="W40" s="6"/>
      <c r="X40" s="6"/>
      <c r="Y40" s="6"/>
      <c r="Z40" s="6"/>
      <c r="AA40" s="6"/>
      <c r="AB40" s="6"/>
    </row>
    <row r="41" ht="21.0" customHeight="1">
      <c r="A41" s="24"/>
      <c r="B41" s="263" t="s">
        <v>797</v>
      </c>
      <c r="C41" s="264">
        <v>25.0</v>
      </c>
      <c r="D41" s="280"/>
      <c r="E41" s="280"/>
      <c r="F41" s="280"/>
      <c r="G41" s="272"/>
      <c r="H41" s="267"/>
      <c r="I41" s="267"/>
      <c r="J41" s="267"/>
      <c r="K41" s="13"/>
      <c r="L41" s="13"/>
      <c r="M41" s="13"/>
      <c r="N41" s="13"/>
      <c r="O41" s="13"/>
      <c r="P41" s="6"/>
      <c r="Q41" s="6"/>
      <c r="R41" s="6"/>
      <c r="S41" s="6"/>
      <c r="T41" s="6"/>
      <c r="U41" s="6"/>
      <c r="V41" s="6"/>
      <c r="W41" s="6"/>
      <c r="X41" s="6"/>
      <c r="Y41" s="6"/>
      <c r="Z41" s="6"/>
      <c r="AA41" s="6"/>
      <c r="AB41" s="6"/>
    </row>
    <row r="42" ht="21.0" customHeight="1">
      <c r="A42" s="32"/>
      <c r="B42" s="263" t="s">
        <v>767</v>
      </c>
      <c r="C42" s="264">
        <v>0.0</v>
      </c>
      <c r="D42" s="280"/>
      <c r="E42" s="280"/>
      <c r="F42" s="280"/>
      <c r="G42" s="272"/>
      <c r="H42" s="58"/>
      <c r="I42" s="58"/>
      <c r="J42" s="58"/>
      <c r="K42" s="13"/>
      <c r="L42" s="13"/>
      <c r="M42" s="13"/>
      <c r="N42" s="13"/>
      <c r="O42" s="13"/>
      <c r="P42" s="6"/>
      <c r="Q42" s="6"/>
      <c r="R42" s="6"/>
      <c r="S42" s="6"/>
      <c r="T42" s="6"/>
      <c r="U42" s="6"/>
      <c r="V42" s="6"/>
      <c r="W42" s="6"/>
      <c r="X42" s="6"/>
      <c r="Y42" s="6"/>
      <c r="Z42" s="6"/>
      <c r="AA42" s="6"/>
      <c r="AB42" s="6"/>
    </row>
    <row r="43" ht="54.75" customHeight="1">
      <c r="A43" s="168">
        <v>8.0</v>
      </c>
      <c r="B43" s="272" t="s">
        <v>798</v>
      </c>
      <c r="C43" s="268"/>
      <c r="D43" s="280"/>
      <c r="E43" s="280"/>
      <c r="F43" s="280"/>
      <c r="G43" s="272" t="s">
        <v>799</v>
      </c>
      <c r="H43" s="271" t="s">
        <v>800</v>
      </c>
      <c r="I43" s="271" t="s">
        <v>801</v>
      </c>
      <c r="J43" s="271" t="s">
        <v>802</v>
      </c>
      <c r="K43" s="13"/>
      <c r="L43" s="13"/>
      <c r="M43" s="13"/>
      <c r="N43" s="13"/>
      <c r="O43" s="13"/>
      <c r="P43" s="6"/>
      <c r="Q43" s="6"/>
      <c r="R43" s="6"/>
      <c r="S43" s="6"/>
      <c r="T43" s="6"/>
      <c r="U43" s="6"/>
      <c r="V43" s="6"/>
      <c r="W43" s="6"/>
      <c r="X43" s="6"/>
      <c r="Y43" s="6"/>
      <c r="Z43" s="6"/>
      <c r="AA43" s="6"/>
      <c r="AB43" s="6"/>
    </row>
    <row r="44" ht="36.75" customHeight="1">
      <c r="A44" s="284"/>
      <c r="B44" s="272" t="s">
        <v>803</v>
      </c>
      <c r="C44" s="273">
        <v>100.0</v>
      </c>
      <c r="D44" s="280"/>
      <c r="E44" s="280"/>
      <c r="F44" s="280"/>
      <c r="G44" s="272"/>
      <c r="H44" s="267"/>
      <c r="I44" s="267"/>
      <c r="J44" s="285"/>
      <c r="K44" s="13"/>
      <c r="L44" s="13"/>
      <c r="M44" s="13"/>
      <c r="N44" s="13"/>
      <c r="O44" s="13"/>
      <c r="P44" s="6"/>
      <c r="Q44" s="6"/>
      <c r="R44" s="6"/>
      <c r="S44" s="6"/>
      <c r="T44" s="6"/>
      <c r="U44" s="6"/>
      <c r="V44" s="6"/>
      <c r="W44" s="6"/>
      <c r="X44" s="6"/>
      <c r="Y44" s="6"/>
      <c r="Z44" s="6"/>
      <c r="AA44" s="6"/>
      <c r="AB44" s="6"/>
    </row>
    <row r="45" ht="36.75" customHeight="1">
      <c r="A45" s="284"/>
      <c r="B45" s="272" t="s">
        <v>804</v>
      </c>
      <c r="C45" s="273">
        <v>50.0</v>
      </c>
      <c r="D45" s="280"/>
      <c r="E45" s="280"/>
      <c r="F45" s="280"/>
      <c r="G45" s="272"/>
      <c r="H45" s="267"/>
      <c r="I45" s="267"/>
      <c r="J45" s="285"/>
      <c r="K45" s="13"/>
      <c r="L45" s="13"/>
      <c r="M45" s="13"/>
      <c r="N45" s="13"/>
      <c r="O45" s="13"/>
      <c r="P45" s="6"/>
      <c r="Q45" s="6"/>
      <c r="R45" s="6"/>
      <c r="S45" s="6"/>
      <c r="T45" s="6"/>
      <c r="U45" s="6"/>
      <c r="V45" s="6"/>
      <c r="W45" s="6"/>
      <c r="X45" s="6"/>
      <c r="Y45" s="6"/>
      <c r="Z45" s="6"/>
      <c r="AA45" s="6"/>
      <c r="AB45" s="6"/>
    </row>
    <row r="46" ht="36.0" customHeight="1">
      <c r="A46" s="284"/>
      <c r="B46" s="272" t="s">
        <v>805</v>
      </c>
      <c r="C46" s="273">
        <v>25.0</v>
      </c>
      <c r="D46" s="280"/>
      <c r="E46" s="280"/>
      <c r="F46" s="280"/>
      <c r="G46" s="272"/>
      <c r="H46" s="267"/>
      <c r="I46" s="267"/>
      <c r="J46" s="285"/>
      <c r="K46" s="13"/>
      <c r="L46" s="13"/>
      <c r="M46" s="13"/>
      <c r="N46" s="13"/>
      <c r="O46" s="13"/>
      <c r="P46" s="6"/>
      <c r="Q46" s="6"/>
      <c r="R46" s="6"/>
      <c r="S46" s="6"/>
      <c r="T46" s="6"/>
      <c r="U46" s="6"/>
      <c r="V46" s="6"/>
      <c r="W46" s="6"/>
      <c r="X46" s="6"/>
      <c r="Y46" s="6"/>
      <c r="Z46" s="6"/>
      <c r="AA46" s="6"/>
      <c r="AB46" s="6"/>
    </row>
    <row r="47" ht="42.75" customHeight="1">
      <c r="A47" s="191"/>
      <c r="B47" s="272" t="s">
        <v>767</v>
      </c>
      <c r="C47" s="273">
        <v>0.0</v>
      </c>
      <c r="D47" s="274"/>
      <c r="E47" s="274"/>
      <c r="F47" s="274"/>
      <c r="G47" s="272"/>
      <c r="H47" s="58"/>
      <c r="I47" s="58"/>
      <c r="J47" s="265"/>
      <c r="K47" s="13"/>
      <c r="L47" s="13"/>
      <c r="M47" s="13"/>
      <c r="N47" s="13"/>
      <c r="O47" s="13"/>
      <c r="P47" s="6"/>
      <c r="Q47" s="6"/>
      <c r="R47" s="6"/>
      <c r="S47" s="6"/>
      <c r="T47" s="6"/>
      <c r="U47" s="6"/>
      <c r="V47" s="6"/>
      <c r="W47" s="6"/>
      <c r="X47" s="6"/>
      <c r="Y47" s="6"/>
      <c r="Z47" s="6"/>
      <c r="AA47" s="6"/>
      <c r="AB47" s="6"/>
    </row>
    <row r="48" ht="37.5" customHeight="1">
      <c r="A48" s="168">
        <v>9.0</v>
      </c>
      <c r="B48" s="272" t="s">
        <v>806</v>
      </c>
      <c r="C48" s="265"/>
      <c r="D48" s="280"/>
      <c r="E48" s="280"/>
      <c r="F48" s="280"/>
      <c r="G48" s="271" t="s">
        <v>807</v>
      </c>
      <c r="H48" s="271" t="s">
        <v>808</v>
      </c>
      <c r="I48" s="271" t="s">
        <v>809</v>
      </c>
      <c r="J48" s="271" t="s">
        <v>810</v>
      </c>
      <c r="K48" s="13"/>
      <c r="L48" s="13"/>
      <c r="M48" s="13"/>
      <c r="N48" s="13"/>
      <c r="O48" s="13"/>
      <c r="P48" s="6"/>
      <c r="Q48" s="6"/>
      <c r="R48" s="6"/>
      <c r="S48" s="6"/>
      <c r="T48" s="6"/>
      <c r="U48" s="6"/>
      <c r="V48" s="6"/>
      <c r="W48" s="6"/>
      <c r="X48" s="6"/>
      <c r="Y48" s="6"/>
      <c r="Z48" s="6"/>
      <c r="AA48" s="6"/>
      <c r="AB48" s="6"/>
    </row>
    <row r="49" ht="33.0" customHeight="1">
      <c r="A49" s="24"/>
      <c r="B49" s="286" t="s">
        <v>811</v>
      </c>
      <c r="C49" s="264">
        <v>100.0</v>
      </c>
      <c r="D49" s="280">
        <v>100.0</v>
      </c>
      <c r="E49" s="106" t="s">
        <v>812</v>
      </c>
      <c r="F49" s="280"/>
      <c r="G49" s="267"/>
      <c r="H49" s="267"/>
      <c r="I49" s="267"/>
      <c r="J49" s="267"/>
      <c r="K49" s="13"/>
      <c r="L49" s="13"/>
      <c r="M49" s="13"/>
      <c r="N49" s="13"/>
      <c r="O49" s="13"/>
      <c r="P49" s="6"/>
      <c r="Q49" s="6"/>
      <c r="R49" s="6"/>
      <c r="S49" s="6"/>
      <c r="T49" s="6"/>
      <c r="U49" s="6"/>
      <c r="V49" s="6"/>
      <c r="W49" s="6"/>
      <c r="X49" s="6"/>
      <c r="Y49" s="6"/>
      <c r="Z49" s="6"/>
      <c r="AA49" s="6"/>
      <c r="AB49" s="6"/>
    </row>
    <row r="50" ht="21.0" customHeight="1">
      <c r="A50" s="24"/>
      <c r="B50" s="286" t="s">
        <v>813</v>
      </c>
      <c r="C50" s="279">
        <v>50.0</v>
      </c>
      <c r="D50" s="280"/>
      <c r="E50" s="106" t="s">
        <v>814</v>
      </c>
      <c r="F50" s="280">
        <v>50.0</v>
      </c>
      <c r="G50" s="267"/>
      <c r="H50" s="267"/>
      <c r="I50" s="267"/>
      <c r="J50" s="267"/>
      <c r="K50" s="13"/>
      <c r="L50" s="13"/>
      <c r="M50" s="13"/>
      <c r="N50" s="13"/>
      <c r="O50" s="13"/>
      <c r="P50" s="6"/>
      <c r="Q50" s="6"/>
      <c r="R50" s="6"/>
      <c r="S50" s="6"/>
      <c r="T50" s="6"/>
      <c r="U50" s="6"/>
      <c r="V50" s="6"/>
      <c r="W50" s="6"/>
      <c r="X50" s="6"/>
      <c r="Y50" s="6"/>
      <c r="Z50" s="6"/>
      <c r="AA50" s="6"/>
      <c r="AB50" s="6"/>
    </row>
    <row r="51" ht="21.0" customHeight="1">
      <c r="A51" s="24"/>
      <c r="B51" s="286" t="s">
        <v>815</v>
      </c>
      <c r="C51" s="279">
        <v>25.0</v>
      </c>
      <c r="D51" s="280"/>
      <c r="E51" s="106" t="s">
        <v>816</v>
      </c>
      <c r="F51" s="280"/>
      <c r="G51" s="267"/>
      <c r="H51" s="267"/>
      <c r="I51" s="267"/>
      <c r="J51" s="267"/>
      <c r="K51" s="13"/>
      <c r="L51" s="13"/>
      <c r="M51" s="13"/>
      <c r="N51" s="13"/>
      <c r="O51" s="13"/>
      <c r="P51" s="6"/>
      <c r="Q51" s="6"/>
      <c r="R51" s="6"/>
      <c r="S51" s="6"/>
      <c r="T51" s="6"/>
      <c r="U51" s="6"/>
      <c r="V51" s="6"/>
      <c r="W51" s="6"/>
      <c r="X51" s="6"/>
      <c r="Y51" s="6"/>
      <c r="Z51" s="6"/>
      <c r="AA51" s="6"/>
      <c r="AB51" s="6"/>
    </row>
    <row r="52" ht="37.5" customHeight="1">
      <c r="A52" s="32"/>
      <c r="B52" s="263" t="s">
        <v>817</v>
      </c>
      <c r="C52" s="279">
        <v>0.0</v>
      </c>
      <c r="D52" s="280"/>
      <c r="E52" s="106" t="s">
        <v>818</v>
      </c>
      <c r="F52" s="280"/>
      <c r="G52" s="58"/>
      <c r="H52" s="58"/>
      <c r="I52" s="58"/>
      <c r="J52" s="58"/>
      <c r="K52" s="13"/>
      <c r="L52" s="13"/>
      <c r="M52" s="13"/>
      <c r="N52" s="13"/>
      <c r="O52" s="13"/>
      <c r="P52" s="6"/>
      <c r="Q52" s="6"/>
      <c r="R52" s="6"/>
      <c r="S52" s="6"/>
      <c r="T52" s="6"/>
      <c r="U52" s="6"/>
      <c r="V52" s="6"/>
      <c r="W52" s="6"/>
      <c r="X52" s="6"/>
      <c r="Y52" s="6"/>
      <c r="Z52" s="6"/>
      <c r="AA52" s="6"/>
      <c r="AB52" s="6"/>
    </row>
    <row r="53" ht="52.5" customHeight="1">
      <c r="A53" s="168">
        <v>10.0</v>
      </c>
      <c r="B53" s="272" t="s">
        <v>819</v>
      </c>
      <c r="C53" s="280"/>
      <c r="D53" s="265"/>
      <c r="E53" s="287"/>
      <c r="F53" s="265"/>
      <c r="G53" s="271" t="s">
        <v>820</v>
      </c>
      <c r="H53" s="271" t="s">
        <v>821</v>
      </c>
      <c r="I53" s="271" t="s">
        <v>822</v>
      </c>
      <c r="J53" s="271" t="s">
        <v>810</v>
      </c>
      <c r="K53" s="13"/>
      <c r="L53" s="13"/>
      <c r="M53" s="13"/>
      <c r="N53" s="13"/>
      <c r="O53" s="13"/>
      <c r="P53" s="6"/>
      <c r="Q53" s="6"/>
      <c r="R53" s="6"/>
      <c r="S53" s="6"/>
      <c r="T53" s="6"/>
      <c r="U53" s="6"/>
      <c r="V53" s="6"/>
      <c r="W53" s="6"/>
      <c r="X53" s="6"/>
      <c r="Y53" s="6"/>
      <c r="Z53" s="6"/>
      <c r="AA53" s="6"/>
      <c r="AB53" s="6"/>
    </row>
    <row r="54" ht="21.0" customHeight="1">
      <c r="A54" s="24"/>
      <c r="B54" s="272" t="s">
        <v>823</v>
      </c>
      <c r="C54" s="273">
        <v>100.0</v>
      </c>
      <c r="D54" s="274">
        <v>100.0</v>
      </c>
      <c r="E54" s="106" t="s">
        <v>824</v>
      </c>
      <c r="F54" s="274">
        <v>100.0</v>
      </c>
      <c r="G54" s="267"/>
      <c r="H54" s="267"/>
      <c r="I54" s="267"/>
      <c r="J54" s="267"/>
      <c r="K54" s="13"/>
      <c r="L54" s="13"/>
      <c r="M54" s="13"/>
      <c r="N54" s="13"/>
      <c r="O54" s="13"/>
      <c r="P54" s="6"/>
      <c r="Q54" s="6"/>
      <c r="R54" s="6"/>
      <c r="S54" s="6"/>
      <c r="T54" s="6"/>
      <c r="U54" s="6"/>
      <c r="V54" s="6"/>
      <c r="W54" s="6"/>
      <c r="X54" s="6"/>
      <c r="Y54" s="6"/>
      <c r="Z54" s="6"/>
      <c r="AA54" s="6"/>
      <c r="AB54" s="6"/>
    </row>
    <row r="55" ht="21.0" customHeight="1">
      <c r="A55" s="24"/>
      <c r="B55" s="272" t="s">
        <v>825</v>
      </c>
      <c r="C55" s="273">
        <v>50.0</v>
      </c>
      <c r="D55" s="274"/>
      <c r="E55" s="288"/>
      <c r="F55" s="274"/>
      <c r="G55" s="267"/>
      <c r="H55" s="267"/>
      <c r="I55" s="267"/>
      <c r="J55" s="267"/>
      <c r="K55" s="13"/>
      <c r="L55" s="13"/>
      <c r="M55" s="13"/>
      <c r="N55" s="13"/>
      <c r="O55" s="13"/>
      <c r="P55" s="6"/>
      <c r="Q55" s="6"/>
      <c r="R55" s="6"/>
      <c r="S55" s="6"/>
      <c r="T55" s="6"/>
      <c r="U55" s="6"/>
      <c r="V55" s="6"/>
      <c r="W55" s="6"/>
      <c r="X55" s="6"/>
      <c r="Y55" s="6"/>
      <c r="Z55" s="6"/>
      <c r="AA55" s="6"/>
      <c r="AB55" s="6"/>
    </row>
    <row r="56" ht="21.0" customHeight="1">
      <c r="A56" s="24"/>
      <c r="B56" s="272" t="s">
        <v>523</v>
      </c>
      <c r="C56" s="273">
        <v>25.0</v>
      </c>
      <c r="D56" s="274"/>
      <c r="E56" s="288"/>
      <c r="F56" s="274"/>
      <c r="G56" s="267"/>
      <c r="H56" s="267"/>
      <c r="I56" s="267"/>
      <c r="J56" s="267"/>
      <c r="K56" s="13"/>
      <c r="L56" s="13"/>
      <c r="M56" s="13"/>
      <c r="N56" s="13"/>
      <c r="O56" s="13"/>
      <c r="P56" s="6"/>
      <c r="Q56" s="6"/>
      <c r="R56" s="6"/>
      <c r="S56" s="6"/>
      <c r="T56" s="6"/>
      <c r="U56" s="6"/>
      <c r="V56" s="6"/>
      <c r="W56" s="6"/>
      <c r="X56" s="6"/>
      <c r="Y56" s="6"/>
      <c r="Z56" s="6"/>
      <c r="AA56" s="6"/>
      <c r="AB56" s="6"/>
    </row>
    <row r="57" ht="21.0" customHeight="1">
      <c r="A57" s="32"/>
      <c r="B57" s="272" t="s">
        <v>767</v>
      </c>
      <c r="C57" s="273">
        <v>0.0</v>
      </c>
      <c r="D57" s="280"/>
      <c r="E57" s="280"/>
      <c r="F57" s="280"/>
      <c r="G57" s="58"/>
      <c r="H57" s="58"/>
      <c r="I57" s="58"/>
      <c r="J57" s="58"/>
      <c r="K57" s="13"/>
      <c r="L57" s="13"/>
      <c r="M57" s="13"/>
      <c r="N57" s="13"/>
      <c r="O57" s="13"/>
      <c r="P57" s="6"/>
      <c r="Q57" s="6"/>
      <c r="R57" s="6"/>
      <c r="S57" s="6"/>
      <c r="T57" s="6"/>
      <c r="U57" s="6"/>
      <c r="V57" s="6"/>
      <c r="W57" s="6"/>
      <c r="X57" s="6"/>
      <c r="Y57" s="6"/>
      <c r="Z57" s="6"/>
      <c r="AA57" s="6"/>
      <c r="AB57" s="6"/>
    </row>
    <row r="58" ht="30.0" customHeight="1">
      <c r="A58" s="168">
        <v>11.0</v>
      </c>
      <c r="B58" s="272" t="s">
        <v>826</v>
      </c>
      <c r="C58" s="265"/>
      <c r="D58" s="265"/>
      <c r="E58" s="265"/>
      <c r="F58" s="265"/>
      <c r="G58" s="272"/>
      <c r="H58" s="271" t="s">
        <v>827</v>
      </c>
      <c r="I58" s="271" t="s">
        <v>828</v>
      </c>
      <c r="J58" s="271" t="s">
        <v>828</v>
      </c>
      <c r="K58" s="13"/>
      <c r="L58" s="13"/>
      <c r="M58" s="13"/>
      <c r="N58" s="13"/>
      <c r="O58" s="13"/>
      <c r="P58" s="6"/>
      <c r="Q58" s="6"/>
      <c r="R58" s="6"/>
      <c r="S58" s="6"/>
      <c r="T58" s="6"/>
      <c r="U58" s="6"/>
      <c r="V58" s="6"/>
      <c r="W58" s="6"/>
      <c r="X58" s="6"/>
      <c r="Y58" s="6"/>
      <c r="Z58" s="6"/>
      <c r="AA58" s="6"/>
      <c r="AB58" s="6"/>
    </row>
    <row r="59" ht="63.75" customHeight="1">
      <c r="A59" s="24"/>
      <c r="B59" s="272" t="s">
        <v>829</v>
      </c>
      <c r="C59" s="264">
        <v>100.0</v>
      </c>
      <c r="D59" s="265">
        <v>100.0</v>
      </c>
      <c r="E59" s="93" t="s">
        <v>830</v>
      </c>
      <c r="F59" s="265"/>
      <c r="G59" s="272" t="s">
        <v>831</v>
      </c>
      <c r="H59" s="267"/>
      <c r="I59" s="267"/>
      <c r="J59" s="267"/>
      <c r="K59" s="13"/>
      <c r="L59" s="13"/>
      <c r="M59" s="13"/>
      <c r="N59" s="13"/>
      <c r="O59" s="13"/>
      <c r="P59" s="6"/>
      <c r="Q59" s="6"/>
      <c r="R59" s="6"/>
      <c r="S59" s="6"/>
      <c r="T59" s="6"/>
      <c r="U59" s="6"/>
      <c r="V59" s="6"/>
      <c r="W59" s="6"/>
      <c r="X59" s="6"/>
      <c r="Y59" s="6"/>
      <c r="Z59" s="6"/>
      <c r="AA59" s="6"/>
      <c r="AB59" s="6"/>
    </row>
    <row r="60" ht="21.0" customHeight="1">
      <c r="A60" s="24"/>
      <c r="B60" s="272" t="s">
        <v>832</v>
      </c>
      <c r="C60" s="279">
        <v>50.0</v>
      </c>
      <c r="D60" s="265"/>
      <c r="E60" s="93" t="s">
        <v>833</v>
      </c>
      <c r="F60" s="265"/>
      <c r="G60" s="272"/>
      <c r="H60" s="267"/>
      <c r="I60" s="267"/>
      <c r="J60" s="267"/>
      <c r="K60" s="13"/>
      <c r="L60" s="13"/>
      <c r="M60" s="13"/>
      <c r="N60" s="13"/>
      <c r="O60" s="13"/>
      <c r="P60" s="6"/>
      <c r="Q60" s="6"/>
      <c r="R60" s="6"/>
      <c r="S60" s="6"/>
      <c r="T60" s="6"/>
      <c r="U60" s="6"/>
      <c r="V60" s="6"/>
      <c r="W60" s="6"/>
      <c r="X60" s="6"/>
      <c r="Y60" s="6"/>
      <c r="Z60" s="6"/>
      <c r="AA60" s="6"/>
      <c r="AB60" s="6"/>
    </row>
    <row r="61" ht="21.0" customHeight="1">
      <c r="A61" s="24"/>
      <c r="B61" s="272" t="s">
        <v>523</v>
      </c>
      <c r="C61" s="279">
        <v>25.0</v>
      </c>
      <c r="D61" s="265"/>
      <c r="E61" s="265"/>
      <c r="F61" s="265"/>
      <c r="G61" s="272"/>
      <c r="H61" s="267"/>
      <c r="I61" s="267"/>
      <c r="J61" s="267"/>
      <c r="K61" s="13"/>
      <c r="L61" s="13"/>
      <c r="M61" s="13"/>
      <c r="N61" s="13"/>
      <c r="O61" s="13"/>
      <c r="P61" s="6"/>
      <c r="Q61" s="6"/>
      <c r="R61" s="6"/>
      <c r="S61" s="6"/>
      <c r="T61" s="6"/>
      <c r="U61" s="6"/>
      <c r="V61" s="6"/>
      <c r="W61" s="6"/>
      <c r="X61" s="6"/>
      <c r="Y61" s="6"/>
      <c r="Z61" s="6"/>
      <c r="AA61" s="6"/>
      <c r="AB61" s="6"/>
    </row>
    <row r="62" ht="21.0" customHeight="1">
      <c r="A62" s="32"/>
      <c r="B62" s="272" t="s">
        <v>767</v>
      </c>
      <c r="C62" s="279">
        <v>0.0</v>
      </c>
      <c r="D62" s="265"/>
      <c r="E62" s="265"/>
      <c r="F62" s="265"/>
      <c r="G62" s="272"/>
      <c r="H62" s="58"/>
      <c r="I62" s="58"/>
      <c r="J62" s="58"/>
      <c r="K62" s="13"/>
      <c r="L62" s="13"/>
      <c r="M62" s="13"/>
      <c r="N62" s="13"/>
      <c r="O62" s="13"/>
      <c r="P62" s="6"/>
      <c r="Q62" s="6"/>
      <c r="R62" s="6"/>
      <c r="S62" s="6"/>
      <c r="T62" s="6"/>
      <c r="U62" s="6"/>
      <c r="V62" s="6"/>
      <c r="W62" s="6"/>
      <c r="X62" s="6"/>
      <c r="Y62" s="6"/>
      <c r="Z62" s="6"/>
      <c r="AA62" s="6"/>
      <c r="AB62" s="6"/>
    </row>
    <row r="63" ht="21.0" customHeight="1">
      <c r="A63" s="289"/>
      <c r="B63" s="290" t="s">
        <v>311</v>
      </c>
      <c r="C63" s="291"/>
      <c r="D63" s="292">
        <f>SUM(D10:D62)</f>
        <v>925</v>
      </c>
      <c r="E63" s="292"/>
      <c r="F63" s="292">
        <f>SUM(F10:F62)</f>
        <v>150</v>
      </c>
      <c r="G63" s="293"/>
      <c r="H63" s="294"/>
      <c r="I63" s="295"/>
      <c r="J63" s="295"/>
      <c r="K63" s="13"/>
      <c r="L63" s="13"/>
      <c r="M63" s="13"/>
      <c r="N63" s="13"/>
      <c r="O63" s="13"/>
      <c r="P63" s="6"/>
      <c r="Q63" s="6"/>
      <c r="R63" s="6"/>
      <c r="S63" s="6"/>
      <c r="T63" s="6"/>
      <c r="U63" s="6"/>
      <c r="V63" s="6"/>
      <c r="W63" s="6"/>
      <c r="X63" s="6"/>
      <c r="Y63" s="6"/>
      <c r="Z63" s="6"/>
      <c r="AA63" s="6"/>
      <c r="AB63" s="6"/>
    </row>
    <row r="64" ht="15.75" customHeight="1">
      <c r="A64" s="130"/>
      <c r="B64" s="2"/>
      <c r="C64" s="132"/>
      <c r="D64" s="132">
        <f>D63/1100*100</f>
        <v>84.09090909</v>
      </c>
      <c r="E64" s="132"/>
      <c r="F64" s="132">
        <f>F63/1100*100</f>
        <v>13.63636364</v>
      </c>
      <c r="G64" s="6"/>
      <c r="H64" s="6"/>
      <c r="I64" s="6"/>
      <c r="J64" s="6"/>
      <c r="K64" s="131"/>
      <c r="L64" s="131"/>
      <c r="M64" s="131"/>
      <c r="N64" s="131"/>
      <c r="O64" s="6"/>
      <c r="P64" s="6"/>
      <c r="Q64" s="6"/>
      <c r="R64" s="6"/>
      <c r="S64" s="6"/>
      <c r="T64" s="6"/>
      <c r="U64" s="6"/>
      <c r="V64" s="6"/>
      <c r="W64" s="6"/>
      <c r="X64" s="6"/>
      <c r="Y64" s="6"/>
      <c r="Z64" s="6"/>
      <c r="AA64" s="6"/>
      <c r="AB64" s="6"/>
    </row>
    <row r="65" ht="15.75" customHeight="1">
      <c r="A65" s="130"/>
      <c r="B65" s="2"/>
      <c r="C65" s="132"/>
      <c r="D65" s="132"/>
      <c r="E65" s="132"/>
      <c r="F65" s="132"/>
      <c r="G65" s="6"/>
      <c r="H65" s="6"/>
      <c r="I65" s="6"/>
      <c r="J65" s="6"/>
      <c r="K65" s="131"/>
      <c r="L65" s="131"/>
      <c r="M65" s="131"/>
      <c r="N65" s="131"/>
      <c r="O65" s="6"/>
      <c r="P65" s="6"/>
      <c r="Q65" s="6"/>
      <c r="R65" s="6"/>
      <c r="S65" s="6"/>
      <c r="T65" s="6"/>
      <c r="U65" s="6"/>
      <c r="V65" s="6"/>
      <c r="W65" s="6"/>
      <c r="X65" s="6"/>
      <c r="Y65" s="6"/>
      <c r="Z65" s="6"/>
      <c r="AA65" s="6"/>
      <c r="AB65" s="6"/>
    </row>
    <row r="66" ht="15.75" customHeight="1">
      <c r="A66" s="130"/>
      <c r="B66" s="2"/>
      <c r="C66" s="132"/>
      <c r="D66" s="132"/>
      <c r="E66" s="132"/>
      <c r="F66" s="132"/>
      <c r="G66" s="6"/>
      <c r="H66" s="6"/>
      <c r="I66" s="6"/>
      <c r="J66" s="6"/>
      <c r="K66" s="131"/>
      <c r="L66" s="131"/>
      <c r="M66" s="131"/>
      <c r="N66" s="131"/>
      <c r="O66" s="6"/>
      <c r="P66" s="6"/>
      <c r="Q66" s="6"/>
      <c r="R66" s="6"/>
      <c r="S66" s="6"/>
      <c r="T66" s="6"/>
      <c r="U66" s="6"/>
      <c r="V66" s="6"/>
      <c r="W66" s="6"/>
      <c r="X66" s="6"/>
      <c r="Y66" s="6"/>
      <c r="Z66" s="6"/>
      <c r="AA66" s="6"/>
      <c r="AB66" s="6"/>
    </row>
    <row r="67" ht="15.75" customHeight="1">
      <c r="A67" s="130"/>
      <c r="B67" s="2"/>
      <c r="C67" s="132"/>
      <c r="D67" s="132"/>
      <c r="E67" s="132"/>
      <c r="F67" s="132"/>
      <c r="G67" s="6"/>
      <c r="H67" s="6"/>
      <c r="I67" s="6"/>
      <c r="J67" s="6"/>
      <c r="K67" s="131"/>
      <c r="L67" s="131"/>
      <c r="M67" s="131"/>
      <c r="N67" s="131"/>
      <c r="O67" s="6"/>
      <c r="P67" s="6"/>
      <c r="Q67" s="6"/>
      <c r="R67" s="6"/>
      <c r="S67" s="6"/>
      <c r="T67" s="6"/>
      <c r="U67" s="6"/>
      <c r="V67" s="6"/>
      <c r="W67" s="6"/>
      <c r="X67" s="6"/>
      <c r="Y67" s="6"/>
      <c r="Z67" s="6"/>
      <c r="AA67" s="6"/>
      <c r="AB67" s="6"/>
    </row>
    <row r="68" ht="15.75" customHeight="1">
      <c r="A68" s="130"/>
      <c r="B68" s="2"/>
      <c r="C68" s="132"/>
      <c r="D68" s="132"/>
      <c r="E68" s="132"/>
      <c r="F68" s="132"/>
      <c r="G68" s="6"/>
      <c r="H68" s="6"/>
      <c r="I68" s="6"/>
      <c r="J68" s="6"/>
      <c r="K68" s="131"/>
      <c r="L68" s="131"/>
      <c r="M68" s="131"/>
      <c r="N68" s="131"/>
      <c r="O68" s="6"/>
      <c r="P68" s="6"/>
      <c r="Q68" s="6"/>
      <c r="R68" s="6"/>
      <c r="S68" s="6"/>
      <c r="T68" s="6"/>
      <c r="U68" s="6"/>
      <c r="V68" s="6"/>
      <c r="W68" s="6"/>
      <c r="X68" s="6"/>
      <c r="Y68" s="6"/>
      <c r="Z68" s="6"/>
      <c r="AA68" s="6"/>
      <c r="AB68" s="6"/>
    </row>
    <row r="69" ht="15.75" customHeight="1">
      <c r="A69" s="130"/>
      <c r="B69" s="2"/>
      <c r="C69" s="132"/>
      <c r="D69" s="132"/>
      <c r="E69" s="132"/>
      <c r="F69" s="132"/>
      <c r="G69" s="6"/>
      <c r="H69" s="6"/>
      <c r="I69" s="6"/>
      <c r="J69" s="6"/>
      <c r="K69" s="131"/>
      <c r="L69" s="131"/>
      <c r="M69" s="131"/>
      <c r="N69" s="131"/>
      <c r="O69" s="6"/>
      <c r="P69" s="6"/>
      <c r="Q69" s="6"/>
      <c r="R69" s="6"/>
      <c r="S69" s="6"/>
      <c r="T69" s="6"/>
      <c r="U69" s="6"/>
      <c r="V69" s="6"/>
      <c r="W69" s="6"/>
      <c r="X69" s="6"/>
      <c r="Y69" s="6"/>
      <c r="Z69" s="6"/>
      <c r="AA69" s="6"/>
      <c r="AB69" s="6"/>
    </row>
    <row r="70" ht="15.75" customHeight="1">
      <c r="A70" s="130"/>
      <c r="B70" s="2"/>
      <c r="C70" s="132"/>
      <c r="D70" s="132"/>
      <c r="E70" s="132"/>
      <c r="F70" s="132"/>
      <c r="G70" s="6"/>
      <c r="H70" s="6"/>
      <c r="I70" s="6"/>
      <c r="J70" s="6"/>
      <c r="K70" s="131"/>
      <c r="L70" s="131"/>
      <c r="M70" s="131"/>
      <c r="N70" s="131"/>
      <c r="O70" s="6"/>
      <c r="P70" s="6"/>
      <c r="Q70" s="6"/>
      <c r="R70" s="6"/>
      <c r="S70" s="6"/>
      <c r="T70" s="6"/>
      <c r="U70" s="6"/>
      <c r="V70" s="6"/>
      <c r="W70" s="6"/>
      <c r="X70" s="6"/>
      <c r="Y70" s="6"/>
      <c r="Z70" s="6"/>
      <c r="AA70" s="6"/>
      <c r="AB70" s="6"/>
    </row>
    <row r="71" ht="15.75" customHeight="1">
      <c r="A71" s="130"/>
      <c r="B71" s="2"/>
      <c r="C71" s="132"/>
      <c r="D71" s="132"/>
      <c r="E71" s="132"/>
      <c r="F71" s="132"/>
      <c r="G71" s="6"/>
      <c r="H71" s="6"/>
      <c r="I71" s="6"/>
      <c r="J71" s="6"/>
      <c r="K71" s="131"/>
      <c r="L71" s="131"/>
      <c r="M71" s="131"/>
      <c r="N71" s="131"/>
      <c r="O71" s="6"/>
      <c r="P71" s="6"/>
      <c r="Q71" s="6"/>
      <c r="R71" s="6"/>
      <c r="S71" s="6"/>
      <c r="T71" s="6"/>
      <c r="U71" s="6"/>
      <c r="V71" s="6"/>
      <c r="W71" s="6"/>
      <c r="X71" s="6"/>
      <c r="Y71" s="6"/>
      <c r="Z71" s="6"/>
      <c r="AA71" s="6"/>
      <c r="AB71" s="6"/>
    </row>
    <row r="72" ht="15.75" customHeight="1">
      <c r="A72" s="130"/>
      <c r="B72" s="2"/>
      <c r="C72" s="132"/>
      <c r="D72" s="132"/>
      <c r="E72" s="132"/>
      <c r="F72" s="132"/>
      <c r="G72" s="6"/>
      <c r="H72" s="6"/>
      <c r="I72" s="6"/>
      <c r="J72" s="6"/>
      <c r="K72" s="131"/>
      <c r="L72" s="131"/>
      <c r="M72" s="131"/>
      <c r="N72" s="131"/>
      <c r="O72" s="6"/>
      <c r="P72" s="6"/>
      <c r="Q72" s="6"/>
      <c r="R72" s="6"/>
      <c r="S72" s="6"/>
      <c r="T72" s="6"/>
      <c r="U72" s="6"/>
      <c r="V72" s="6"/>
      <c r="W72" s="6"/>
      <c r="X72" s="6"/>
      <c r="Y72" s="6"/>
      <c r="Z72" s="6"/>
      <c r="AA72" s="6"/>
      <c r="AB72" s="6"/>
    </row>
    <row r="73" ht="15.75" customHeight="1">
      <c r="A73" s="130"/>
      <c r="B73" s="2"/>
      <c r="C73" s="132"/>
      <c r="D73" s="132"/>
      <c r="E73" s="132"/>
      <c r="F73" s="132"/>
      <c r="G73" s="6"/>
      <c r="H73" s="6"/>
      <c r="I73" s="6"/>
      <c r="J73" s="6"/>
      <c r="K73" s="131"/>
      <c r="L73" s="131"/>
      <c r="M73" s="131"/>
      <c r="N73" s="131"/>
      <c r="O73" s="6"/>
      <c r="P73" s="6"/>
      <c r="Q73" s="6"/>
      <c r="R73" s="6"/>
      <c r="S73" s="6"/>
      <c r="T73" s="6"/>
      <c r="U73" s="6"/>
      <c r="V73" s="6"/>
      <c r="W73" s="6"/>
      <c r="X73" s="6"/>
      <c r="Y73" s="6"/>
      <c r="Z73" s="6"/>
      <c r="AA73" s="6"/>
      <c r="AB73" s="6"/>
    </row>
    <row r="74" ht="15.75" customHeight="1">
      <c r="A74" s="130"/>
      <c r="B74" s="2"/>
      <c r="C74" s="132"/>
      <c r="D74" s="132"/>
      <c r="E74" s="132"/>
      <c r="F74" s="132"/>
      <c r="G74" s="6"/>
      <c r="H74" s="6"/>
      <c r="I74" s="6"/>
      <c r="J74" s="6"/>
      <c r="K74" s="131"/>
      <c r="L74" s="131"/>
      <c r="M74" s="131"/>
      <c r="N74" s="131"/>
      <c r="O74" s="6"/>
      <c r="P74" s="6"/>
      <c r="Q74" s="6"/>
      <c r="R74" s="6"/>
      <c r="S74" s="6"/>
      <c r="T74" s="6"/>
      <c r="U74" s="6"/>
      <c r="V74" s="6"/>
      <c r="W74" s="6"/>
      <c r="X74" s="6"/>
      <c r="Y74" s="6"/>
      <c r="Z74" s="6"/>
      <c r="AA74" s="6"/>
      <c r="AB74" s="6"/>
    </row>
    <row r="75" ht="15.75" customHeight="1">
      <c r="A75" s="130"/>
      <c r="B75" s="2"/>
      <c r="C75" s="132"/>
      <c r="D75" s="132"/>
      <c r="E75" s="132"/>
      <c r="F75" s="132"/>
      <c r="G75" s="6"/>
      <c r="H75" s="6"/>
      <c r="I75" s="6"/>
      <c r="J75" s="6"/>
      <c r="K75" s="131"/>
      <c r="L75" s="131"/>
      <c r="M75" s="131"/>
      <c r="N75" s="131"/>
      <c r="O75" s="6"/>
      <c r="P75" s="6"/>
      <c r="Q75" s="6"/>
      <c r="R75" s="6"/>
      <c r="S75" s="6"/>
      <c r="T75" s="6"/>
      <c r="U75" s="6"/>
      <c r="V75" s="6"/>
      <c r="W75" s="6"/>
      <c r="X75" s="6"/>
      <c r="Y75" s="6"/>
      <c r="Z75" s="6"/>
      <c r="AA75" s="6"/>
      <c r="AB75" s="6"/>
    </row>
    <row r="76" ht="15.75" customHeight="1">
      <c r="A76" s="130"/>
      <c r="B76" s="2"/>
      <c r="C76" s="132"/>
      <c r="D76" s="132"/>
      <c r="E76" s="132"/>
      <c r="F76" s="132"/>
      <c r="G76" s="6"/>
      <c r="H76" s="6"/>
      <c r="I76" s="6"/>
      <c r="J76" s="6"/>
      <c r="K76" s="131"/>
      <c r="L76" s="131"/>
      <c r="M76" s="131"/>
      <c r="N76" s="131"/>
      <c r="O76" s="6"/>
      <c r="P76" s="6"/>
      <c r="Q76" s="6"/>
      <c r="R76" s="6"/>
      <c r="S76" s="6"/>
      <c r="T76" s="6"/>
      <c r="U76" s="6"/>
      <c r="V76" s="6"/>
      <c r="W76" s="6"/>
      <c r="X76" s="6"/>
      <c r="Y76" s="6"/>
      <c r="Z76" s="6"/>
      <c r="AA76" s="6"/>
      <c r="AB76" s="6"/>
    </row>
    <row r="77" ht="15.75" customHeight="1">
      <c r="A77" s="130"/>
      <c r="B77" s="2"/>
      <c r="C77" s="132"/>
      <c r="D77" s="132"/>
      <c r="E77" s="132"/>
      <c r="F77" s="132"/>
      <c r="G77" s="6"/>
      <c r="H77" s="6"/>
      <c r="I77" s="6"/>
      <c r="J77" s="6"/>
      <c r="K77" s="131"/>
      <c r="L77" s="131"/>
      <c r="M77" s="131"/>
      <c r="N77" s="131"/>
      <c r="O77" s="6"/>
      <c r="P77" s="6"/>
      <c r="Q77" s="6"/>
      <c r="R77" s="6"/>
      <c r="S77" s="6"/>
      <c r="T77" s="6"/>
      <c r="U77" s="6"/>
      <c r="V77" s="6"/>
      <c r="W77" s="6"/>
      <c r="X77" s="6"/>
      <c r="Y77" s="6"/>
      <c r="Z77" s="6"/>
      <c r="AA77" s="6"/>
      <c r="AB77" s="6"/>
    </row>
    <row r="78" ht="15.75" customHeight="1">
      <c r="A78" s="130"/>
      <c r="B78" s="2"/>
      <c r="C78" s="132"/>
      <c r="D78" s="132"/>
      <c r="E78" s="132"/>
      <c r="F78" s="132"/>
      <c r="G78" s="6"/>
      <c r="H78" s="6"/>
      <c r="I78" s="6"/>
      <c r="J78" s="6"/>
      <c r="K78" s="131"/>
      <c r="L78" s="131"/>
      <c r="M78" s="131"/>
      <c r="N78" s="131"/>
      <c r="O78" s="6"/>
      <c r="P78" s="6"/>
      <c r="Q78" s="6"/>
      <c r="R78" s="6"/>
      <c r="S78" s="6"/>
      <c r="T78" s="6"/>
      <c r="U78" s="6"/>
      <c r="V78" s="6"/>
      <c r="W78" s="6"/>
      <c r="X78" s="6"/>
      <c r="Y78" s="6"/>
      <c r="Z78" s="6"/>
      <c r="AA78" s="6"/>
      <c r="AB78" s="6"/>
    </row>
    <row r="79" ht="15.75" customHeight="1">
      <c r="A79" s="130"/>
      <c r="B79" s="2"/>
      <c r="C79" s="132"/>
      <c r="D79" s="132"/>
      <c r="E79" s="132"/>
      <c r="F79" s="132"/>
      <c r="G79" s="6"/>
      <c r="H79" s="6"/>
      <c r="I79" s="6"/>
      <c r="J79" s="6"/>
      <c r="K79" s="131"/>
      <c r="L79" s="131"/>
      <c r="M79" s="131"/>
      <c r="N79" s="131"/>
      <c r="O79" s="6"/>
      <c r="P79" s="6"/>
      <c r="Q79" s="6"/>
      <c r="R79" s="6"/>
      <c r="S79" s="6"/>
      <c r="T79" s="6"/>
      <c r="U79" s="6"/>
      <c r="V79" s="6"/>
      <c r="W79" s="6"/>
      <c r="X79" s="6"/>
      <c r="Y79" s="6"/>
      <c r="Z79" s="6"/>
      <c r="AA79" s="6"/>
      <c r="AB79" s="6"/>
    </row>
    <row r="80" ht="15.75" customHeight="1">
      <c r="A80" s="130"/>
      <c r="B80" s="2"/>
      <c r="C80" s="132"/>
      <c r="D80" s="132"/>
      <c r="E80" s="132"/>
      <c r="F80" s="132"/>
      <c r="G80" s="6"/>
      <c r="H80" s="6"/>
      <c r="I80" s="6"/>
      <c r="J80" s="6"/>
      <c r="K80" s="131"/>
      <c r="L80" s="131"/>
      <c r="M80" s="131"/>
      <c r="N80" s="131"/>
      <c r="O80" s="6"/>
      <c r="P80" s="6"/>
      <c r="Q80" s="6"/>
      <c r="R80" s="6"/>
      <c r="S80" s="6"/>
      <c r="T80" s="6"/>
      <c r="U80" s="6"/>
      <c r="V80" s="6"/>
      <c r="W80" s="6"/>
      <c r="X80" s="6"/>
      <c r="Y80" s="6"/>
      <c r="Z80" s="6"/>
      <c r="AA80" s="6"/>
      <c r="AB80" s="6"/>
    </row>
    <row r="81" ht="15.75" customHeight="1">
      <c r="A81" s="130"/>
      <c r="B81" s="2"/>
      <c r="C81" s="132"/>
      <c r="D81" s="132"/>
      <c r="E81" s="132"/>
      <c r="F81" s="132"/>
      <c r="G81" s="6"/>
      <c r="H81" s="6"/>
      <c r="I81" s="6"/>
      <c r="J81" s="6"/>
      <c r="K81" s="131"/>
      <c r="L81" s="131"/>
      <c r="M81" s="131"/>
      <c r="N81" s="131"/>
      <c r="O81" s="6"/>
      <c r="P81" s="6"/>
      <c r="Q81" s="6"/>
      <c r="R81" s="6"/>
      <c r="S81" s="6"/>
      <c r="T81" s="6"/>
      <c r="U81" s="6"/>
      <c r="V81" s="6"/>
      <c r="W81" s="6"/>
      <c r="X81" s="6"/>
      <c r="Y81" s="6"/>
      <c r="Z81" s="6"/>
      <c r="AA81" s="6"/>
      <c r="AB81" s="6"/>
    </row>
    <row r="82" ht="15.75" customHeight="1">
      <c r="A82" s="130"/>
      <c r="B82" s="2"/>
      <c r="C82" s="132"/>
      <c r="D82" s="132"/>
      <c r="E82" s="132"/>
      <c r="F82" s="132"/>
      <c r="G82" s="6"/>
      <c r="H82" s="6"/>
      <c r="I82" s="6"/>
      <c r="J82" s="6"/>
      <c r="K82" s="131"/>
      <c r="L82" s="131"/>
      <c r="M82" s="131"/>
      <c r="N82" s="131"/>
      <c r="O82" s="6"/>
      <c r="P82" s="6"/>
      <c r="Q82" s="6"/>
      <c r="R82" s="6"/>
      <c r="S82" s="6"/>
      <c r="T82" s="6"/>
      <c r="U82" s="6"/>
      <c r="V82" s="6"/>
      <c r="W82" s="6"/>
      <c r="X82" s="6"/>
      <c r="Y82" s="6"/>
      <c r="Z82" s="6"/>
      <c r="AA82" s="6"/>
      <c r="AB82" s="6"/>
    </row>
    <row r="83" ht="15.75" customHeight="1">
      <c r="A83" s="130"/>
      <c r="B83" s="2"/>
      <c r="C83" s="132"/>
      <c r="D83" s="132"/>
      <c r="E83" s="132"/>
      <c r="F83" s="132"/>
      <c r="G83" s="6"/>
      <c r="H83" s="6"/>
      <c r="I83" s="6"/>
      <c r="J83" s="6"/>
      <c r="K83" s="131"/>
      <c r="L83" s="131"/>
      <c r="M83" s="131"/>
      <c r="N83" s="131"/>
      <c r="O83" s="6"/>
      <c r="P83" s="6"/>
      <c r="Q83" s="6"/>
      <c r="R83" s="6"/>
      <c r="S83" s="6"/>
      <c r="T83" s="6"/>
      <c r="U83" s="6"/>
      <c r="V83" s="6"/>
      <c r="W83" s="6"/>
      <c r="X83" s="6"/>
      <c r="Y83" s="6"/>
      <c r="Z83" s="6"/>
      <c r="AA83" s="6"/>
      <c r="AB83" s="6"/>
    </row>
    <row r="84" ht="15.75" customHeight="1">
      <c r="A84" s="130"/>
      <c r="B84" s="2"/>
      <c r="C84" s="132"/>
      <c r="D84" s="132"/>
      <c r="E84" s="132"/>
      <c r="F84" s="132"/>
      <c r="G84" s="6"/>
      <c r="H84" s="6"/>
      <c r="I84" s="6"/>
      <c r="J84" s="6"/>
      <c r="K84" s="131"/>
      <c r="L84" s="131"/>
      <c r="M84" s="131"/>
      <c r="N84" s="131"/>
      <c r="O84" s="6"/>
      <c r="P84" s="6"/>
      <c r="Q84" s="6"/>
      <c r="R84" s="6"/>
      <c r="S84" s="6"/>
      <c r="T84" s="6"/>
      <c r="U84" s="6"/>
      <c r="V84" s="6"/>
      <c r="W84" s="6"/>
      <c r="X84" s="6"/>
      <c r="Y84" s="6"/>
      <c r="Z84" s="6"/>
      <c r="AA84" s="6"/>
      <c r="AB84" s="6"/>
    </row>
    <row r="85" ht="15.75" customHeight="1">
      <c r="A85" s="130"/>
      <c r="B85" s="2"/>
      <c r="C85" s="132"/>
      <c r="D85" s="132"/>
      <c r="E85" s="132"/>
      <c r="F85" s="132"/>
      <c r="G85" s="6"/>
      <c r="H85" s="6"/>
      <c r="I85" s="6"/>
      <c r="J85" s="6"/>
      <c r="K85" s="131"/>
      <c r="L85" s="131"/>
      <c r="M85" s="131"/>
      <c r="N85" s="131"/>
      <c r="O85" s="6"/>
      <c r="P85" s="6"/>
      <c r="Q85" s="6"/>
      <c r="R85" s="6"/>
      <c r="S85" s="6"/>
      <c r="T85" s="6"/>
      <c r="U85" s="6"/>
      <c r="V85" s="6"/>
      <c r="W85" s="6"/>
      <c r="X85" s="6"/>
      <c r="Y85" s="6"/>
      <c r="Z85" s="6"/>
      <c r="AA85" s="6"/>
      <c r="AB85" s="6"/>
    </row>
    <row r="86" ht="15.75" customHeight="1">
      <c r="A86" s="130"/>
      <c r="B86" s="2"/>
      <c r="C86" s="132"/>
      <c r="D86" s="132"/>
      <c r="E86" s="132"/>
      <c r="F86" s="132"/>
      <c r="G86" s="6"/>
      <c r="H86" s="6"/>
      <c r="I86" s="6"/>
      <c r="J86" s="6"/>
      <c r="K86" s="131"/>
      <c r="L86" s="131"/>
      <c r="M86" s="131"/>
      <c r="N86" s="131"/>
      <c r="O86" s="6"/>
      <c r="P86" s="6"/>
      <c r="Q86" s="6"/>
      <c r="R86" s="6"/>
      <c r="S86" s="6"/>
      <c r="T86" s="6"/>
      <c r="U86" s="6"/>
      <c r="V86" s="6"/>
      <c r="W86" s="6"/>
      <c r="X86" s="6"/>
      <c r="Y86" s="6"/>
      <c r="Z86" s="6"/>
      <c r="AA86" s="6"/>
      <c r="AB86" s="6"/>
    </row>
    <row r="87" ht="15.75" customHeight="1">
      <c r="A87" s="130"/>
      <c r="B87" s="2"/>
      <c r="C87" s="132"/>
      <c r="D87" s="132"/>
      <c r="E87" s="132"/>
      <c r="F87" s="132"/>
      <c r="G87" s="6"/>
      <c r="H87" s="6"/>
      <c r="I87" s="6"/>
      <c r="J87" s="6"/>
      <c r="K87" s="131"/>
      <c r="L87" s="131"/>
      <c r="M87" s="131"/>
      <c r="N87" s="131"/>
      <c r="O87" s="6"/>
      <c r="P87" s="6"/>
      <c r="Q87" s="6"/>
      <c r="R87" s="6"/>
      <c r="S87" s="6"/>
      <c r="T87" s="6"/>
      <c r="U87" s="6"/>
      <c r="V87" s="6"/>
      <c r="W87" s="6"/>
      <c r="X87" s="6"/>
      <c r="Y87" s="6"/>
      <c r="Z87" s="6"/>
      <c r="AA87" s="6"/>
      <c r="AB87" s="6"/>
    </row>
    <row r="88" ht="15.75" customHeight="1">
      <c r="A88" s="130"/>
      <c r="B88" s="2"/>
      <c r="C88" s="132"/>
      <c r="D88" s="132"/>
      <c r="E88" s="132"/>
      <c r="F88" s="132"/>
      <c r="G88" s="6"/>
      <c r="H88" s="6"/>
      <c r="I88" s="6"/>
      <c r="J88" s="6"/>
      <c r="K88" s="131"/>
      <c r="L88" s="131"/>
      <c r="M88" s="131"/>
      <c r="N88" s="6"/>
      <c r="O88" s="6"/>
      <c r="P88" s="6"/>
      <c r="Q88" s="6"/>
      <c r="R88" s="6"/>
      <c r="S88" s="6"/>
      <c r="T88" s="6"/>
      <c r="U88" s="6"/>
      <c r="V88" s="6"/>
      <c r="W88" s="6"/>
      <c r="X88" s="6"/>
      <c r="Y88" s="6"/>
      <c r="Z88" s="6"/>
      <c r="AA88" s="6"/>
      <c r="AB88" s="6"/>
    </row>
    <row r="89" ht="15.75" customHeight="1">
      <c r="A89" s="130"/>
      <c r="B89" s="2"/>
      <c r="C89" s="132"/>
      <c r="D89" s="132"/>
      <c r="E89" s="132"/>
      <c r="F89" s="132"/>
      <c r="G89" s="6"/>
      <c r="H89" s="6"/>
      <c r="I89" s="6"/>
      <c r="J89" s="6"/>
      <c r="K89" s="131"/>
      <c r="L89" s="131"/>
      <c r="M89" s="131"/>
      <c r="N89" s="6"/>
      <c r="O89" s="6"/>
      <c r="P89" s="6"/>
      <c r="Q89" s="6"/>
      <c r="R89" s="6"/>
      <c r="S89" s="6"/>
      <c r="T89" s="6"/>
      <c r="U89" s="6"/>
      <c r="V89" s="6"/>
      <c r="W89" s="6"/>
      <c r="X89" s="6"/>
      <c r="Y89" s="6"/>
      <c r="Z89" s="6"/>
      <c r="AA89" s="6"/>
      <c r="AB89" s="6"/>
    </row>
    <row r="90" ht="15.75" customHeight="1">
      <c r="A90" s="130"/>
      <c r="B90" s="2"/>
      <c r="C90" s="132"/>
      <c r="D90" s="132"/>
      <c r="E90" s="132"/>
      <c r="F90" s="132"/>
      <c r="G90" s="6"/>
      <c r="H90" s="6"/>
      <c r="I90" s="6"/>
      <c r="J90" s="6"/>
      <c r="K90" s="131"/>
      <c r="L90" s="131"/>
      <c r="M90" s="131"/>
      <c r="N90" s="6"/>
      <c r="O90" s="6"/>
      <c r="P90" s="6"/>
      <c r="Q90" s="6"/>
      <c r="R90" s="6"/>
      <c r="S90" s="6"/>
      <c r="T90" s="6"/>
      <c r="U90" s="6"/>
      <c r="V90" s="6"/>
      <c r="W90" s="6"/>
      <c r="X90" s="6"/>
      <c r="Y90" s="6"/>
      <c r="Z90" s="6"/>
      <c r="AA90" s="6"/>
      <c r="AB90" s="6"/>
    </row>
    <row r="91" ht="15.75" customHeight="1">
      <c r="A91" s="130"/>
      <c r="B91" s="2"/>
      <c r="C91" s="132"/>
      <c r="D91" s="132"/>
      <c r="E91" s="132"/>
      <c r="F91" s="132"/>
      <c r="G91" s="6"/>
      <c r="H91" s="6"/>
      <c r="I91" s="6"/>
      <c r="J91" s="6"/>
      <c r="K91" s="131"/>
      <c r="L91" s="131"/>
      <c r="M91" s="131"/>
      <c r="N91" s="6"/>
      <c r="O91" s="6"/>
      <c r="P91" s="6"/>
      <c r="Q91" s="6"/>
      <c r="R91" s="6"/>
      <c r="S91" s="6"/>
      <c r="T91" s="6"/>
      <c r="U91" s="6"/>
      <c r="V91" s="6"/>
      <c r="W91" s="6"/>
      <c r="X91" s="6"/>
      <c r="Y91" s="6"/>
      <c r="Z91" s="6"/>
      <c r="AA91" s="6"/>
      <c r="AB91" s="6"/>
    </row>
    <row r="92" ht="15.75" customHeight="1">
      <c r="A92" s="130"/>
      <c r="B92" s="2"/>
      <c r="C92" s="132"/>
      <c r="D92" s="132"/>
      <c r="E92" s="132"/>
      <c r="F92" s="132"/>
      <c r="G92" s="6"/>
      <c r="H92" s="6"/>
      <c r="I92" s="6"/>
      <c r="J92" s="6"/>
      <c r="K92" s="131"/>
      <c r="L92" s="131"/>
      <c r="M92" s="131"/>
      <c r="N92" s="6"/>
      <c r="O92" s="6"/>
      <c r="P92" s="6"/>
      <c r="Q92" s="6"/>
      <c r="R92" s="6"/>
      <c r="S92" s="6"/>
      <c r="T92" s="6"/>
      <c r="U92" s="6"/>
      <c r="V92" s="6"/>
      <c r="W92" s="6"/>
      <c r="X92" s="6"/>
      <c r="Y92" s="6"/>
      <c r="Z92" s="6"/>
      <c r="AA92" s="6"/>
      <c r="AB92" s="6"/>
    </row>
    <row r="93" ht="15.75" customHeight="1">
      <c r="A93" s="130"/>
      <c r="B93" s="2"/>
      <c r="C93" s="132"/>
      <c r="D93" s="132"/>
      <c r="E93" s="132"/>
      <c r="F93" s="132"/>
      <c r="G93" s="6"/>
      <c r="H93" s="6"/>
      <c r="I93" s="6"/>
      <c r="J93" s="6"/>
      <c r="K93" s="131"/>
      <c r="L93" s="131"/>
      <c r="M93" s="131"/>
      <c r="N93" s="6"/>
      <c r="O93" s="6"/>
      <c r="P93" s="6"/>
      <c r="Q93" s="6"/>
      <c r="R93" s="6"/>
      <c r="S93" s="6"/>
      <c r="T93" s="6"/>
      <c r="U93" s="6"/>
      <c r="V93" s="6"/>
      <c r="W93" s="6"/>
      <c r="X93" s="6"/>
      <c r="Y93" s="6"/>
      <c r="Z93" s="6"/>
      <c r="AA93" s="6"/>
      <c r="AB93" s="6"/>
    </row>
    <row r="94" ht="15.75" customHeight="1">
      <c r="A94" s="130"/>
      <c r="B94" s="2"/>
      <c r="C94" s="132"/>
      <c r="D94" s="132"/>
      <c r="E94" s="132"/>
      <c r="F94" s="132"/>
      <c r="G94" s="6"/>
      <c r="H94" s="6"/>
      <c r="I94" s="6"/>
      <c r="J94" s="6"/>
      <c r="K94" s="131"/>
      <c r="L94" s="131"/>
      <c r="M94" s="131"/>
      <c r="N94" s="6"/>
      <c r="O94" s="6"/>
      <c r="P94" s="6"/>
      <c r="Q94" s="6"/>
      <c r="R94" s="6"/>
      <c r="S94" s="6"/>
      <c r="T94" s="6"/>
      <c r="U94" s="6"/>
      <c r="V94" s="6"/>
      <c r="W94" s="6"/>
      <c r="X94" s="6"/>
      <c r="Y94" s="6"/>
      <c r="Z94" s="6"/>
      <c r="AA94" s="6"/>
      <c r="AB94" s="6"/>
    </row>
    <row r="95" ht="15.75" customHeight="1">
      <c r="A95" s="130"/>
      <c r="B95" s="2"/>
      <c r="C95" s="132"/>
      <c r="D95" s="132"/>
      <c r="E95" s="132"/>
      <c r="F95" s="132"/>
      <c r="G95" s="6"/>
      <c r="H95" s="6"/>
      <c r="I95" s="6"/>
      <c r="J95" s="6"/>
      <c r="K95" s="131"/>
      <c r="L95" s="131"/>
      <c r="M95" s="131"/>
      <c r="N95" s="6"/>
      <c r="O95" s="6"/>
      <c r="P95" s="6"/>
      <c r="Q95" s="6"/>
      <c r="R95" s="6"/>
      <c r="S95" s="6"/>
      <c r="T95" s="6"/>
      <c r="U95" s="6"/>
      <c r="V95" s="6"/>
      <c r="W95" s="6"/>
      <c r="X95" s="6"/>
      <c r="Y95" s="6"/>
      <c r="Z95" s="6"/>
      <c r="AA95" s="6"/>
      <c r="AB95" s="6"/>
    </row>
    <row r="96" ht="15.75" customHeight="1">
      <c r="A96" s="130"/>
      <c r="B96" s="2"/>
      <c r="C96" s="132"/>
      <c r="D96" s="132"/>
      <c r="E96" s="132"/>
      <c r="F96" s="132"/>
      <c r="G96" s="6"/>
      <c r="H96" s="6"/>
      <c r="I96" s="6"/>
      <c r="J96" s="6"/>
      <c r="K96" s="131"/>
      <c r="L96" s="131"/>
      <c r="M96" s="131"/>
      <c r="N96" s="6"/>
      <c r="O96" s="6"/>
      <c r="P96" s="6"/>
      <c r="Q96" s="6"/>
      <c r="R96" s="6"/>
      <c r="S96" s="6"/>
      <c r="T96" s="6"/>
      <c r="U96" s="6"/>
      <c r="V96" s="6"/>
      <c r="W96" s="6"/>
      <c r="X96" s="6"/>
      <c r="Y96" s="6"/>
      <c r="Z96" s="6"/>
      <c r="AA96" s="6"/>
      <c r="AB96" s="6"/>
    </row>
    <row r="97" ht="15.75" customHeight="1">
      <c r="A97" s="130"/>
      <c r="B97" s="2"/>
      <c r="C97" s="132"/>
      <c r="D97" s="132"/>
      <c r="E97" s="132"/>
      <c r="F97" s="132"/>
      <c r="G97" s="6"/>
      <c r="H97" s="6"/>
      <c r="I97" s="6"/>
      <c r="J97" s="6"/>
      <c r="K97" s="131"/>
      <c r="L97" s="131"/>
      <c r="M97" s="131"/>
      <c r="N97" s="6"/>
      <c r="O97" s="6"/>
      <c r="P97" s="6"/>
      <c r="Q97" s="6"/>
      <c r="R97" s="6"/>
      <c r="S97" s="6"/>
      <c r="T97" s="6"/>
      <c r="U97" s="6"/>
      <c r="V97" s="6"/>
      <c r="W97" s="6"/>
      <c r="X97" s="6"/>
      <c r="Y97" s="6"/>
      <c r="Z97" s="6"/>
      <c r="AA97" s="6"/>
      <c r="AB97" s="6"/>
    </row>
    <row r="98" ht="15.75" customHeight="1">
      <c r="A98" s="130"/>
      <c r="B98" s="2"/>
      <c r="C98" s="132"/>
      <c r="D98" s="132"/>
      <c r="E98" s="132"/>
      <c r="F98" s="132"/>
      <c r="G98" s="6"/>
      <c r="H98" s="6"/>
      <c r="I98" s="6"/>
      <c r="J98" s="6"/>
      <c r="K98" s="131"/>
      <c r="L98" s="131"/>
      <c r="M98" s="131"/>
      <c r="N98" s="6"/>
      <c r="O98" s="6"/>
      <c r="P98" s="6"/>
      <c r="Q98" s="6"/>
      <c r="R98" s="6"/>
      <c r="S98" s="6"/>
      <c r="T98" s="6"/>
      <c r="U98" s="6"/>
      <c r="V98" s="6"/>
      <c r="W98" s="6"/>
      <c r="X98" s="6"/>
      <c r="Y98" s="6"/>
      <c r="Z98" s="6"/>
      <c r="AA98" s="6"/>
      <c r="AB98" s="6"/>
    </row>
    <row r="99" ht="15.75" customHeight="1">
      <c r="A99" s="130"/>
      <c r="B99" s="2"/>
      <c r="C99" s="132"/>
      <c r="D99" s="132"/>
      <c r="E99" s="132"/>
      <c r="F99" s="132"/>
      <c r="G99" s="6"/>
      <c r="H99" s="6"/>
      <c r="I99" s="6"/>
      <c r="J99" s="6"/>
      <c r="K99" s="131"/>
      <c r="L99" s="131"/>
      <c r="M99" s="131"/>
      <c r="N99" s="6"/>
      <c r="O99" s="6"/>
      <c r="P99" s="6"/>
      <c r="Q99" s="6"/>
      <c r="R99" s="6"/>
      <c r="S99" s="6"/>
      <c r="T99" s="6"/>
      <c r="U99" s="6"/>
      <c r="V99" s="6"/>
      <c r="W99" s="6"/>
      <c r="X99" s="6"/>
      <c r="Y99" s="6"/>
      <c r="Z99" s="6"/>
      <c r="AA99" s="6"/>
      <c r="AB99" s="6"/>
    </row>
    <row r="100" ht="15.75" customHeight="1">
      <c r="A100" s="130"/>
      <c r="B100" s="2"/>
      <c r="C100" s="132"/>
      <c r="D100" s="132"/>
      <c r="E100" s="132"/>
      <c r="F100" s="132"/>
      <c r="G100" s="6"/>
      <c r="H100" s="6"/>
      <c r="I100" s="6"/>
      <c r="J100" s="6"/>
      <c r="K100" s="131"/>
      <c r="L100" s="131"/>
      <c r="M100" s="131"/>
      <c r="N100" s="6"/>
      <c r="O100" s="6"/>
      <c r="P100" s="6"/>
      <c r="Q100" s="6"/>
      <c r="R100" s="6"/>
      <c r="S100" s="6"/>
      <c r="T100" s="6"/>
      <c r="U100" s="6"/>
      <c r="V100" s="6"/>
      <c r="W100" s="6"/>
      <c r="X100" s="6"/>
      <c r="Y100" s="6"/>
      <c r="Z100" s="6"/>
      <c r="AA100" s="6"/>
      <c r="AB100" s="6"/>
    </row>
    <row r="101" ht="15.75" customHeight="1">
      <c r="A101" s="130"/>
      <c r="B101" s="2"/>
      <c r="C101" s="132"/>
      <c r="D101" s="132"/>
      <c r="E101" s="132"/>
      <c r="F101" s="132"/>
      <c r="G101" s="6"/>
      <c r="H101" s="6"/>
      <c r="I101" s="6"/>
      <c r="J101" s="6"/>
      <c r="K101" s="131"/>
      <c r="L101" s="131"/>
      <c r="M101" s="131"/>
      <c r="N101" s="6"/>
      <c r="O101" s="6"/>
      <c r="P101" s="6"/>
      <c r="Q101" s="6"/>
      <c r="R101" s="6"/>
      <c r="S101" s="6"/>
      <c r="T101" s="6"/>
      <c r="U101" s="6"/>
      <c r="V101" s="6"/>
      <c r="W101" s="6"/>
      <c r="X101" s="6"/>
      <c r="Y101" s="6"/>
      <c r="Z101" s="6"/>
      <c r="AA101" s="6"/>
      <c r="AB101" s="6"/>
    </row>
    <row r="102" ht="15.75" customHeight="1">
      <c r="A102" s="130"/>
      <c r="B102" s="2"/>
      <c r="C102" s="132"/>
      <c r="D102" s="132"/>
      <c r="E102" s="132"/>
      <c r="F102" s="132"/>
      <c r="G102" s="6"/>
      <c r="H102" s="6"/>
      <c r="I102" s="6"/>
      <c r="J102" s="6"/>
      <c r="K102" s="131"/>
      <c r="L102" s="131"/>
      <c r="M102" s="131"/>
      <c r="N102" s="6"/>
      <c r="O102" s="6"/>
      <c r="P102" s="6"/>
      <c r="Q102" s="6"/>
      <c r="R102" s="6"/>
      <c r="S102" s="6"/>
      <c r="T102" s="6"/>
      <c r="U102" s="6"/>
      <c r="V102" s="6"/>
      <c r="W102" s="6"/>
      <c r="X102" s="6"/>
      <c r="Y102" s="6"/>
      <c r="Z102" s="6"/>
      <c r="AA102" s="6"/>
      <c r="AB102" s="6"/>
    </row>
    <row r="103" ht="15.75" customHeight="1">
      <c r="A103" s="130"/>
      <c r="B103" s="2"/>
      <c r="C103" s="132"/>
      <c r="D103" s="132"/>
      <c r="E103" s="132"/>
      <c r="F103" s="132"/>
      <c r="G103" s="6"/>
      <c r="H103" s="6"/>
      <c r="I103" s="6"/>
      <c r="J103" s="6"/>
      <c r="K103" s="131"/>
      <c r="L103" s="131"/>
      <c r="M103" s="131"/>
      <c r="N103" s="6"/>
      <c r="O103" s="6"/>
      <c r="P103" s="6"/>
      <c r="Q103" s="6"/>
      <c r="R103" s="6"/>
      <c r="S103" s="6"/>
      <c r="T103" s="6"/>
      <c r="U103" s="6"/>
      <c r="V103" s="6"/>
      <c r="W103" s="6"/>
      <c r="X103" s="6"/>
      <c r="Y103" s="6"/>
      <c r="Z103" s="6"/>
      <c r="AA103" s="6"/>
      <c r="AB103" s="6"/>
    </row>
    <row r="104" ht="15.75" customHeight="1">
      <c r="A104" s="130"/>
      <c r="B104" s="2"/>
      <c r="C104" s="132"/>
      <c r="D104" s="132"/>
      <c r="E104" s="132"/>
      <c r="F104" s="132"/>
      <c r="G104" s="6"/>
      <c r="H104" s="6"/>
      <c r="I104" s="6"/>
      <c r="J104" s="6"/>
      <c r="K104" s="131"/>
      <c r="L104" s="131"/>
      <c r="M104" s="131"/>
      <c r="N104" s="6"/>
      <c r="O104" s="6"/>
      <c r="P104" s="6"/>
      <c r="Q104" s="6"/>
      <c r="R104" s="6"/>
      <c r="S104" s="6"/>
      <c r="T104" s="6"/>
      <c r="U104" s="6"/>
      <c r="V104" s="6"/>
      <c r="W104" s="6"/>
      <c r="X104" s="6"/>
      <c r="Y104" s="6"/>
      <c r="Z104" s="6"/>
      <c r="AA104" s="6"/>
      <c r="AB104" s="6"/>
    </row>
    <row r="105" ht="15.75" customHeight="1">
      <c r="A105" s="130"/>
      <c r="B105" s="2"/>
      <c r="C105" s="132"/>
      <c r="D105" s="132"/>
      <c r="E105" s="132"/>
      <c r="F105" s="132"/>
      <c r="G105" s="6"/>
      <c r="H105" s="6"/>
      <c r="I105" s="6"/>
      <c r="J105" s="6"/>
      <c r="K105" s="131"/>
      <c r="L105" s="131"/>
      <c r="M105" s="131"/>
      <c r="N105" s="6"/>
      <c r="O105" s="6"/>
      <c r="P105" s="6"/>
      <c r="Q105" s="6"/>
      <c r="R105" s="6"/>
      <c r="S105" s="6"/>
      <c r="T105" s="6"/>
      <c r="U105" s="6"/>
      <c r="V105" s="6"/>
      <c r="W105" s="6"/>
      <c r="X105" s="6"/>
      <c r="Y105" s="6"/>
      <c r="Z105" s="6"/>
      <c r="AA105" s="6"/>
      <c r="AB105" s="6"/>
    </row>
    <row r="106" ht="15.75" customHeight="1">
      <c r="A106" s="130"/>
      <c r="B106" s="2"/>
      <c r="C106" s="132"/>
      <c r="D106" s="132"/>
      <c r="E106" s="132"/>
      <c r="F106" s="132"/>
      <c r="G106" s="6"/>
      <c r="H106" s="6"/>
      <c r="I106" s="6"/>
      <c r="J106" s="6"/>
      <c r="K106" s="131"/>
      <c r="L106" s="131"/>
      <c r="M106" s="131"/>
      <c r="N106" s="6"/>
      <c r="O106" s="6"/>
      <c r="P106" s="6"/>
      <c r="Q106" s="6"/>
      <c r="R106" s="6"/>
      <c r="S106" s="6"/>
      <c r="T106" s="6"/>
      <c r="U106" s="6"/>
      <c r="V106" s="6"/>
      <c r="W106" s="6"/>
      <c r="X106" s="6"/>
      <c r="Y106" s="6"/>
      <c r="Z106" s="6"/>
      <c r="AA106" s="6"/>
      <c r="AB106" s="6"/>
    </row>
    <row r="107" ht="15.75" customHeight="1">
      <c r="A107" s="130"/>
      <c r="B107" s="2"/>
      <c r="C107" s="132"/>
      <c r="D107" s="132"/>
      <c r="E107" s="132"/>
      <c r="F107" s="132"/>
      <c r="G107" s="6"/>
      <c r="H107" s="6"/>
      <c r="I107" s="6"/>
      <c r="J107" s="6"/>
      <c r="K107" s="131"/>
      <c r="L107" s="131"/>
      <c r="M107" s="131"/>
      <c r="N107" s="6"/>
      <c r="O107" s="6"/>
      <c r="P107" s="6"/>
      <c r="Q107" s="6"/>
      <c r="R107" s="6"/>
      <c r="S107" s="6"/>
      <c r="T107" s="6"/>
      <c r="U107" s="6"/>
      <c r="V107" s="6"/>
      <c r="W107" s="6"/>
      <c r="X107" s="6"/>
      <c r="Y107" s="6"/>
      <c r="Z107" s="6"/>
      <c r="AA107" s="6"/>
      <c r="AB107" s="6"/>
    </row>
    <row r="108" ht="15.75" customHeight="1">
      <c r="A108" s="130"/>
      <c r="B108" s="2"/>
      <c r="C108" s="132"/>
      <c r="D108" s="132"/>
      <c r="E108" s="132"/>
      <c r="F108" s="132"/>
      <c r="G108" s="6"/>
      <c r="H108" s="6"/>
      <c r="I108" s="6"/>
      <c r="J108" s="6"/>
      <c r="K108" s="131"/>
      <c r="L108" s="131"/>
      <c r="M108" s="131"/>
      <c r="N108" s="6"/>
      <c r="O108" s="6"/>
      <c r="P108" s="6"/>
      <c r="Q108" s="6"/>
      <c r="R108" s="6"/>
      <c r="S108" s="6"/>
      <c r="T108" s="6"/>
      <c r="U108" s="6"/>
      <c r="V108" s="6"/>
      <c r="W108" s="6"/>
      <c r="X108" s="6"/>
      <c r="Y108" s="6"/>
      <c r="Z108" s="6"/>
      <c r="AA108" s="6"/>
      <c r="AB108" s="6"/>
    </row>
    <row r="109" ht="15.75" customHeight="1">
      <c r="A109" s="130"/>
      <c r="B109" s="2"/>
      <c r="C109" s="132"/>
      <c r="D109" s="132"/>
      <c r="E109" s="132"/>
      <c r="F109" s="132"/>
      <c r="G109" s="6"/>
      <c r="H109" s="6"/>
      <c r="I109" s="6"/>
      <c r="J109" s="6"/>
      <c r="K109" s="131"/>
      <c r="L109" s="131"/>
      <c r="M109" s="131"/>
      <c r="N109" s="6"/>
      <c r="O109" s="6"/>
      <c r="P109" s="6"/>
      <c r="Q109" s="6"/>
      <c r="R109" s="6"/>
      <c r="S109" s="6"/>
      <c r="T109" s="6"/>
      <c r="U109" s="6"/>
      <c r="V109" s="6"/>
      <c r="W109" s="6"/>
      <c r="X109" s="6"/>
      <c r="Y109" s="6"/>
      <c r="Z109" s="6"/>
      <c r="AA109" s="6"/>
      <c r="AB109" s="6"/>
    </row>
    <row r="110" ht="15.75" customHeight="1">
      <c r="A110" s="130"/>
      <c r="B110" s="2"/>
      <c r="C110" s="132"/>
      <c r="D110" s="132"/>
      <c r="E110" s="132"/>
      <c r="F110" s="132"/>
      <c r="G110" s="6"/>
      <c r="H110" s="6"/>
      <c r="I110" s="6"/>
      <c r="J110" s="6"/>
      <c r="K110" s="131"/>
      <c r="L110" s="131"/>
      <c r="M110" s="131"/>
      <c r="N110" s="6"/>
      <c r="O110" s="6"/>
      <c r="P110" s="6"/>
      <c r="Q110" s="6"/>
      <c r="R110" s="6"/>
      <c r="S110" s="6"/>
      <c r="T110" s="6"/>
      <c r="U110" s="6"/>
      <c r="V110" s="6"/>
      <c r="W110" s="6"/>
      <c r="X110" s="6"/>
      <c r="Y110" s="6"/>
      <c r="Z110" s="6"/>
      <c r="AA110" s="6"/>
      <c r="AB110" s="6"/>
    </row>
    <row r="111" ht="15.75" customHeight="1">
      <c r="A111" s="130"/>
      <c r="B111" s="2"/>
      <c r="C111" s="132"/>
      <c r="D111" s="132"/>
      <c r="E111" s="132"/>
      <c r="F111" s="132"/>
      <c r="G111" s="6"/>
      <c r="H111" s="6"/>
      <c r="I111" s="6"/>
      <c r="J111" s="6"/>
      <c r="K111" s="131"/>
      <c r="L111" s="131"/>
      <c r="M111" s="131"/>
      <c r="N111" s="6"/>
      <c r="O111" s="6"/>
      <c r="P111" s="6"/>
      <c r="Q111" s="6"/>
      <c r="R111" s="6"/>
      <c r="S111" s="6"/>
      <c r="T111" s="6"/>
      <c r="U111" s="6"/>
      <c r="V111" s="6"/>
      <c r="W111" s="6"/>
      <c r="X111" s="6"/>
      <c r="Y111" s="6"/>
      <c r="Z111" s="6"/>
      <c r="AA111" s="6"/>
      <c r="AB111" s="6"/>
    </row>
    <row r="112" ht="15.75" customHeight="1">
      <c r="A112" s="130"/>
      <c r="B112" s="2"/>
      <c r="C112" s="132"/>
      <c r="D112" s="132"/>
      <c r="E112" s="132"/>
      <c r="F112" s="132"/>
      <c r="G112" s="6"/>
      <c r="H112" s="6"/>
      <c r="I112" s="6"/>
      <c r="J112" s="6"/>
      <c r="K112" s="131"/>
      <c r="L112" s="131"/>
      <c r="M112" s="131"/>
      <c r="N112" s="6"/>
      <c r="O112" s="6"/>
      <c r="P112" s="6"/>
      <c r="Q112" s="6"/>
      <c r="R112" s="6"/>
      <c r="S112" s="6"/>
      <c r="T112" s="6"/>
      <c r="U112" s="6"/>
      <c r="V112" s="6"/>
      <c r="W112" s="6"/>
      <c r="X112" s="6"/>
      <c r="Y112" s="6"/>
      <c r="Z112" s="6"/>
      <c r="AA112" s="6"/>
      <c r="AB112" s="6"/>
    </row>
    <row r="113" ht="15.75" customHeight="1">
      <c r="A113" s="130"/>
      <c r="B113" s="2"/>
      <c r="C113" s="132"/>
      <c r="D113" s="132"/>
      <c r="E113" s="132"/>
      <c r="F113" s="132"/>
      <c r="G113" s="6"/>
      <c r="H113" s="6"/>
      <c r="I113" s="6"/>
      <c r="J113" s="6"/>
      <c r="K113" s="131"/>
      <c r="L113" s="131"/>
      <c r="M113" s="131"/>
      <c r="N113" s="6"/>
      <c r="O113" s="6"/>
      <c r="P113" s="6"/>
      <c r="Q113" s="6"/>
      <c r="R113" s="6"/>
      <c r="S113" s="6"/>
      <c r="T113" s="6"/>
      <c r="U113" s="6"/>
      <c r="V113" s="6"/>
      <c r="W113" s="6"/>
      <c r="X113" s="6"/>
      <c r="Y113" s="6"/>
      <c r="Z113" s="6"/>
      <c r="AA113" s="6"/>
      <c r="AB113" s="6"/>
    </row>
    <row r="114" ht="15.75" customHeight="1">
      <c r="A114" s="130"/>
      <c r="B114" s="2"/>
      <c r="C114" s="132"/>
      <c r="D114" s="132"/>
      <c r="E114" s="132"/>
      <c r="F114" s="132"/>
      <c r="G114" s="6"/>
      <c r="H114" s="6"/>
      <c r="I114" s="6"/>
      <c r="J114" s="6"/>
      <c r="K114" s="131"/>
      <c r="L114" s="131"/>
      <c r="M114" s="131"/>
      <c r="N114" s="6"/>
      <c r="O114" s="6"/>
      <c r="P114" s="6"/>
      <c r="Q114" s="6"/>
      <c r="R114" s="6"/>
      <c r="S114" s="6"/>
      <c r="T114" s="6"/>
      <c r="U114" s="6"/>
      <c r="V114" s="6"/>
      <c r="W114" s="6"/>
      <c r="X114" s="6"/>
      <c r="Y114" s="6"/>
      <c r="Z114" s="6"/>
      <c r="AA114" s="6"/>
      <c r="AB114" s="6"/>
    </row>
    <row r="115" ht="15.75" customHeight="1">
      <c r="A115" s="130"/>
      <c r="B115" s="2"/>
      <c r="C115" s="132"/>
      <c r="D115" s="132"/>
      <c r="E115" s="132"/>
      <c r="F115" s="132"/>
      <c r="G115" s="6"/>
      <c r="H115" s="6"/>
      <c r="I115" s="6"/>
      <c r="J115" s="6"/>
      <c r="K115" s="131"/>
      <c r="L115" s="131"/>
      <c r="M115" s="131"/>
      <c r="N115" s="6"/>
      <c r="O115" s="6"/>
      <c r="P115" s="6"/>
      <c r="Q115" s="6"/>
      <c r="R115" s="6"/>
      <c r="S115" s="6"/>
      <c r="T115" s="6"/>
      <c r="U115" s="6"/>
      <c r="V115" s="6"/>
      <c r="W115" s="6"/>
      <c r="X115" s="6"/>
      <c r="Y115" s="6"/>
      <c r="Z115" s="6"/>
      <c r="AA115" s="6"/>
      <c r="AB115" s="6"/>
    </row>
    <row r="116" ht="15.75" customHeight="1">
      <c r="A116" s="130"/>
      <c r="B116" s="2"/>
      <c r="C116" s="132"/>
      <c r="D116" s="132"/>
      <c r="E116" s="132"/>
      <c r="F116" s="132"/>
      <c r="G116" s="6"/>
      <c r="H116" s="6"/>
      <c r="I116" s="6"/>
      <c r="J116" s="6"/>
      <c r="K116" s="131"/>
      <c r="L116" s="131"/>
      <c r="M116" s="131"/>
      <c r="N116" s="6"/>
      <c r="O116" s="6"/>
      <c r="P116" s="6"/>
      <c r="Q116" s="6"/>
      <c r="R116" s="6"/>
      <c r="S116" s="6"/>
      <c r="T116" s="6"/>
      <c r="U116" s="6"/>
      <c r="V116" s="6"/>
      <c r="W116" s="6"/>
      <c r="X116" s="6"/>
      <c r="Y116" s="6"/>
      <c r="Z116" s="6"/>
      <c r="AA116" s="6"/>
      <c r="AB116" s="6"/>
    </row>
    <row r="117" ht="15.75" customHeight="1">
      <c r="A117" s="130"/>
      <c r="B117" s="2"/>
      <c r="C117" s="132"/>
      <c r="D117" s="132"/>
      <c r="E117" s="132"/>
      <c r="F117" s="132"/>
      <c r="G117" s="6"/>
      <c r="H117" s="6"/>
      <c r="I117" s="6"/>
      <c r="J117" s="6"/>
      <c r="K117" s="131"/>
      <c r="L117" s="131"/>
      <c r="M117" s="131"/>
      <c r="N117" s="6"/>
      <c r="O117" s="6"/>
      <c r="P117" s="6"/>
      <c r="Q117" s="6"/>
      <c r="R117" s="6"/>
      <c r="S117" s="6"/>
      <c r="T117" s="6"/>
      <c r="U117" s="6"/>
      <c r="V117" s="6"/>
      <c r="W117" s="6"/>
      <c r="X117" s="6"/>
      <c r="Y117" s="6"/>
      <c r="Z117" s="6"/>
      <c r="AA117" s="6"/>
      <c r="AB117" s="6"/>
    </row>
    <row r="118" ht="15.75" customHeight="1">
      <c r="A118" s="130"/>
      <c r="B118" s="2"/>
      <c r="C118" s="132"/>
      <c r="D118" s="132"/>
      <c r="E118" s="132"/>
      <c r="F118" s="132"/>
      <c r="G118" s="6"/>
      <c r="H118" s="6"/>
      <c r="I118" s="6"/>
      <c r="J118" s="6"/>
      <c r="K118" s="131"/>
      <c r="L118" s="131"/>
      <c r="M118" s="131"/>
      <c r="N118" s="6"/>
      <c r="O118" s="6"/>
      <c r="P118" s="6"/>
      <c r="Q118" s="6"/>
      <c r="R118" s="6"/>
      <c r="S118" s="6"/>
      <c r="T118" s="6"/>
      <c r="U118" s="6"/>
      <c r="V118" s="6"/>
      <c r="W118" s="6"/>
      <c r="X118" s="6"/>
      <c r="Y118" s="6"/>
      <c r="Z118" s="6"/>
      <c r="AA118" s="6"/>
      <c r="AB118" s="6"/>
    </row>
    <row r="119" ht="15.75" customHeight="1">
      <c r="A119" s="130"/>
      <c r="B119" s="2"/>
      <c r="C119" s="132"/>
      <c r="D119" s="132"/>
      <c r="E119" s="132"/>
      <c r="F119" s="132"/>
      <c r="G119" s="6"/>
      <c r="H119" s="6"/>
      <c r="I119" s="6"/>
      <c r="J119" s="6"/>
      <c r="K119" s="131"/>
      <c r="L119" s="131"/>
      <c r="M119" s="131"/>
      <c r="N119" s="6"/>
      <c r="O119" s="6"/>
      <c r="P119" s="6"/>
      <c r="Q119" s="6"/>
      <c r="R119" s="6"/>
      <c r="S119" s="6"/>
      <c r="T119" s="6"/>
      <c r="U119" s="6"/>
      <c r="V119" s="6"/>
      <c r="W119" s="6"/>
      <c r="X119" s="6"/>
      <c r="Y119" s="6"/>
      <c r="Z119" s="6"/>
      <c r="AA119" s="6"/>
      <c r="AB119" s="6"/>
    </row>
    <row r="120" ht="15.75" customHeight="1">
      <c r="A120" s="130"/>
      <c r="B120" s="2"/>
      <c r="C120" s="132"/>
      <c r="D120" s="132"/>
      <c r="E120" s="132"/>
      <c r="F120" s="132"/>
      <c r="G120" s="6"/>
      <c r="H120" s="6"/>
      <c r="I120" s="6"/>
      <c r="J120" s="6"/>
      <c r="K120" s="131"/>
      <c r="L120" s="131"/>
      <c r="M120" s="131"/>
      <c r="N120" s="6"/>
      <c r="O120" s="6"/>
      <c r="P120" s="6"/>
      <c r="Q120" s="6"/>
      <c r="R120" s="6"/>
      <c r="S120" s="6"/>
      <c r="T120" s="6"/>
      <c r="U120" s="6"/>
      <c r="V120" s="6"/>
      <c r="W120" s="6"/>
      <c r="X120" s="6"/>
      <c r="Y120" s="6"/>
      <c r="Z120" s="6"/>
      <c r="AA120" s="6"/>
      <c r="AB120" s="6"/>
    </row>
    <row r="121" ht="15.75" customHeight="1">
      <c r="A121" s="130"/>
      <c r="B121" s="2"/>
      <c r="C121" s="132"/>
      <c r="D121" s="132"/>
      <c r="E121" s="132"/>
      <c r="F121" s="132"/>
      <c r="G121" s="6"/>
      <c r="H121" s="6"/>
      <c r="I121" s="6"/>
      <c r="J121" s="6"/>
      <c r="K121" s="131"/>
      <c r="L121" s="131"/>
      <c r="M121" s="131"/>
      <c r="N121" s="6"/>
      <c r="O121" s="6"/>
      <c r="P121" s="6"/>
      <c r="Q121" s="6"/>
      <c r="R121" s="6"/>
      <c r="S121" s="6"/>
      <c r="T121" s="6"/>
      <c r="U121" s="6"/>
      <c r="V121" s="6"/>
      <c r="W121" s="6"/>
      <c r="X121" s="6"/>
      <c r="Y121" s="6"/>
      <c r="Z121" s="6"/>
      <c r="AA121" s="6"/>
      <c r="AB121" s="6"/>
    </row>
    <row r="122" ht="15.75" customHeight="1">
      <c r="A122" s="130"/>
      <c r="B122" s="2"/>
      <c r="C122" s="132"/>
      <c r="D122" s="132"/>
      <c r="E122" s="132"/>
      <c r="F122" s="132"/>
      <c r="G122" s="6"/>
      <c r="H122" s="6"/>
      <c r="I122" s="6"/>
      <c r="J122" s="6"/>
      <c r="K122" s="131"/>
      <c r="L122" s="131"/>
      <c r="M122" s="131"/>
      <c r="N122" s="6"/>
      <c r="O122" s="6"/>
      <c r="P122" s="6"/>
      <c r="Q122" s="6"/>
      <c r="R122" s="6"/>
      <c r="S122" s="6"/>
      <c r="T122" s="6"/>
      <c r="U122" s="6"/>
      <c r="V122" s="6"/>
      <c r="W122" s="6"/>
      <c r="X122" s="6"/>
      <c r="Y122" s="6"/>
      <c r="Z122" s="6"/>
      <c r="AA122" s="6"/>
      <c r="AB122" s="6"/>
    </row>
    <row r="123" ht="15.75" customHeight="1">
      <c r="A123" s="130"/>
      <c r="B123" s="2"/>
      <c r="C123" s="132"/>
      <c r="D123" s="132"/>
      <c r="E123" s="132"/>
      <c r="F123" s="132"/>
      <c r="G123" s="6"/>
      <c r="H123" s="6"/>
      <c r="I123" s="6"/>
      <c r="J123" s="6"/>
      <c r="K123" s="131"/>
      <c r="L123" s="131"/>
      <c r="M123" s="131"/>
      <c r="N123" s="6"/>
      <c r="O123" s="6"/>
      <c r="P123" s="6"/>
      <c r="Q123" s="6"/>
      <c r="R123" s="6"/>
      <c r="S123" s="6"/>
      <c r="T123" s="6"/>
      <c r="U123" s="6"/>
      <c r="V123" s="6"/>
      <c r="W123" s="6"/>
      <c r="X123" s="6"/>
      <c r="Y123" s="6"/>
      <c r="Z123" s="6"/>
      <c r="AA123" s="6"/>
      <c r="AB123" s="6"/>
    </row>
    <row r="124" ht="15.75" customHeight="1">
      <c r="A124" s="130"/>
      <c r="B124" s="2"/>
      <c r="C124" s="132"/>
      <c r="D124" s="132"/>
      <c r="E124" s="132"/>
      <c r="F124" s="132"/>
      <c r="G124" s="6"/>
      <c r="H124" s="6"/>
      <c r="I124" s="6"/>
      <c r="J124" s="6"/>
      <c r="K124" s="131"/>
      <c r="L124" s="131"/>
      <c r="M124" s="131"/>
      <c r="N124" s="6"/>
      <c r="O124" s="6"/>
      <c r="P124" s="6"/>
      <c r="Q124" s="6"/>
      <c r="R124" s="6"/>
      <c r="S124" s="6"/>
      <c r="T124" s="6"/>
      <c r="U124" s="6"/>
      <c r="V124" s="6"/>
      <c r="W124" s="6"/>
      <c r="X124" s="6"/>
      <c r="Y124" s="6"/>
      <c r="Z124" s="6"/>
      <c r="AA124" s="6"/>
      <c r="AB124" s="6"/>
    </row>
    <row r="125" ht="15.75" customHeight="1">
      <c r="A125" s="130"/>
      <c r="B125" s="2"/>
      <c r="C125" s="132"/>
      <c r="D125" s="132"/>
      <c r="E125" s="132"/>
      <c r="F125" s="132"/>
      <c r="G125" s="6"/>
      <c r="H125" s="6"/>
      <c r="I125" s="6"/>
      <c r="J125" s="6"/>
      <c r="K125" s="131"/>
      <c r="L125" s="131"/>
      <c r="M125" s="131"/>
      <c r="N125" s="6"/>
      <c r="O125" s="6"/>
      <c r="P125" s="6"/>
      <c r="Q125" s="6"/>
      <c r="R125" s="6"/>
      <c r="S125" s="6"/>
      <c r="T125" s="6"/>
      <c r="U125" s="6"/>
      <c r="V125" s="6"/>
      <c r="W125" s="6"/>
      <c r="X125" s="6"/>
      <c r="Y125" s="6"/>
      <c r="Z125" s="6"/>
      <c r="AA125" s="6"/>
      <c r="AB125" s="6"/>
    </row>
    <row r="126" ht="15.75" customHeight="1">
      <c r="A126" s="130"/>
      <c r="B126" s="2"/>
      <c r="C126" s="132"/>
      <c r="D126" s="132"/>
      <c r="E126" s="132"/>
      <c r="F126" s="132"/>
      <c r="G126" s="6"/>
      <c r="H126" s="6"/>
      <c r="I126" s="6"/>
      <c r="J126" s="6"/>
      <c r="K126" s="131"/>
      <c r="L126" s="131"/>
      <c r="M126" s="131"/>
      <c r="N126" s="131"/>
      <c r="O126" s="6"/>
      <c r="P126" s="6"/>
      <c r="Q126" s="6"/>
      <c r="R126" s="6"/>
      <c r="S126" s="6"/>
      <c r="T126" s="6"/>
      <c r="U126" s="6"/>
      <c r="V126" s="6"/>
      <c r="W126" s="6"/>
      <c r="X126" s="6"/>
      <c r="Y126" s="6"/>
      <c r="Z126" s="6"/>
      <c r="AA126" s="6"/>
      <c r="AB126" s="6"/>
    </row>
    <row r="127" ht="15.75" customHeight="1">
      <c r="A127" s="130"/>
      <c r="B127" s="2"/>
      <c r="C127" s="132"/>
      <c r="D127" s="132"/>
      <c r="E127" s="132"/>
      <c r="F127" s="132"/>
      <c r="G127" s="6"/>
      <c r="H127" s="6"/>
      <c r="I127" s="6"/>
      <c r="J127" s="6"/>
      <c r="K127" s="131"/>
      <c r="L127" s="131"/>
      <c r="M127" s="131"/>
      <c r="N127" s="131"/>
      <c r="O127" s="6"/>
      <c r="P127" s="6"/>
      <c r="Q127" s="6"/>
      <c r="R127" s="6"/>
      <c r="S127" s="6"/>
      <c r="T127" s="6"/>
      <c r="U127" s="6"/>
      <c r="V127" s="6"/>
      <c r="W127" s="6"/>
      <c r="X127" s="6"/>
      <c r="Y127" s="6"/>
      <c r="Z127" s="6"/>
      <c r="AA127" s="6"/>
      <c r="AB127" s="6"/>
    </row>
    <row r="128" ht="15.75" customHeight="1">
      <c r="A128" s="130"/>
      <c r="B128" s="2"/>
      <c r="C128" s="132"/>
      <c r="D128" s="132"/>
      <c r="E128" s="132"/>
      <c r="F128" s="132"/>
      <c r="G128" s="6"/>
      <c r="H128" s="6"/>
      <c r="I128" s="6"/>
      <c r="J128" s="6"/>
      <c r="K128" s="131"/>
      <c r="L128" s="131"/>
      <c r="M128" s="131"/>
      <c r="N128" s="131"/>
      <c r="O128" s="6"/>
      <c r="P128" s="6"/>
      <c r="Q128" s="6"/>
      <c r="R128" s="6"/>
      <c r="S128" s="6"/>
      <c r="T128" s="6"/>
      <c r="U128" s="6"/>
      <c r="V128" s="6"/>
      <c r="W128" s="6"/>
      <c r="X128" s="6"/>
      <c r="Y128" s="6"/>
      <c r="Z128" s="6"/>
      <c r="AA128" s="6"/>
      <c r="AB128" s="6"/>
    </row>
    <row r="129" ht="15.75" customHeight="1">
      <c r="A129" s="130"/>
      <c r="B129" s="2"/>
      <c r="C129" s="132"/>
      <c r="D129" s="132"/>
      <c r="E129" s="132"/>
      <c r="F129" s="132"/>
      <c r="G129" s="6"/>
      <c r="H129" s="6"/>
      <c r="I129" s="6"/>
      <c r="J129" s="6"/>
      <c r="K129" s="131"/>
      <c r="L129" s="131"/>
      <c r="M129" s="131"/>
      <c r="N129" s="131"/>
      <c r="O129" s="6"/>
      <c r="P129" s="6"/>
      <c r="Q129" s="6"/>
      <c r="R129" s="6"/>
      <c r="S129" s="6"/>
      <c r="T129" s="6"/>
      <c r="U129" s="6"/>
      <c r="V129" s="6"/>
      <c r="W129" s="6"/>
      <c r="X129" s="6"/>
      <c r="Y129" s="6"/>
      <c r="Z129" s="6"/>
      <c r="AA129" s="6"/>
      <c r="AB129" s="6"/>
    </row>
    <row r="130" ht="15.75" customHeight="1">
      <c r="A130" s="130"/>
      <c r="B130" s="2"/>
      <c r="C130" s="132"/>
      <c r="D130" s="132"/>
      <c r="E130" s="132"/>
      <c r="F130" s="132"/>
      <c r="G130" s="6"/>
      <c r="H130" s="6"/>
      <c r="I130" s="6"/>
      <c r="J130" s="6"/>
      <c r="K130" s="131"/>
      <c r="L130" s="131"/>
      <c r="M130" s="131"/>
      <c r="N130" s="131"/>
      <c r="O130" s="6"/>
      <c r="P130" s="6"/>
      <c r="Q130" s="6"/>
      <c r="R130" s="6"/>
      <c r="S130" s="6"/>
      <c r="T130" s="6"/>
      <c r="U130" s="6"/>
      <c r="V130" s="6"/>
      <c r="W130" s="6"/>
      <c r="X130" s="6"/>
      <c r="Y130" s="6"/>
      <c r="Z130" s="6"/>
      <c r="AA130" s="6"/>
      <c r="AB130" s="6"/>
    </row>
    <row r="131" ht="15.75" customHeight="1">
      <c r="A131" s="130"/>
      <c r="B131" s="2"/>
      <c r="C131" s="132"/>
      <c r="D131" s="132"/>
      <c r="E131" s="132"/>
      <c r="F131" s="132"/>
      <c r="G131" s="6"/>
      <c r="H131" s="6"/>
      <c r="I131" s="6"/>
      <c r="J131" s="6"/>
      <c r="K131" s="131"/>
      <c r="L131" s="131"/>
      <c r="M131" s="131"/>
      <c r="N131" s="131"/>
      <c r="O131" s="6"/>
      <c r="P131" s="6"/>
      <c r="Q131" s="6"/>
      <c r="R131" s="6"/>
      <c r="S131" s="6"/>
      <c r="T131" s="6"/>
      <c r="U131" s="6"/>
      <c r="V131" s="6"/>
      <c r="W131" s="6"/>
      <c r="X131" s="6"/>
      <c r="Y131" s="6"/>
      <c r="Z131" s="6"/>
      <c r="AA131" s="6"/>
      <c r="AB131" s="6"/>
    </row>
    <row r="132" ht="15.75" customHeight="1">
      <c r="A132" s="130"/>
      <c r="B132" s="2"/>
      <c r="C132" s="132"/>
      <c r="D132" s="132"/>
      <c r="E132" s="132"/>
      <c r="F132" s="132"/>
      <c r="G132" s="6"/>
      <c r="H132" s="6"/>
      <c r="I132" s="6"/>
      <c r="J132" s="6"/>
      <c r="K132" s="131"/>
      <c r="L132" s="131"/>
      <c r="M132" s="131"/>
      <c r="N132" s="131"/>
      <c r="O132" s="6"/>
      <c r="P132" s="6"/>
      <c r="Q132" s="6"/>
      <c r="R132" s="6"/>
      <c r="S132" s="6"/>
      <c r="T132" s="6"/>
      <c r="U132" s="6"/>
      <c r="V132" s="6"/>
      <c r="W132" s="6"/>
      <c r="X132" s="6"/>
      <c r="Y132" s="6"/>
      <c r="Z132" s="6"/>
      <c r="AA132" s="6"/>
      <c r="AB132" s="6"/>
    </row>
    <row r="133" ht="15.75" customHeight="1">
      <c r="A133" s="130"/>
      <c r="B133" s="2"/>
      <c r="C133" s="132"/>
      <c r="D133" s="132"/>
      <c r="E133" s="132"/>
      <c r="F133" s="132"/>
      <c r="G133" s="6"/>
      <c r="H133" s="6"/>
      <c r="I133" s="6"/>
      <c r="J133" s="6"/>
      <c r="K133" s="131"/>
      <c r="L133" s="131"/>
      <c r="M133" s="131"/>
      <c r="N133" s="131"/>
      <c r="O133" s="6"/>
      <c r="P133" s="6"/>
      <c r="Q133" s="6"/>
      <c r="R133" s="6"/>
      <c r="S133" s="6"/>
      <c r="T133" s="6"/>
      <c r="U133" s="6"/>
      <c r="V133" s="6"/>
      <c r="W133" s="6"/>
      <c r="X133" s="6"/>
      <c r="Y133" s="6"/>
      <c r="Z133" s="6"/>
      <c r="AA133" s="6"/>
      <c r="AB133" s="6"/>
    </row>
    <row r="134" ht="15.75" customHeight="1">
      <c r="A134" s="130"/>
      <c r="B134" s="2"/>
      <c r="C134" s="132"/>
      <c r="D134" s="132"/>
      <c r="E134" s="132"/>
      <c r="F134" s="132"/>
      <c r="G134" s="6"/>
      <c r="H134" s="6"/>
      <c r="I134" s="6"/>
      <c r="J134" s="6"/>
      <c r="K134" s="131"/>
      <c r="L134" s="131"/>
      <c r="M134" s="131"/>
      <c r="N134" s="131"/>
      <c r="O134" s="6"/>
      <c r="P134" s="6"/>
      <c r="Q134" s="6"/>
      <c r="R134" s="6"/>
      <c r="S134" s="6"/>
      <c r="T134" s="6"/>
      <c r="U134" s="6"/>
      <c r="V134" s="6"/>
      <c r="W134" s="6"/>
      <c r="X134" s="6"/>
      <c r="Y134" s="6"/>
      <c r="Z134" s="6"/>
      <c r="AA134" s="6"/>
      <c r="AB134" s="6"/>
    </row>
    <row r="135" ht="15.75" customHeight="1">
      <c r="A135" s="130"/>
      <c r="B135" s="2"/>
      <c r="C135" s="132"/>
      <c r="D135" s="132"/>
      <c r="E135" s="132"/>
      <c r="F135" s="132"/>
      <c r="G135" s="6"/>
      <c r="H135" s="6"/>
      <c r="I135" s="6"/>
      <c r="J135" s="6"/>
      <c r="K135" s="131"/>
      <c r="L135" s="131"/>
      <c r="M135" s="131"/>
      <c r="N135" s="131"/>
      <c r="O135" s="6"/>
      <c r="P135" s="6"/>
      <c r="Q135" s="6"/>
      <c r="R135" s="6"/>
      <c r="S135" s="6"/>
      <c r="T135" s="6"/>
      <c r="U135" s="6"/>
      <c r="V135" s="6"/>
      <c r="W135" s="6"/>
      <c r="X135" s="6"/>
      <c r="Y135" s="6"/>
      <c r="Z135" s="6"/>
      <c r="AA135" s="6"/>
      <c r="AB135" s="6"/>
    </row>
    <row r="136" ht="15.75" customHeight="1">
      <c r="A136" s="130"/>
      <c r="B136" s="2"/>
      <c r="C136" s="132"/>
      <c r="D136" s="132"/>
      <c r="E136" s="132"/>
      <c r="F136" s="132"/>
      <c r="G136" s="6"/>
      <c r="H136" s="6"/>
      <c r="I136" s="6"/>
      <c r="J136" s="6"/>
      <c r="K136" s="131"/>
      <c r="L136" s="131"/>
      <c r="M136" s="131"/>
      <c r="N136" s="131"/>
      <c r="O136" s="6"/>
      <c r="P136" s="6"/>
      <c r="Q136" s="6"/>
      <c r="R136" s="6"/>
      <c r="S136" s="6"/>
      <c r="T136" s="6"/>
      <c r="U136" s="6"/>
      <c r="V136" s="6"/>
      <c r="W136" s="6"/>
      <c r="X136" s="6"/>
      <c r="Y136" s="6"/>
      <c r="Z136" s="6"/>
      <c r="AA136" s="6"/>
      <c r="AB136" s="6"/>
    </row>
    <row r="137" ht="15.75" customHeight="1">
      <c r="A137" s="130"/>
      <c r="B137" s="2"/>
      <c r="C137" s="132"/>
      <c r="D137" s="132"/>
      <c r="E137" s="132"/>
      <c r="F137" s="132"/>
      <c r="G137" s="6"/>
      <c r="H137" s="6"/>
      <c r="I137" s="6"/>
      <c r="J137" s="6"/>
      <c r="K137" s="131"/>
      <c r="L137" s="131"/>
      <c r="M137" s="131"/>
      <c r="N137" s="131"/>
      <c r="O137" s="6"/>
      <c r="P137" s="6"/>
      <c r="Q137" s="6"/>
      <c r="R137" s="6"/>
      <c r="S137" s="6"/>
      <c r="T137" s="6"/>
      <c r="U137" s="6"/>
      <c r="V137" s="6"/>
      <c r="W137" s="6"/>
      <c r="X137" s="6"/>
      <c r="Y137" s="6"/>
      <c r="Z137" s="6"/>
      <c r="AA137" s="6"/>
      <c r="AB137" s="6"/>
    </row>
    <row r="138" ht="15.75" customHeight="1">
      <c r="A138" s="130"/>
      <c r="B138" s="2"/>
      <c r="C138" s="132"/>
      <c r="D138" s="132"/>
      <c r="E138" s="132"/>
      <c r="F138" s="132"/>
      <c r="G138" s="6"/>
      <c r="H138" s="6"/>
      <c r="I138" s="6"/>
      <c r="J138" s="6"/>
      <c r="K138" s="131"/>
      <c r="L138" s="131"/>
      <c r="M138" s="131"/>
      <c r="N138" s="131"/>
      <c r="O138" s="6"/>
      <c r="P138" s="6"/>
      <c r="Q138" s="6"/>
      <c r="R138" s="6"/>
      <c r="S138" s="6"/>
      <c r="T138" s="6"/>
      <c r="U138" s="6"/>
      <c r="V138" s="6"/>
      <c r="W138" s="6"/>
      <c r="X138" s="6"/>
      <c r="Y138" s="6"/>
      <c r="Z138" s="6"/>
      <c r="AA138" s="6"/>
      <c r="AB138" s="6"/>
    </row>
    <row r="139" ht="15.75" customHeight="1">
      <c r="A139" s="130"/>
      <c r="B139" s="2"/>
      <c r="C139" s="132"/>
      <c r="D139" s="132"/>
      <c r="E139" s="132"/>
      <c r="F139" s="132"/>
      <c r="G139" s="6"/>
      <c r="H139" s="6"/>
      <c r="I139" s="6"/>
      <c r="J139" s="6"/>
      <c r="K139" s="131"/>
      <c r="L139" s="131"/>
      <c r="M139" s="131"/>
      <c r="N139" s="131"/>
      <c r="O139" s="6"/>
      <c r="P139" s="6"/>
      <c r="Q139" s="6"/>
      <c r="R139" s="6"/>
      <c r="S139" s="6"/>
      <c r="T139" s="6"/>
      <c r="U139" s="6"/>
      <c r="V139" s="6"/>
      <c r="W139" s="6"/>
      <c r="X139" s="6"/>
      <c r="Y139" s="6"/>
      <c r="Z139" s="6"/>
      <c r="AA139" s="6"/>
      <c r="AB139" s="6"/>
    </row>
    <row r="140" ht="15.75" customHeight="1">
      <c r="A140" s="130"/>
      <c r="B140" s="2"/>
      <c r="C140" s="132"/>
      <c r="D140" s="132"/>
      <c r="E140" s="132"/>
      <c r="F140" s="132"/>
      <c r="G140" s="6"/>
      <c r="H140" s="6"/>
      <c r="I140" s="6"/>
      <c r="J140" s="6"/>
      <c r="K140" s="131"/>
      <c r="L140" s="131"/>
      <c r="M140" s="131"/>
      <c r="N140" s="131"/>
      <c r="O140" s="6"/>
      <c r="P140" s="6"/>
      <c r="Q140" s="6"/>
      <c r="R140" s="6"/>
      <c r="S140" s="6"/>
      <c r="T140" s="6"/>
      <c r="U140" s="6"/>
      <c r="V140" s="6"/>
      <c r="W140" s="6"/>
      <c r="X140" s="6"/>
      <c r="Y140" s="6"/>
      <c r="Z140" s="6"/>
      <c r="AA140" s="6"/>
      <c r="AB140" s="6"/>
    </row>
    <row r="141" ht="15.75" customHeight="1">
      <c r="A141" s="130"/>
      <c r="B141" s="2"/>
      <c r="C141" s="132"/>
      <c r="D141" s="132"/>
      <c r="E141" s="132"/>
      <c r="F141" s="132"/>
      <c r="G141" s="6"/>
      <c r="H141" s="6"/>
      <c r="I141" s="6"/>
      <c r="J141" s="6"/>
      <c r="K141" s="131"/>
      <c r="L141" s="131"/>
      <c r="M141" s="131"/>
      <c r="N141" s="131"/>
      <c r="O141" s="6"/>
      <c r="P141" s="6"/>
      <c r="Q141" s="6"/>
      <c r="R141" s="6"/>
      <c r="S141" s="6"/>
      <c r="T141" s="6"/>
      <c r="U141" s="6"/>
      <c r="V141" s="6"/>
      <c r="W141" s="6"/>
      <c r="X141" s="6"/>
      <c r="Y141" s="6"/>
      <c r="Z141" s="6"/>
      <c r="AA141" s="6"/>
      <c r="AB141" s="6"/>
    </row>
    <row r="142" ht="15.75" customHeight="1">
      <c r="A142" s="130"/>
      <c r="B142" s="2"/>
      <c r="C142" s="132"/>
      <c r="D142" s="132"/>
      <c r="E142" s="132"/>
      <c r="F142" s="132"/>
      <c r="G142" s="6"/>
      <c r="H142" s="6"/>
      <c r="I142" s="6"/>
      <c r="J142" s="6"/>
      <c r="K142" s="131"/>
      <c r="L142" s="131"/>
      <c r="M142" s="131"/>
      <c r="N142" s="131"/>
      <c r="O142" s="6"/>
      <c r="P142" s="6"/>
      <c r="Q142" s="6"/>
      <c r="R142" s="6"/>
      <c r="S142" s="6"/>
      <c r="T142" s="6"/>
      <c r="U142" s="6"/>
      <c r="V142" s="6"/>
      <c r="W142" s="6"/>
      <c r="X142" s="6"/>
      <c r="Y142" s="6"/>
      <c r="Z142" s="6"/>
      <c r="AA142" s="6"/>
      <c r="AB142" s="6"/>
    </row>
    <row r="143" ht="15.75" customHeight="1">
      <c r="A143" s="130"/>
      <c r="B143" s="2"/>
      <c r="C143" s="132"/>
      <c r="D143" s="132"/>
      <c r="E143" s="132"/>
      <c r="F143" s="132"/>
      <c r="G143" s="6"/>
      <c r="H143" s="6"/>
      <c r="I143" s="6"/>
      <c r="J143" s="6"/>
      <c r="K143" s="131"/>
      <c r="L143" s="131"/>
      <c r="M143" s="131"/>
      <c r="N143" s="131"/>
      <c r="O143" s="6"/>
      <c r="P143" s="6"/>
      <c r="Q143" s="6"/>
      <c r="R143" s="6"/>
      <c r="S143" s="6"/>
      <c r="T143" s="6"/>
      <c r="U143" s="6"/>
      <c r="V143" s="6"/>
      <c r="W143" s="6"/>
      <c r="X143" s="6"/>
      <c r="Y143" s="6"/>
      <c r="Z143" s="6"/>
      <c r="AA143" s="6"/>
      <c r="AB143" s="6"/>
    </row>
    <row r="144" ht="15.75" customHeight="1">
      <c r="A144" s="130"/>
      <c r="B144" s="2"/>
      <c r="C144" s="132"/>
      <c r="D144" s="132"/>
      <c r="E144" s="132"/>
      <c r="F144" s="132"/>
      <c r="G144" s="6"/>
      <c r="H144" s="6"/>
      <c r="I144" s="6"/>
      <c r="J144" s="6"/>
      <c r="K144" s="131"/>
      <c r="L144" s="131"/>
      <c r="M144" s="131"/>
      <c r="N144" s="131"/>
      <c r="O144" s="6"/>
      <c r="P144" s="6"/>
      <c r="Q144" s="6"/>
      <c r="R144" s="6"/>
      <c r="S144" s="6"/>
      <c r="T144" s="6"/>
      <c r="U144" s="6"/>
      <c r="V144" s="6"/>
      <c r="W144" s="6"/>
      <c r="X144" s="6"/>
      <c r="Y144" s="6"/>
      <c r="Z144" s="6"/>
      <c r="AA144" s="6"/>
      <c r="AB144" s="6"/>
    </row>
    <row r="145" ht="15.75" customHeight="1">
      <c r="A145" s="130"/>
      <c r="B145" s="2"/>
      <c r="C145" s="132"/>
      <c r="D145" s="132"/>
      <c r="E145" s="132"/>
      <c r="F145" s="132"/>
      <c r="G145" s="6"/>
      <c r="H145" s="6"/>
      <c r="I145" s="6"/>
      <c r="J145" s="6"/>
      <c r="K145" s="131"/>
      <c r="L145" s="131"/>
      <c r="M145" s="131"/>
      <c r="N145" s="131"/>
      <c r="O145" s="6"/>
      <c r="P145" s="6"/>
      <c r="Q145" s="6"/>
      <c r="R145" s="6"/>
      <c r="S145" s="6"/>
      <c r="T145" s="6"/>
      <c r="U145" s="6"/>
      <c r="V145" s="6"/>
      <c r="W145" s="6"/>
      <c r="X145" s="6"/>
      <c r="Y145" s="6"/>
      <c r="Z145" s="6"/>
      <c r="AA145" s="6"/>
      <c r="AB145" s="6"/>
    </row>
    <row r="146" ht="15.75" customHeight="1">
      <c r="A146" s="130"/>
      <c r="B146" s="2"/>
      <c r="C146" s="132"/>
      <c r="D146" s="132"/>
      <c r="E146" s="132"/>
      <c r="F146" s="132"/>
      <c r="G146" s="6"/>
      <c r="H146" s="6"/>
      <c r="I146" s="6"/>
      <c r="J146" s="6"/>
      <c r="K146" s="131"/>
      <c r="L146" s="131"/>
      <c r="M146" s="131"/>
      <c r="N146" s="131"/>
      <c r="O146" s="6"/>
      <c r="P146" s="6"/>
      <c r="Q146" s="6"/>
      <c r="R146" s="6"/>
      <c r="S146" s="6"/>
      <c r="T146" s="6"/>
      <c r="U146" s="6"/>
      <c r="V146" s="6"/>
      <c r="W146" s="6"/>
      <c r="X146" s="6"/>
      <c r="Y146" s="6"/>
      <c r="Z146" s="6"/>
      <c r="AA146" s="6"/>
      <c r="AB146" s="6"/>
    </row>
    <row r="147" ht="15.75" customHeight="1">
      <c r="A147" s="130"/>
      <c r="B147" s="2"/>
      <c r="C147" s="132"/>
      <c r="D147" s="132"/>
      <c r="E147" s="132"/>
      <c r="F147" s="132"/>
      <c r="G147" s="6"/>
      <c r="H147" s="6"/>
      <c r="I147" s="6"/>
      <c r="J147" s="6"/>
      <c r="K147" s="131"/>
      <c r="L147" s="131"/>
      <c r="M147" s="131"/>
      <c r="N147" s="131"/>
      <c r="O147" s="6"/>
      <c r="P147" s="6"/>
      <c r="Q147" s="6"/>
      <c r="R147" s="6"/>
      <c r="S147" s="6"/>
      <c r="T147" s="6"/>
      <c r="U147" s="6"/>
      <c r="V147" s="6"/>
      <c r="W147" s="6"/>
      <c r="X147" s="6"/>
      <c r="Y147" s="6"/>
      <c r="Z147" s="6"/>
      <c r="AA147" s="6"/>
      <c r="AB147" s="6"/>
    </row>
    <row r="148" ht="15.75" customHeight="1">
      <c r="A148" s="130"/>
      <c r="B148" s="2"/>
      <c r="C148" s="132"/>
      <c r="D148" s="132"/>
      <c r="E148" s="132"/>
      <c r="F148" s="132"/>
      <c r="G148" s="6"/>
      <c r="H148" s="6"/>
      <c r="I148" s="6"/>
      <c r="J148" s="6"/>
      <c r="K148" s="131"/>
      <c r="L148" s="131"/>
      <c r="M148" s="131"/>
      <c r="N148" s="131"/>
      <c r="O148" s="6"/>
      <c r="P148" s="6"/>
      <c r="Q148" s="6"/>
      <c r="R148" s="6"/>
      <c r="S148" s="6"/>
      <c r="T148" s="6"/>
      <c r="U148" s="6"/>
      <c r="V148" s="6"/>
      <c r="W148" s="6"/>
      <c r="X148" s="6"/>
      <c r="Y148" s="6"/>
      <c r="Z148" s="6"/>
      <c r="AA148" s="6"/>
      <c r="AB148" s="6"/>
    </row>
    <row r="149" ht="15.75" customHeight="1">
      <c r="A149" s="130"/>
      <c r="B149" s="2"/>
      <c r="C149" s="132"/>
      <c r="D149" s="132"/>
      <c r="E149" s="132"/>
      <c r="F149" s="132"/>
      <c r="G149" s="6"/>
      <c r="H149" s="6"/>
      <c r="I149" s="6"/>
      <c r="J149" s="6"/>
      <c r="K149" s="131"/>
      <c r="L149" s="131"/>
      <c r="M149" s="131"/>
      <c r="N149" s="131"/>
      <c r="O149" s="6"/>
      <c r="P149" s="6"/>
      <c r="Q149" s="6"/>
      <c r="R149" s="6"/>
      <c r="S149" s="6"/>
      <c r="T149" s="6"/>
      <c r="U149" s="6"/>
      <c r="V149" s="6"/>
      <c r="W149" s="6"/>
      <c r="X149" s="6"/>
      <c r="Y149" s="6"/>
      <c r="Z149" s="6"/>
      <c r="AA149" s="6"/>
      <c r="AB149" s="6"/>
    </row>
    <row r="150" ht="15.75" customHeight="1">
      <c r="A150" s="130"/>
      <c r="B150" s="2"/>
      <c r="C150" s="132"/>
      <c r="D150" s="132"/>
      <c r="E150" s="132"/>
      <c r="F150" s="132"/>
      <c r="G150" s="6"/>
      <c r="H150" s="6"/>
      <c r="I150" s="6"/>
      <c r="J150" s="6"/>
      <c r="K150" s="131"/>
      <c r="L150" s="131"/>
      <c r="M150" s="131"/>
      <c r="N150" s="131"/>
      <c r="O150" s="6"/>
      <c r="P150" s="6"/>
      <c r="Q150" s="6"/>
      <c r="R150" s="6"/>
      <c r="S150" s="6"/>
      <c r="T150" s="6"/>
      <c r="U150" s="6"/>
      <c r="V150" s="6"/>
      <c r="W150" s="6"/>
      <c r="X150" s="6"/>
      <c r="Y150" s="6"/>
      <c r="Z150" s="6"/>
      <c r="AA150" s="6"/>
      <c r="AB150" s="6"/>
    </row>
    <row r="151" ht="15.75" customHeight="1">
      <c r="A151" s="130"/>
      <c r="B151" s="2"/>
      <c r="C151" s="132"/>
      <c r="D151" s="132"/>
      <c r="E151" s="132"/>
      <c r="F151" s="132"/>
      <c r="G151" s="6"/>
      <c r="H151" s="6"/>
      <c r="I151" s="6"/>
      <c r="J151" s="6"/>
      <c r="K151" s="131"/>
      <c r="L151" s="131"/>
      <c r="M151" s="131"/>
      <c r="N151" s="131"/>
      <c r="O151" s="6"/>
      <c r="P151" s="6"/>
      <c r="Q151" s="6"/>
      <c r="R151" s="6"/>
      <c r="S151" s="6"/>
      <c r="T151" s="6"/>
      <c r="U151" s="6"/>
      <c r="V151" s="6"/>
      <c r="W151" s="6"/>
      <c r="X151" s="6"/>
      <c r="Y151" s="6"/>
      <c r="Z151" s="6"/>
      <c r="AA151" s="6"/>
      <c r="AB151" s="6"/>
    </row>
    <row r="152" ht="15.75" customHeight="1">
      <c r="A152" s="130"/>
      <c r="B152" s="2"/>
      <c r="C152" s="132"/>
      <c r="D152" s="132"/>
      <c r="E152" s="132"/>
      <c r="F152" s="132"/>
      <c r="G152" s="6"/>
      <c r="H152" s="6"/>
      <c r="I152" s="6"/>
      <c r="J152" s="6"/>
      <c r="K152" s="131"/>
      <c r="L152" s="131"/>
      <c r="M152" s="131"/>
      <c r="N152" s="131"/>
      <c r="O152" s="6"/>
      <c r="P152" s="6"/>
      <c r="Q152" s="6"/>
      <c r="R152" s="6"/>
      <c r="S152" s="6"/>
      <c r="T152" s="6"/>
      <c r="U152" s="6"/>
      <c r="V152" s="6"/>
      <c r="W152" s="6"/>
      <c r="X152" s="6"/>
      <c r="Y152" s="6"/>
      <c r="Z152" s="6"/>
      <c r="AA152" s="6"/>
      <c r="AB152" s="6"/>
    </row>
    <row r="153" ht="15.75" customHeight="1">
      <c r="A153" s="130"/>
      <c r="B153" s="2"/>
      <c r="C153" s="132"/>
      <c r="D153" s="132"/>
      <c r="E153" s="132"/>
      <c r="F153" s="132"/>
      <c r="G153" s="6"/>
      <c r="H153" s="6"/>
      <c r="I153" s="6"/>
      <c r="J153" s="6"/>
      <c r="K153" s="131"/>
      <c r="L153" s="131"/>
      <c r="M153" s="131"/>
      <c r="N153" s="131"/>
      <c r="O153" s="6"/>
      <c r="P153" s="6"/>
      <c r="Q153" s="6"/>
      <c r="R153" s="6"/>
      <c r="S153" s="6"/>
      <c r="T153" s="6"/>
      <c r="U153" s="6"/>
      <c r="V153" s="6"/>
      <c r="W153" s="6"/>
      <c r="X153" s="6"/>
      <c r="Y153" s="6"/>
      <c r="Z153" s="6"/>
      <c r="AA153" s="6"/>
      <c r="AB153" s="6"/>
    </row>
    <row r="154" ht="15.75" customHeight="1">
      <c r="A154" s="130"/>
      <c r="B154" s="2"/>
      <c r="C154" s="132"/>
      <c r="D154" s="132"/>
      <c r="E154" s="132"/>
      <c r="F154" s="132"/>
      <c r="G154" s="6"/>
      <c r="H154" s="6"/>
      <c r="I154" s="6"/>
      <c r="J154" s="6"/>
      <c r="K154" s="131"/>
      <c r="L154" s="131"/>
      <c r="M154" s="131"/>
      <c r="N154" s="131"/>
      <c r="O154" s="6"/>
      <c r="P154" s="6"/>
      <c r="Q154" s="6"/>
      <c r="R154" s="6"/>
      <c r="S154" s="6"/>
      <c r="T154" s="6"/>
      <c r="U154" s="6"/>
      <c r="V154" s="6"/>
      <c r="W154" s="6"/>
      <c r="X154" s="6"/>
      <c r="Y154" s="6"/>
      <c r="Z154" s="6"/>
      <c r="AA154" s="6"/>
      <c r="AB154" s="6"/>
    </row>
    <row r="155" ht="15.75" customHeight="1">
      <c r="A155" s="130"/>
      <c r="B155" s="2"/>
      <c r="C155" s="132"/>
      <c r="D155" s="132"/>
      <c r="E155" s="132"/>
      <c r="F155" s="132"/>
      <c r="G155" s="6"/>
      <c r="H155" s="6"/>
      <c r="I155" s="6"/>
      <c r="J155" s="6"/>
      <c r="K155" s="131"/>
      <c r="L155" s="131"/>
      <c r="M155" s="131"/>
      <c r="N155" s="131"/>
      <c r="O155" s="6"/>
      <c r="P155" s="6"/>
      <c r="Q155" s="6"/>
      <c r="R155" s="6"/>
      <c r="S155" s="6"/>
      <c r="T155" s="6"/>
      <c r="U155" s="6"/>
      <c r="V155" s="6"/>
      <c r="W155" s="6"/>
      <c r="X155" s="6"/>
      <c r="Y155" s="6"/>
      <c r="Z155" s="6"/>
      <c r="AA155" s="6"/>
      <c r="AB155" s="6"/>
    </row>
    <row r="156" ht="15.75" customHeight="1">
      <c r="A156" s="130"/>
      <c r="B156" s="2"/>
      <c r="C156" s="132"/>
      <c r="D156" s="132"/>
      <c r="E156" s="132"/>
      <c r="F156" s="132"/>
      <c r="G156" s="6"/>
      <c r="H156" s="6"/>
      <c r="I156" s="6"/>
      <c r="J156" s="6"/>
      <c r="K156" s="131"/>
      <c r="L156" s="131"/>
      <c r="M156" s="131"/>
      <c r="N156" s="131"/>
      <c r="O156" s="6"/>
      <c r="P156" s="6"/>
      <c r="Q156" s="6"/>
      <c r="R156" s="6"/>
      <c r="S156" s="6"/>
      <c r="T156" s="6"/>
      <c r="U156" s="6"/>
      <c r="V156" s="6"/>
      <c r="W156" s="6"/>
      <c r="X156" s="6"/>
      <c r="Y156" s="6"/>
      <c r="Z156" s="6"/>
      <c r="AA156" s="6"/>
      <c r="AB156" s="6"/>
    </row>
    <row r="157" ht="15.75" customHeight="1">
      <c r="A157" s="130"/>
      <c r="B157" s="2"/>
      <c r="C157" s="132"/>
      <c r="D157" s="132"/>
      <c r="E157" s="132"/>
      <c r="F157" s="132"/>
      <c r="G157" s="6"/>
      <c r="H157" s="6"/>
      <c r="I157" s="6"/>
      <c r="J157" s="6"/>
      <c r="K157" s="131"/>
      <c r="L157" s="131"/>
      <c r="M157" s="131"/>
      <c r="N157" s="131"/>
      <c r="O157" s="6"/>
      <c r="P157" s="6"/>
      <c r="Q157" s="6"/>
      <c r="R157" s="6"/>
      <c r="S157" s="6"/>
      <c r="T157" s="6"/>
      <c r="U157" s="6"/>
      <c r="V157" s="6"/>
      <c r="W157" s="6"/>
      <c r="X157" s="6"/>
      <c r="Y157" s="6"/>
      <c r="Z157" s="6"/>
      <c r="AA157" s="6"/>
      <c r="AB157" s="6"/>
    </row>
    <row r="158" ht="15.75" customHeight="1">
      <c r="A158" s="130"/>
      <c r="B158" s="2"/>
      <c r="C158" s="132"/>
      <c r="D158" s="132"/>
      <c r="E158" s="132"/>
      <c r="F158" s="132"/>
      <c r="G158" s="6"/>
      <c r="H158" s="6"/>
      <c r="I158" s="6"/>
      <c r="J158" s="6"/>
      <c r="K158" s="131"/>
      <c r="L158" s="131"/>
      <c r="M158" s="131"/>
      <c r="N158" s="131"/>
      <c r="O158" s="6"/>
      <c r="P158" s="6"/>
      <c r="Q158" s="6"/>
      <c r="R158" s="6"/>
      <c r="S158" s="6"/>
      <c r="T158" s="6"/>
      <c r="U158" s="6"/>
      <c r="V158" s="6"/>
      <c r="W158" s="6"/>
      <c r="X158" s="6"/>
      <c r="Y158" s="6"/>
      <c r="Z158" s="6"/>
      <c r="AA158" s="6"/>
      <c r="AB158" s="6"/>
    </row>
    <row r="159" ht="15.75" customHeight="1">
      <c r="A159" s="130"/>
      <c r="B159" s="2"/>
      <c r="C159" s="132"/>
      <c r="D159" s="132"/>
      <c r="E159" s="132"/>
      <c r="F159" s="132"/>
      <c r="G159" s="6"/>
      <c r="H159" s="6"/>
      <c r="I159" s="6"/>
      <c r="J159" s="6"/>
      <c r="K159" s="131"/>
      <c r="L159" s="131"/>
      <c r="M159" s="131"/>
      <c r="N159" s="131"/>
      <c r="O159" s="6"/>
      <c r="P159" s="6"/>
      <c r="Q159" s="6"/>
      <c r="R159" s="6"/>
      <c r="S159" s="6"/>
      <c r="T159" s="6"/>
      <c r="U159" s="6"/>
      <c r="V159" s="6"/>
      <c r="W159" s="6"/>
      <c r="X159" s="6"/>
      <c r="Y159" s="6"/>
      <c r="Z159" s="6"/>
      <c r="AA159" s="6"/>
      <c r="AB159" s="6"/>
    </row>
    <row r="160" ht="15.75" customHeight="1">
      <c r="A160" s="130"/>
      <c r="B160" s="2"/>
      <c r="C160" s="132"/>
      <c r="D160" s="132"/>
      <c r="E160" s="132"/>
      <c r="F160" s="132"/>
      <c r="G160" s="6"/>
      <c r="H160" s="6"/>
      <c r="I160" s="6"/>
      <c r="J160" s="6"/>
      <c r="K160" s="131"/>
      <c r="L160" s="131"/>
      <c r="M160" s="131"/>
      <c r="N160" s="131"/>
      <c r="O160" s="6"/>
      <c r="P160" s="6"/>
      <c r="Q160" s="6"/>
      <c r="R160" s="6"/>
      <c r="S160" s="6"/>
      <c r="T160" s="6"/>
      <c r="U160" s="6"/>
      <c r="V160" s="6"/>
      <c r="W160" s="6"/>
      <c r="X160" s="6"/>
      <c r="Y160" s="6"/>
      <c r="Z160" s="6"/>
      <c r="AA160" s="6"/>
      <c r="AB160" s="6"/>
    </row>
    <row r="161" ht="15.75" customHeight="1">
      <c r="A161" s="130"/>
      <c r="B161" s="2"/>
      <c r="C161" s="132"/>
      <c r="D161" s="132"/>
      <c r="E161" s="132"/>
      <c r="F161" s="132"/>
      <c r="G161" s="6"/>
      <c r="H161" s="6"/>
      <c r="I161" s="6"/>
      <c r="J161" s="6"/>
      <c r="K161" s="131"/>
      <c r="L161" s="131"/>
      <c r="M161" s="131"/>
      <c r="N161" s="131"/>
      <c r="O161" s="6"/>
      <c r="P161" s="6"/>
      <c r="Q161" s="6"/>
      <c r="R161" s="6"/>
      <c r="S161" s="6"/>
      <c r="T161" s="6"/>
      <c r="U161" s="6"/>
      <c r="V161" s="6"/>
      <c r="W161" s="6"/>
      <c r="X161" s="6"/>
      <c r="Y161" s="6"/>
      <c r="Z161" s="6"/>
      <c r="AA161" s="6"/>
      <c r="AB161" s="6"/>
    </row>
    <row r="162" ht="15.75" customHeight="1">
      <c r="A162" s="130"/>
      <c r="B162" s="2"/>
      <c r="C162" s="132"/>
      <c r="D162" s="132"/>
      <c r="E162" s="132"/>
      <c r="F162" s="132"/>
      <c r="G162" s="6"/>
      <c r="H162" s="6"/>
      <c r="I162" s="6"/>
      <c r="J162" s="6"/>
      <c r="K162" s="131"/>
      <c r="L162" s="131"/>
      <c r="M162" s="131"/>
      <c r="N162" s="131"/>
      <c r="O162" s="6"/>
      <c r="P162" s="6"/>
      <c r="Q162" s="6"/>
      <c r="R162" s="6"/>
      <c r="S162" s="6"/>
      <c r="T162" s="6"/>
      <c r="U162" s="6"/>
      <c r="V162" s="6"/>
      <c r="W162" s="6"/>
      <c r="X162" s="6"/>
      <c r="Y162" s="6"/>
      <c r="Z162" s="6"/>
      <c r="AA162" s="6"/>
      <c r="AB162" s="6"/>
    </row>
    <row r="163" ht="15.75" customHeight="1">
      <c r="A163" s="130"/>
      <c r="B163" s="2"/>
      <c r="C163" s="132"/>
      <c r="D163" s="132"/>
      <c r="E163" s="132"/>
      <c r="F163" s="132"/>
      <c r="G163" s="6"/>
      <c r="H163" s="6"/>
      <c r="I163" s="6"/>
      <c r="J163" s="6"/>
      <c r="K163" s="131"/>
      <c r="L163" s="131"/>
      <c r="M163" s="131"/>
      <c r="N163" s="131"/>
      <c r="O163" s="6"/>
      <c r="P163" s="6"/>
      <c r="Q163" s="6"/>
      <c r="R163" s="6"/>
      <c r="S163" s="6"/>
      <c r="T163" s="6"/>
      <c r="U163" s="6"/>
      <c r="V163" s="6"/>
      <c r="W163" s="6"/>
      <c r="X163" s="6"/>
      <c r="Y163" s="6"/>
      <c r="Z163" s="6"/>
      <c r="AA163" s="6"/>
      <c r="AB163" s="6"/>
    </row>
    <row r="164" ht="15.75" customHeight="1">
      <c r="A164" s="130"/>
      <c r="B164" s="2"/>
      <c r="C164" s="132"/>
      <c r="D164" s="132"/>
      <c r="E164" s="132"/>
      <c r="F164" s="132"/>
      <c r="G164" s="6"/>
      <c r="H164" s="6"/>
      <c r="I164" s="6"/>
      <c r="J164" s="6"/>
      <c r="K164" s="131"/>
      <c r="L164" s="131"/>
      <c r="M164" s="131"/>
      <c r="N164" s="131"/>
      <c r="O164" s="6"/>
      <c r="P164" s="6"/>
      <c r="Q164" s="6"/>
      <c r="R164" s="6"/>
      <c r="S164" s="6"/>
      <c r="T164" s="6"/>
      <c r="U164" s="6"/>
      <c r="V164" s="6"/>
      <c r="W164" s="6"/>
      <c r="X164" s="6"/>
      <c r="Y164" s="6"/>
      <c r="Z164" s="6"/>
      <c r="AA164" s="6"/>
      <c r="AB164" s="6"/>
    </row>
    <row r="165" ht="15.75" customHeight="1">
      <c r="A165" s="130"/>
      <c r="B165" s="2"/>
      <c r="C165" s="132"/>
      <c r="D165" s="132"/>
      <c r="E165" s="132"/>
      <c r="F165" s="132"/>
      <c r="G165" s="6"/>
      <c r="H165" s="6"/>
      <c r="I165" s="6"/>
      <c r="J165" s="6"/>
      <c r="K165" s="131"/>
      <c r="L165" s="131"/>
      <c r="M165" s="131"/>
      <c r="N165" s="131"/>
      <c r="O165" s="6"/>
      <c r="P165" s="6"/>
      <c r="Q165" s="6"/>
      <c r="R165" s="6"/>
      <c r="S165" s="6"/>
      <c r="T165" s="6"/>
      <c r="U165" s="6"/>
      <c r="V165" s="6"/>
      <c r="W165" s="6"/>
      <c r="X165" s="6"/>
      <c r="Y165" s="6"/>
      <c r="Z165" s="6"/>
      <c r="AA165" s="6"/>
      <c r="AB165" s="6"/>
    </row>
    <row r="166" ht="15.75" customHeight="1">
      <c r="A166" s="130"/>
      <c r="B166" s="2"/>
      <c r="C166" s="132"/>
      <c r="D166" s="132"/>
      <c r="E166" s="132"/>
      <c r="F166" s="132"/>
      <c r="G166" s="6"/>
      <c r="H166" s="6"/>
      <c r="I166" s="6"/>
      <c r="J166" s="6"/>
      <c r="K166" s="131"/>
      <c r="L166" s="131"/>
      <c r="M166" s="131"/>
      <c r="N166" s="131"/>
      <c r="O166" s="6"/>
      <c r="P166" s="6"/>
      <c r="Q166" s="6"/>
      <c r="R166" s="6"/>
      <c r="S166" s="6"/>
      <c r="T166" s="6"/>
      <c r="U166" s="6"/>
      <c r="V166" s="6"/>
      <c r="W166" s="6"/>
      <c r="X166" s="6"/>
      <c r="Y166" s="6"/>
      <c r="Z166" s="6"/>
      <c r="AA166" s="6"/>
      <c r="AB166" s="6"/>
    </row>
    <row r="167" ht="15.75" customHeight="1">
      <c r="A167" s="130"/>
      <c r="B167" s="2"/>
      <c r="C167" s="132"/>
      <c r="D167" s="132"/>
      <c r="E167" s="132"/>
      <c r="F167" s="132"/>
      <c r="G167" s="6"/>
      <c r="H167" s="6"/>
      <c r="I167" s="6"/>
      <c r="J167" s="6"/>
      <c r="K167" s="131"/>
      <c r="L167" s="131"/>
      <c r="M167" s="131"/>
      <c r="N167" s="131"/>
      <c r="O167" s="6"/>
      <c r="P167" s="6"/>
      <c r="Q167" s="6"/>
      <c r="R167" s="6"/>
      <c r="S167" s="6"/>
      <c r="T167" s="6"/>
      <c r="U167" s="6"/>
      <c r="V167" s="6"/>
      <c r="W167" s="6"/>
      <c r="X167" s="6"/>
      <c r="Y167" s="6"/>
      <c r="Z167" s="6"/>
      <c r="AA167" s="6"/>
      <c r="AB167" s="6"/>
    </row>
    <row r="168" ht="15.75" customHeight="1">
      <c r="A168" s="130"/>
      <c r="B168" s="2"/>
      <c r="C168" s="132"/>
      <c r="D168" s="132"/>
      <c r="E168" s="132"/>
      <c r="F168" s="132"/>
      <c r="G168" s="6"/>
      <c r="H168" s="6"/>
      <c r="I168" s="6"/>
      <c r="J168" s="6"/>
      <c r="K168" s="131"/>
      <c r="L168" s="131"/>
      <c r="M168" s="131"/>
      <c r="N168" s="131"/>
      <c r="O168" s="6"/>
      <c r="P168" s="6"/>
      <c r="Q168" s="6"/>
      <c r="R168" s="6"/>
      <c r="S168" s="6"/>
      <c r="T168" s="6"/>
      <c r="U168" s="6"/>
      <c r="V168" s="6"/>
      <c r="W168" s="6"/>
      <c r="X168" s="6"/>
      <c r="Y168" s="6"/>
      <c r="Z168" s="6"/>
      <c r="AA168" s="6"/>
      <c r="AB168" s="6"/>
    </row>
    <row r="169" ht="15.75" customHeight="1">
      <c r="A169" s="130"/>
      <c r="B169" s="2"/>
      <c r="C169" s="132"/>
      <c r="D169" s="132"/>
      <c r="E169" s="132"/>
      <c r="F169" s="132"/>
      <c r="G169" s="6"/>
      <c r="H169" s="6"/>
      <c r="I169" s="6"/>
      <c r="J169" s="6"/>
      <c r="K169" s="131"/>
      <c r="L169" s="131"/>
      <c r="M169" s="131"/>
      <c r="N169" s="131"/>
      <c r="O169" s="6"/>
      <c r="P169" s="6"/>
      <c r="Q169" s="6"/>
      <c r="R169" s="6"/>
      <c r="S169" s="6"/>
      <c r="T169" s="6"/>
      <c r="U169" s="6"/>
      <c r="V169" s="6"/>
      <c r="W169" s="6"/>
      <c r="X169" s="6"/>
      <c r="Y169" s="6"/>
      <c r="Z169" s="6"/>
      <c r="AA169" s="6"/>
      <c r="AB169" s="6"/>
    </row>
    <row r="170" ht="15.75" customHeight="1">
      <c r="A170" s="130"/>
      <c r="B170" s="2"/>
      <c r="C170" s="132"/>
      <c r="D170" s="132"/>
      <c r="E170" s="132"/>
      <c r="F170" s="132"/>
      <c r="G170" s="6"/>
      <c r="H170" s="6"/>
      <c r="I170" s="6"/>
      <c r="J170" s="6"/>
      <c r="K170" s="131"/>
      <c r="L170" s="131"/>
      <c r="M170" s="131"/>
      <c r="N170" s="131"/>
      <c r="O170" s="6"/>
      <c r="P170" s="6"/>
      <c r="Q170" s="6"/>
      <c r="R170" s="6"/>
      <c r="S170" s="6"/>
      <c r="T170" s="6"/>
      <c r="U170" s="6"/>
      <c r="V170" s="6"/>
      <c r="W170" s="6"/>
      <c r="X170" s="6"/>
      <c r="Y170" s="6"/>
      <c r="Z170" s="6"/>
      <c r="AA170" s="6"/>
      <c r="AB170" s="6"/>
    </row>
    <row r="171" ht="15.75" customHeight="1">
      <c r="A171" s="130"/>
      <c r="B171" s="2"/>
      <c r="C171" s="132"/>
      <c r="D171" s="132"/>
      <c r="E171" s="132"/>
      <c r="F171" s="132"/>
      <c r="G171" s="6"/>
      <c r="H171" s="6"/>
      <c r="I171" s="6"/>
      <c r="J171" s="6"/>
      <c r="K171" s="131"/>
      <c r="L171" s="131"/>
      <c r="M171" s="131"/>
      <c r="N171" s="131"/>
      <c r="O171" s="6"/>
      <c r="P171" s="6"/>
      <c r="Q171" s="6"/>
      <c r="R171" s="6"/>
      <c r="S171" s="6"/>
      <c r="T171" s="6"/>
      <c r="U171" s="6"/>
      <c r="V171" s="6"/>
      <c r="W171" s="6"/>
      <c r="X171" s="6"/>
      <c r="Y171" s="6"/>
      <c r="Z171" s="6"/>
      <c r="AA171" s="6"/>
      <c r="AB171" s="6"/>
    </row>
    <row r="172" ht="15.75" customHeight="1">
      <c r="A172" s="130"/>
      <c r="B172" s="2"/>
      <c r="C172" s="132"/>
      <c r="D172" s="132"/>
      <c r="E172" s="132"/>
      <c r="F172" s="132"/>
      <c r="G172" s="6"/>
      <c r="H172" s="6"/>
      <c r="I172" s="6"/>
      <c r="J172" s="6"/>
      <c r="K172" s="131"/>
      <c r="L172" s="131"/>
      <c r="M172" s="131"/>
      <c r="N172" s="131"/>
      <c r="O172" s="6"/>
      <c r="P172" s="6"/>
      <c r="Q172" s="6"/>
      <c r="R172" s="6"/>
      <c r="S172" s="6"/>
      <c r="T172" s="6"/>
      <c r="U172" s="6"/>
      <c r="V172" s="6"/>
      <c r="W172" s="6"/>
      <c r="X172" s="6"/>
      <c r="Y172" s="6"/>
      <c r="Z172" s="6"/>
      <c r="AA172" s="6"/>
      <c r="AB172" s="6"/>
    </row>
    <row r="173" ht="15.75" customHeight="1">
      <c r="A173" s="130"/>
      <c r="B173" s="2"/>
      <c r="C173" s="132"/>
      <c r="D173" s="132"/>
      <c r="E173" s="132"/>
      <c r="F173" s="132"/>
      <c r="G173" s="6"/>
      <c r="H173" s="6"/>
      <c r="I173" s="6"/>
      <c r="J173" s="6"/>
      <c r="K173" s="131"/>
      <c r="L173" s="131"/>
      <c r="M173" s="131"/>
      <c r="N173" s="131"/>
      <c r="O173" s="6"/>
      <c r="P173" s="6"/>
      <c r="Q173" s="6"/>
      <c r="R173" s="6"/>
      <c r="S173" s="6"/>
      <c r="T173" s="6"/>
      <c r="U173" s="6"/>
      <c r="V173" s="6"/>
      <c r="W173" s="6"/>
      <c r="X173" s="6"/>
      <c r="Y173" s="6"/>
      <c r="Z173" s="6"/>
      <c r="AA173" s="6"/>
      <c r="AB173" s="6"/>
    </row>
    <row r="174" ht="15.75" customHeight="1">
      <c r="A174" s="130"/>
      <c r="B174" s="2"/>
      <c r="C174" s="132"/>
      <c r="D174" s="132"/>
      <c r="E174" s="132"/>
      <c r="F174" s="132"/>
      <c r="G174" s="6"/>
      <c r="H174" s="6"/>
      <c r="I174" s="6"/>
      <c r="J174" s="6"/>
      <c r="K174" s="131"/>
      <c r="L174" s="131"/>
      <c r="M174" s="131"/>
      <c r="N174" s="131"/>
      <c r="O174" s="6"/>
      <c r="P174" s="6"/>
      <c r="Q174" s="6"/>
      <c r="R174" s="6"/>
      <c r="S174" s="6"/>
      <c r="T174" s="6"/>
      <c r="U174" s="6"/>
      <c r="V174" s="6"/>
      <c r="W174" s="6"/>
      <c r="X174" s="6"/>
      <c r="Y174" s="6"/>
      <c r="Z174" s="6"/>
      <c r="AA174" s="6"/>
      <c r="AB174" s="6"/>
    </row>
    <row r="175" ht="15.75" customHeight="1">
      <c r="A175" s="130"/>
      <c r="B175" s="2"/>
      <c r="C175" s="132"/>
      <c r="D175" s="132"/>
      <c r="E175" s="132"/>
      <c r="F175" s="132"/>
      <c r="G175" s="6"/>
      <c r="H175" s="6"/>
      <c r="I175" s="6"/>
      <c r="J175" s="6"/>
      <c r="K175" s="131"/>
      <c r="L175" s="131"/>
      <c r="M175" s="131"/>
      <c r="N175" s="131"/>
      <c r="O175" s="6"/>
      <c r="P175" s="6"/>
      <c r="Q175" s="6"/>
      <c r="R175" s="6"/>
      <c r="S175" s="6"/>
      <c r="T175" s="6"/>
      <c r="U175" s="6"/>
      <c r="V175" s="6"/>
      <c r="W175" s="6"/>
      <c r="X175" s="6"/>
      <c r="Y175" s="6"/>
      <c r="Z175" s="6"/>
      <c r="AA175" s="6"/>
      <c r="AB175" s="6"/>
    </row>
    <row r="176" ht="15.75" customHeight="1">
      <c r="A176" s="130"/>
      <c r="B176" s="2"/>
      <c r="C176" s="132"/>
      <c r="D176" s="132"/>
      <c r="E176" s="132"/>
      <c r="F176" s="132"/>
      <c r="G176" s="6"/>
      <c r="H176" s="6"/>
      <c r="I176" s="6"/>
      <c r="J176" s="6"/>
      <c r="K176" s="131"/>
      <c r="L176" s="131"/>
      <c r="M176" s="131"/>
      <c r="N176" s="131"/>
      <c r="O176" s="6"/>
      <c r="P176" s="6"/>
      <c r="Q176" s="6"/>
      <c r="R176" s="6"/>
      <c r="S176" s="6"/>
      <c r="T176" s="6"/>
      <c r="U176" s="6"/>
      <c r="V176" s="6"/>
      <c r="W176" s="6"/>
      <c r="X176" s="6"/>
      <c r="Y176" s="6"/>
      <c r="Z176" s="6"/>
      <c r="AA176" s="6"/>
      <c r="AB176" s="6"/>
    </row>
    <row r="177" ht="15.75" customHeight="1">
      <c r="A177" s="130"/>
      <c r="B177" s="2"/>
      <c r="C177" s="132"/>
      <c r="D177" s="132"/>
      <c r="E177" s="132"/>
      <c r="F177" s="132"/>
      <c r="G177" s="6"/>
      <c r="H177" s="6"/>
      <c r="I177" s="6"/>
      <c r="J177" s="6"/>
      <c r="K177" s="131"/>
      <c r="L177" s="131"/>
      <c r="M177" s="131"/>
      <c r="N177" s="131"/>
      <c r="O177" s="6"/>
      <c r="P177" s="6"/>
      <c r="Q177" s="6"/>
      <c r="R177" s="6"/>
      <c r="S177" s="6"/>
      <c r="T177" s="6"/>
      <c r="U177" s="6"/>
      <c r="V177" s="6"/>
      <c r="W177" s="6"/>
      <c r="X177" s="6"/>
      <c r="Y177" s="6"/>
      <c r="Z177" s="6"/>
      <c r="AA177" s="6"/>
      <c r="AB177" s="6"/>
    </row>
    <row r="178" ht="15.75" customHeight="1">
      <c r="A178" s="130"/>
      <c r="B178" s="2"/>
      <c r="C178" s="132"/>
      <c r="D178" s="132"/>
      <c r="E178" s="132"/>
      <c r="F178" s="132"/>
      <c r="G178" s="6"/>
      <c r="H178" s="6"/>
      <c r="I178" s="6"/>
      <c r="J178" s="6"/>
      <c r="K178" s="131"/>
      <c r="L178" s="131"/>
      <c r="M178" s="131"/>
      <c r="N178" s="131"/>
      <c r="O178" s="6"/>
      <c r="P178" s="6"/>
      <c r="Q178" s="6"/>
      <c r="R178" s="6"/>
      <c r="S178" s="6"/>
      <c r="T178" s="6"/>
      <c r="U178" s="6"/>
      <c r="V178" s="6"/>
      <c r="W178" s="6"/>
      <c r="X178" s="6"/>
      <c r="Y178" s="6"/>
      <c r="Z178" s="6"/>
      <c r="AA178" s="6"/>
      <c r="AB178" s="6"/>
    </row>
    <row r="179" ht="15.75" customHeight="1">
      <c r="A179" s="130"/>
      <c r="B179" s="2"/>
      <c r="C179" s="132"/>
      <c r="D179" s="132"/>
      <c r="E179" s="132"/>
      <c r="F179" s="132"/>
      <c r="G179" s="6"/>
      <c r="H179" s="6"/>
      <c r="I179" s="6"/>
      <c r="J179" s="6"/>
      <c r="K179" s="131"/>
      <c r="L179" s="131"/>
      <c r="M179" s="131"/>
      <c r="N179" s="131"/>
      <c r="O179" s="6"/>
      <c r="P179" s="6"/>
      <c r="Q179" s="6"/>
      <c r="R179" s="6"/>
      <c r="S179" s="6"/>
      <c r="T179" s="6"/>
      <c r="U179" s="6"/>
      <c r="V179" s="6"/>
      <c r="W179" s="6"/>
      <c r="X179" s="6"/>
      <c r="Y179" s="6"/>
      <c r="Z179" s="6"/>
      <c r="AA179" s="6"/>
      <c r="AB179" s="6"/>
    </row>
    <row r="180" ht="15.75" customHeight="1">
      <c r="A180" s="130"/>
      <c r="B180" s="2"/>
      <c r="C180" s="132"/>
      <c r="D180" s="132"/>
      <c r="E180" s="132"/>
      <c r="F180" s="132"/>
      <c r="G180" s="6"/>
      <c r="H180" s="6"/>
      <c r="I180" s="6"/>
      <c r="J180" s="6"/>
      <c r="K180" s="131"/>
      <c r="L180" s="131"/>
      <c r="M180" s="131"/>
      <c r="N180" s="131"/>
      <c r="O180" s="6"/>
      <c r="P180" s="6"/>
      <c r="Q180" s="6"/>
      <c r="R180" s="6"/>
      <c r="S180" s="6"/>
      <c r="T180" s="6"/>
      <c r="U180" s="6"/>
      <c r="V180" s="6"/>
      <c r="W180" s="6"/>
      <c r="X180" s="6"/>
      <c r="Y180" s="6"/>
      <c r="Z180" s="6"/>
      <c r="AA180" s="6"/>
      <c r="AB180" s="6"/>
    </row>
    <row r="181" ht="15.75" customHeight="1">
      <c r="A181" s="130"/>
      <c r="B181" s="2"/>
      <c r="C181" s="132"/>
      <c r="D181" s="132"/>
      <c r="E181" s="132"/>
      <c r="F181" s="132"/>
      <c r="G181" s="6"/>
      <c r="H181" s="6"/>
      <c r="I181" s="6"/>
      <c r="J181" s="6"/>
      <c r="K181" s="131"/>
      <c r="L181" s="131"/>
      <c r="M181" s="131"/>
      <c r="N181" s="131"/>
      <c r="O181" s="6"/>
      <c r="P181" s="6"/>
      <c r="Q181" s="6"/>
      <c r="R181" s="6"/>
      <c r="S181" s="6"/>
      <c r="T181" s="6"/>
      <c r="U181" s="6"/>
      <c r="V181" s="6"/>
      <c r="W181" s="6"/>
      <c r="X181" s="6"/>
      <c r="Y181" s="6"/>
      <c r="Z181" s="6"/>
      <c r="AA181" s="6"/>
      <c r="AB181" s="6"/>
    </row>
    <row r="182" ht="15.75" customHeight="1">
      <c r="A182" s="130"/>
      <c r="B182" s="2"/>
      <c r="C182" s="132"/>
      <c r="D182" s="132"/>
      <c r="E182" s="132"/>
      <c r="F182" s="132"/>
      <c r="G182" s="6"/>
      <c r="H182" s="6"/>
      <c r="I182" s="6"/>
      <c r="J182" s="6"/>
      <c r="K182" s="131"/>
      <c r="L182" s="131"/>
      <c r="M182" s="131"/>
      <c r="N182" s="131"/>
      <c r="O182" s="6"/>
      <c r="P182" s="6"/>
      <c r="Q182" s="6"/>
      <c r="R182" s="6"/>
      <c r="S182" s="6"/>
      <c r="T182" s="6"/>
      <c r="U182" s="6"/>
      <c r="V182" s="6"/>
      <c r="W182" s="6"/>
      <c r="X182" s="6"/>
      <c r="Y182" s="6"/>
      <c r="Z182" s="6"/>
      <c r="AA182" s="6"/>
      <c r="AB182" s="6"/>
    </row>
    <row r="183" ht="15.75" customHeight="1">
      <c r="A183" s="130"/>
      <c r="B183" s="2"/>
      <c r="C183" s="132"/>
      <c r="D183" s="132"/>
      <c r="E183" s="132"/>
      <c r="F183" s="132"/>
      <c r="G183" s="6"/>
      <c r="H183" s="6"/>
      <c r="I183" s="6"/>
      <c r="J183" s="6"/>
      <c r="K183" s="131"/>
      <c r="L183" s="131"/>
      <c r="M183" s="131"/>
      <c r="N183" s="131"/>
      <c r="O183" s="6"/>
      <c r="P183" s="6"/>
      <c r="Q183" s="6"/>
      <c r="R183" s="6"/>
      <c r="S183" s="6"/>
      <c r="T183" s="6"/>
      <c r="U183" s="6"/>
      <c r="V183" s="6"/>
      <c r="W183" s="6"/>
      <c r="X183" s="6"/>
      <c r="Y183" s="6"/>
      <c r="Z183" s="6"/>
      <c r="AA183" s="6"/>
      <c r="AB183" s="6"/>
    </row>
    <row r="184" ht="15.75" customHeight="1">
      <c r="A184" s="130"/>
      <c r="B184" s="2"/>
      <c r="C184" s="132"/>
      <c r="D184" s="132"/>
      <c r="E184" s="132"/>
      <c r="F184" s="132"/>
      <c r="G184" s="6"/>
      <c r="H184" s="6"/>
      <c r="I184" s="6"/>
      <c r="J184" s="6"/>
      <c r="K184" s="131"/>
      <c r="L184" s="131"/>
      <c r="M184" s="131"/>
      <c r="N184" s="131"/>
      <c r="O184" s="6"/>
      <c r="P184" s="6"/>
      <c r="Q184" s="6"/>
      <c r="R184" s="6"/>
      <c r="S184" s="6"/>
      <c r="T184" s="6"/>
      <c r="U184" s="6"/>
      <c r="V184" s="6"/>
      <c r="W184" s="6"/>
      <c r="X184" s="6"/>
      <c r="Y184" s="6"/>
      <c r="Z184" s="6"/>
      <c r="AA184" s="6"/>
      <c r="AB184" s="6"/>
    </row>
    <row r="185" ht="15.75" customHeight="1">
      <c r="A185" s="130"/>
      <c r="B185" s="2"/>
      <c r="C185" s="132"/>
      <c r="D185" s="132"/>
      <c r="E185" s="132"/>
      <c r="F185" s="132"/>
      <c r="G185" s="6"/>
      <c r="H185" s="6"/>
      <c r="I185" s="6"/>
      <c r="J185" s="6"/>
      <c r="K185" s="131"/>
      <c r="L185" s="131"/>
      <c r="M185" s="131"/>
      <c r="N185" s="131"/>
      <c r="O185" s="6"/>
      <c r="P185" s="6"/>
      <c r="Q185" s="6"/>
      <c r="R185" s="6"/>
      <c r="S185" s="6"/>
      <c r="T185" s="6"/>
      <c r="U185" s="6"/>
      <c r="V185" s="6"/>
      <c r="W185" s="6"/>
      <c r="X185" s="6"/>
      <c r="Y185" s="6"/>
      <c r="Z185" s="6"/>
      <c r="AA185" s="6"/>
      <c r="AB185" s="6"/>
    </row>
    <row r="186" ht="15.75" customHeight="1">
      <c r="A186" s="130"/>
      <c r="B186" s="2"/>
      <c r="C186" s="132"/>
      <c r="D186" s="132"/>
      <c r="E186" s="132"/>
      <c r="F186" s="132"/>
      <c r="G186" s="6"/>
      <c r="H186" s="6"/>
      <c r="I186" s="6"/>
      <c r="J186" s="6"/>
      <c r="K186" s="131"/>
      <c r="L186" s="131"/>
      <c r="M186" s="131"/>
      <c r="N186" s="131"/>
      <c r="O186" s="6"/>
      <c r="P186" s="6"/>
      <c r="Q186" s="6"/>
      <c r="R186" s="6"/>
      <c r="S186" s="6"/>
      <c r="T186" s="6"/>
      <c r="U186" s="6"/>
      <c r="V186" s="6"/>
      <c r="W186" s="6"/>
      <c r="X186" s="6"/>
      <c r="Y186" s="6"/>
      <c r="Z186" s="6"/>
      <c r="AA186" s="6"/>
      <c r="AB186" s="6"/>
    </row>
    <row r="187" ht="15.75" customHeight="1">
      <c r="A187" s="130"/>
      <c r="B187" s="2"/>
      <c r="C187" s="132"/>
      <c r="D187" s="132"/>
      <c r="E187" s="132"/>
      <c r="F187" s="132"/>
      <c r="G187" s="6"/>
      <c r="H187" s="6"/>
      <c r="I187" s="6"/>
      <c r="J187" s="6"/>
      <c r="K187" s="131"/>
      <c r="L187" s="131"/>
      <c r="M187" s="131"/>
      <c r="N187" s="131"/>
      <c r="O187" s="6"/>
      <c r="P187" s="6"/>
      <c r="Q187" s="6"/>
      <c r="R187" s="6"/>
      <c r="S187" s="6"/>
      <c r="T187" s="6"/>
      <c r="U187" s="6"/>
      <c r="V187" s="6"/>
      <c r="W187" s="6"/>
      <c r="X187" s="6"/>
      <c r="Y187" s="6"/>
      <c r="Z187" s="6"/>
      <c r="AA187" s="6"/>
      <c r="AB187" s="6"/>
    </row>
    <row r="188" ht="15.75" customHeight="1">
      <c r="A188" s="130"/>
      <c r="B188" s="2"/>
      <c r="C188" s="132"/>
      <c r="D188" s="132"/>
      <c r="E188" s="132"/>
      <c r="F188" s="132"/>
      <c r="G188" s="6"/>
      <c r="H188" s="6"/>
      <c r="I188" s="6"/>
      <c r="J188" s="6"/>
      <c r="K188" s="131"/>
      <c r="L188" s="131"/>
      <c r="M188" s="131"/>
      <c r="N188" s="131"/>
      <c r="O188" s="6"/>
      <c r="P188" s="6"/>
      <c r="Q188" s="6"/>
      <c r="R188" s="6"/>
      <c r="S188" s="6"/>
      <c r="T188" s="6"/>
      <c r="U188" s="6"/>
      <c r="V188" s="6"/>
      <c r="W188" s="6"/>
      <c r="X188" s="6"/>
      <c r="Y188" s="6"/>
      <c r="Z188" s="6"/>
      <c r="AA188" s="6"/>
      <c r="AB188" s="6"/>
    </row>
    <row r="189" ht="15.75" customHeight="1">
      <c r="A189" s="130"/>
      <c r="B189" s="2"/>
      <c r="C189" s="132"/>
      <c r="D189" s="132"/>
      <c r="E189" s="132"/>
      <c r="F189" s="132"/>
      <c r="G189" s="6"/>
      <c r="H189" s="6"/>
      <c r="I189" s="6"/>
      <c r="J189" s="6"/>
      <c r="K189" s="131"/>
      <c r="L189" s="131"/>
      <c r="M189" s="131"/>
      <c r="N189" s="131"/>
      <c r="O189" s="6"/>
      <c r="P189" s="6"/>
      <c r="Q189" s="6"/>
      <c r="R189" s="6"/>
      <c r="S189" s="6"/>
      <c r="T189" s="6"/>
      <c r="U189" s="6"/>
      <c r="V189" s="6"/>
      <c r="W189" s="6"/>
      <c r="X189" s="6"/>
      <c r="Y189" s="6"/>
      <c r="Z189" s="6"/>
      <c r="AA189" s="6"/>
      <c r="AB189" s="6"/>
    </row>
    <row r="190" ht="15.75" customHeight="1">
      <c r="A190" s="130"/>
      <c r="B190" s="2"/>
      <c r="C190" s="132"/>
      <c r="D190" s="132"/>
      <c r="E190" s="132"/>
      <c r="F190" s="132"/>
      <c r="G190" s="6"/>
      <c r="H190" s="6"/>
      <c r="I190" s="6"/>
      <c r="J190" s="6"/>
      <c r="K190" s="131"/>
      <c r="L190" s="131"/>
      <c r="M190" s="131"/>
      <c r="N190" s="131"/>
      <c r="O190" s="6"/>
      <c r="P190" s="6"/>
      <c r="Q190" s="6"/>
      <c r="R190" s="6"/>
      <c r="S190" s="6"/>
      <c r="T190" s="6"/>
      <c r="U190" s="6"/>
      <c r="V190" s="6"/>
      <c r="W190" s="6"/>
      <c r="X190" s="6"/>
      <c r="Y190" s="6"/>
      <c r="Z190" s="6"/>
      <c r="AA190" s="6"/>
      <c r="AB190" s="6"/>
    </row>
    <row r="191" ht="15.75" customHeight="1">
      <c r="A191" s="130"/>
      <c r="B191" s="2"/>
      <c r="C191" s="132"/>
      <c r="D191" s="132"/>
      <c r="E191" s="132"/>
      <c r="F191" s="132"/>
      <c r="G191" s="6"/>
      <c r="H191" s="6"/>
      <c r="I191" s="6"/>
      <c r="J191" s="6"/>
      <c r="K191" s="131"/>
      <c r="L191" s="131"/>
      <c r="M191" s="131"/>
      <c r="N191" s="131"/>
      <c r="O191" s="6"/>
      <c r="P191" s="6"/>
      <c r="Q191" s="6"/>
      <c r="R191" s="6"/>
      <c r="S191" s="6"/>
      <c r="T191" s="6"/>
      <c r="U191" s="6"/>
      <c r="V191" s="6"/>
      <c r="W191" s="6"/>
      <c r="X191" s="6"/>
      <c r="Y191" s="6"/>
      <c r="Z191" s="6"/>
      <c r="AA191" s="6"/>
      <c r="AB191" s="6"/>
    </row>
    <row r="192" ht="15.75" customHeight="1">
      <c r="A192" s="130"/>
      <c r="B192" s="2"/>
      <c r="C192" s="132"/>
      <c r="D192" s="132"/>
      <c r="E192" s="132"/>
      <c r="F192" s="132"/>
      <c r="G192" s="6"/>
      <c r="H192" s="6"/>
      <c r="I192" s="6"/>
      <c r="J192" s="6"/>
      <c r="K192" s="131"/>
      <c r="L192" s="131"/>
      <c r="M192" s="131"/>
      <c r="N192" s="131"/>
      <c r="O192" s="6"/>
      <c r="P192" s="6"/>
      <c r="Q192" s="6"/>
      <c r="R192" s="6"/>
      <c r="S192" s="6"/>
      <c r="T192" s="6"/>
      <c r="U192" s="6"/>
      <c r="V192" s="6"/>
      <c r="W192" s="6"/>
      <c r="X192" s="6"/>
      <c r="Y192" s="6"/>
      <c r="Z192" s="6"/>
      <c r="AA192" s="6"/>
      <c r="AB192" s="6"/>
    </row>
    <row r="193" ht="15.75" customHeight="1">
      <c r="A193" s="130"/>
      <c r="B193" s="2"/>
      <c r="C193" s="132"/>
      <c r="D193" s="132"/>
      <c r="E193" s="132"/>
      <c r="F193" s="132"/>
      <c r="G193" s="6"/>
      <c r="H193" s="6"/>
      <c r="I193" s="6"/>
      <c r="J193" s="6"/>
      <c r="K193" s="131"/>
      <c r="L193" s="131"/>
      <c r="M193" s="131"/>
      <c r="N193" s="131"/>
      <c r="O193" s="6"/>
      <c r="P193" s="6"/>
      <c r="Q193" s="6"/>
      <c r="R193" s="6"/>
      <c r="S193" s="6"/>
      <c r="T193" s="6"/>
      <c r="U193" s="6"/>
      <c r="V193" s="6"/>
      <c r="W193" s="6"/>
      <c r="X193" s="6"/>
      <c r="Y193" s="6"/>
      <c r="Z193" s="6"/>
      <c r="AA193" s="6"/>
      <c r="AB193" s="6"/>
    </row>
    <row r="194" ht="15.75" customHeight="1">
      <c r="A194" s="130"/>
      <c r="B194" s="2"/>
      <c r="C194" s="132"/>
      <c r="D194" s="132"/>
      <c r="E194" s="132"/>
      <c r="F194" s="132"/>
      <c r="G194" s="6"/>
      <c r="H194" s="6"/>
      <c r="I194" s="6"/>
      <c r="J194" s="6"/>
      <c r="K194" s="131"/>
      <c r="L194" s="131"/>
      <c r="M194" s="131"/>
      <c r="N194" s="131"/>
      <c r="O194" s="6"/>
      <c r="P194" s="6"/>
      <c r="Q194" s="6"/>
      <c r="R194" s="6"/>
      <c r="S194" s="6"/>
      <c r="T194" s="6"/>
      <c r="U194" s="6"/>
      <c r="V194" s="6"/>
      <c r="W194" s="6"/>
      <c r="X194" s="6"/>
      <c r="Y194" s="6"/>
      <c r="Z194" s="6"/>
      <c r="AA194" s="6"/>
      <c r="AB194" s="6"/>
    </row>
    <row r="195" ht="15.75" customHeight="1">
      <c r="A195" s="130"/>
      <c r="B195" s="2"/>
      <c r="C195" s="132"/>
      <c r="D195" s="132"/>
      <c r="E195" s="132"/>
      <c r="F195" s="132"/>
      <c r="G195" s="6"/>
      <c r="H195" s="6"/>
      <c r="I195" s="6"/>
      <c r="J195" s="6"/>
      <c r="K195" s="131"/>
      <c r="L195" s="131"/>
      <c r="M195" s="131"/>
      <c r="N195" s="131"/>
      <c r="O195" s="6"/>
      <c r="P195" s="6"/>
      <c r="Q195" s="6"/>
      <c r="R195" s="6"/>
      <c r="S195" s="6"/>
      <c r="T195" s="6"/>
      <c r="U195" s="6"/>
      <c r="V195" s="6"/>
      <c r="W195" s="6"/>
      <c r="X195" s="6"/>
      <c r="Y195" s="6"/>
      <c r="Z195" s="6"/>
      <c r="AA195" s="6"/>
      <c r="AB195" s="6"/>
    </row>
    <row r="196" ht="15.75" customHeight="1">
      <c r="A196" s="130"/>
      <c r="B196" s="2"/>
      <c r="C196" s="132"/>
      <c r="D196" s="132"/>
      <c r="E196" s="132"/>
      <c r="F196" s="132"/>
      <c r="G196" s="6"/>
      <c r="H196" s="6"/>
      <c r="I196" s="6"/>
      <c r="J196" s="6"/>
      <c r="K196" s="131"/>
      <c r="L196" s="131"/>
      <c r="M196" s="131"/>
      <c r="N196" s="131"/>
      <c r="O196" s="6"/>
      <c r="P196" s="6"/>
      <c r="Q196" s="6"/>
      <c r="R196" s="6"/>
      <c r="S196" s="6"/>
      <c r="T196" s="6"/>
      <c r="U196" s="6"/>
      <c r="V196" s="6"/>
      <c r="W196" s="6"/>
      <c r="X196" s="6"/>
      <c r="Y196" s="6"/>
      <c r="Z196" s="6"/>
      <c r="AA196" s="6"/>
      <c r="AB196" s="6"/>
    </row>
    <row r="197" ht="15.75" customHeight="1">
      <c r="A197" s="130"/>
      <c r="B197" s="2"/>
      <c r="C197" s="132"/>
      <c r="D197" s="132"/>
      <c r="E197" s="132"/>
      <c r="F197" s="132"/>
      <c r="G197" s="6"/>
      <c r="H197" s="6"/>
      <c r="I197" s="6"/>
      <c r="J197" s="6"/>
      <c r="K197" s="131"/>
      <c r="L197" s="131"/>
      <c r="M197" s="131"/>
      <c r="N197" s="131"/>
      <c r="O197" s="6"/>
      <c r="P197" s="6"/>
      <c r="Q197" s="6"/>
      <c r="R197" s="6"/>
      <c r="S197" s="6"/>
      <c r="T197" s="6"/>
      <c r="U197" s="6"/>
      <c r="V197" s="6"/>
      <c r="W197" s="6"/>
      <c r="X197" s="6"/>
      <c r="Y197" s="6"/>
      <c r="Z197" s="6"/>
      <c r="AA197" s="6"/>
      <c r="AB197" s="6"/>
    </row>
    <row r="198" ht="15.75" customHeight="1">
      <c r="A198" s="130"/>
      <c r="B198" s="2"/>
      <c r="C198" s="132"/>
      <c r="D198" s="132"/>
      <c r="E198" s="132"/>
      <c r="F198" s="132"/>
      <c r="G198" s="6"/>
      <c r="H198" s="6"/>
      <c r="I198" s="6"/>
      <c r="J198" s="6"/>
      <c r="K198" s="131"/>
      <c r="L198" s="131"/>
      <c r="M198" s="131"/>
      <c r="N198" s="131"/>
      <c r="O198" s="6"/>
      <c r="P198" s="6"/>
      <c r="Q198" s="6"/>
      <c r="R198" s="6"/>
      <c r="S198" s="6"/>
      <c r="T198" s="6"/>
      <c r="U198" s="6"/>
      <c r="V198" s="6"/>
      <c r="W198" s="6"/>
      <c r="X198" s="6"/>
      <c r="Y198" s="6"/>
      <c r="Z198" s="6"/>
      <c r="AA198" s="6"/>
      <c r="AB198" s="6"/>
    </row>
    <row r="199" ht="15.75" customHeight="1">
      <c r="A199" s="130"/>
      <c r="B199" s="2"/>
      <c r="C199" s="132"/>
      <c r="D199" s="132"/>
      <c r="E199" s="132"/>
      <c r="F199" s="132"/>
      <c r="G199" s="6"/>
      <c r="H199" s="6"/>
      <c r="I199" s="6"/>
      <c r="J199" s="6"/>
      <c r="K199" s="131"/>
      <c r="L199" s="131"/>
      <c r="M199" s="131"/>
      <c r="N199" s="131"/>
      <c r="O199" s="6"/>
      <c r="P199" s="6"/>
      <c r="Q199" s="6"/>
      <c r="R199" s="6"/>
      <c r="S199" s="6"/>
      <c r="T199" s="6"/>
      <c r="U199" s="6"/>
      <c r="V199" s="6"/>
      <c r="W199" s="6"/>
      <c r="X199" s="6"/>
      <c r="Y199" s="6"/>
      <c r="Z199" s="6"/>
      <c r="AA199" s="6"/>
      <c r="AB199" s="6"/>
    </row>
    <row r="200" ht="15.75" customHeight="1">
      <c r="A200" s="130"/>
      <c r="B200" s="2"/>
      <c r="C200" s="132"/>
      <c r="D200" s="132"/>
      <c r="E200" s="132"/>
      <c r="F200" s="132"/>
      <c r="G200" s="6"/>
      <c r="H200" s="6"/>
      <c r="I200" s="6"/>
      <c r="J200" s="6"/>
      <c r="K200" s="131"/>
      <c r="L200" s="131"/>
      <c r="M200" s="131"/>
      <c r="N200" s="131"/>
      <c r="O200" s="6"/>
      <c r="P200" s="6"/>
      <c r="Q200" s="6"/>
      <c r="R200" s="6"/>
      <c r="S200" s="6"/>
      <c r="T200" s="6"/>
      <c r="U200" s="6"/>
      <c r="V200" s="6"/>
      <c r="W200" s="6"/>
      <c r="X200" s="6"/>
      <c r="Y200" s="6"/>
      <c r="Z200" s="6"/>
      <c r="AA200" s="6"/>
      <c r="AB200" s="6"/>
    </row>
    <row r="201" ht="15.75" customHeight="1">
      <c r="A201" s="130"/>
      <c r="B201" s="2"/>
      <c r="C201" s="132"/>
      <c r="D201" s="132"/>
      <c r="E201" s="132"/>
      <c r="F201" s="132"/>
      <c r="G201" s="6"/>
      <c r="H201" s="6"/>
      <c r="I201" s="6"/>
      <c r="J201" s="6"/>
      <c r="K201" s="131"/>
      <c r="L201" s="131"/>
      <c r="M201" s="131"/>
      <c r="N201" s="131"/>
      <c r="O201" s="6"/>
      <c r="P201" s="6"/>
      <c r="Q201" s="6"/>
      <c r="R201" s="6"/>
      <c r="S201" s="6"/>
      <c r="T201" s="6"/>
      <c r="U201" s="6"/>
      <c r="V201" s="6"/>
      <c r="W201" s="6"/>
      <c r="X201" s="6"/>
      <c r="Y201" s="6"/>
      <c r="Z201" s="6"/>
      <c r="AA201" s="6"/>
      <c r="AB201" s="6"/>
    </row>
    <row r="202" ht="15.75" customHeight="1">
      <c r="A202" s="130"/>
      <c r="B202" s="2"/>
      <c r="C202" s="132"/>
      <c r="D202" s="132"/>
      <c r="E202" s="132"/>
      <c r="F202" s="132"/>
      <c r="G202" s="6"/>
      <c r="H202" s="6"/>
      <c r="I202" s="6"/>
      <c r="J202" s="6"/>
      <c r="K202" s="131"/>
      <c r="L202" s="131"/>
      <c r="M202" s="131"/>
      <c r="N202" s="131"/>
      <c r="O202" s="6"/>
      <c r="P202" s="6"/>
      <c r="Q202" s="6"/>
      <c r="R202" s="6"/>
      <c r="S202" s="6"/>
      <c r="T202" s="6"/>
      <c r="U202" s="6"/>
      <c r="V202" s="6"/>
      <c r="W202" s="6"/>
      <c r="X202" s="6"/>
      <c r="Y202" s="6"/>
      <c r="Z202" s="6"/>
      <c r="AA202" s="6"/>
      <c r="AB202" s="6"/>
    </row>
    <row r="203" ht="15.75" customHeight="1">
      <c r="A203" s="130"/>
      <c r="B203" s="2"/>
      <c r="C203" s="132"/>
      <c r="D203" s="132"/>
      <c r="E203" s="132"/>
      <c r="F203" s="132"/>
      <c r="G203" s="6"/>
      <c r="H203" s="6"/>
      <c r="I203" s="6"/>
      <c r="J203" s="6"/>
      <c r="K203" s="131"/>
      <c r="L203" s="131"/>
      <c r="M203" s="131"/>
      <c r="N203" s="131"/>
      <c r="O203" s="6"/>
      <c r="P203" s="6"/>
      <c r="Q203" s="6"/>
      <c r="R203" s="6"/>
      <c r="S203" s="6"/>
      <c r="T203" s="6"/>
      <c r="U203" s="6"/>
      <c r="V203" s="6"/>
      <c r="W203" s="6"/>
      <c r="X203" s="6"/>
      <c r="Y203" s="6"/>
      <c r="Z203" s="6"/>
      <c r="AA203" s="6"/>
      <c r="AB203" s="6"/>
    </row>
    <row r="204" ht="15.75" customHeight="1">
      <c r="A204" s="130"/>
      <c r="B204" s="2"/>
      <c r="C204" s="132"/>
      <c r="D204" s="132"/>
      <c r="E204" s="132"/>
      <c r="F204" s="132"/>
      <c r="G204" s="6"/>
      <c r="H204" s="6"/>
      <c r="I204" s="6"/>
      <c r="J204" s="6"/>
      <c r="K204" s="131"/>
      <c r="L204" s="131"/>
      <c r="M204" s="131"/>
      <c r="N204" s="131"/>
      <c r="O204" s="6"/>
      <c r="P204" s="6"/>
      <c r="Q204" s="6"/>
      <c r="R204" s="6"/>
      <c r="S204" s="6"/>
      <c r="T204" s="6"/>
      <c r="U204" s="6"/>
      <c r="V204" s="6"/>
      <c r="W204" s="6"/>
      <c r="X204" s="6"/>
      <c r="Y204" s="6"/>
      <c r="Z204" s="6"/>
      <c r="AA204" s="6"/>
      <c r="AB204" s="6"/>
    </row>
    <row r="205" ht="15.75" customHeight="1">
      <c r="A205" s="130"/>
      <c r="B205" s="2"/>
      <c r="C205" s="132"/>
      <c r="D205" s="132"/>
      <c r="E205" s="132"/>
      <c r="F205" s="132"/>
      <c r="G205" s="6"/>
      <c r="H205" s="6"/>
      <c r="I205" s="6"/>
      <c r="J205" s="6"/>
      <c r="K205" s="131"/>
      <c r="L205" s="131"/>
      <c r="M205" s="131"/>
      <c r="N205" s="131"/>
      <c r="O205" s="6"/>
      <c r="P205" s="6"/>
      <c r="Q205" s="6"/>
      <c r="R205" s="6"/>
      <c r="S205" s="6"/>
      <c r="T205" s="6"/>
      <c r="U205" s="6"/>
      <c r="V205" s="6"/>
      <c r="W205" s="6"/>
      <c r="X205" s="6"/>
      <c r="Y205" s="6"/>
      <c r="Z205" s="6"/>
      <c r="AA205" s="6"/>
      <c r="AB205" s="6"/>
    </row>
    <row r="206" ht="15.75" customHeight="1">
      <c r="A206" s="130"/>
      <c r="B206" s="2"/>
      <c r="C206" s="132"/>
      <c r="D206" s="132"/>
      <c r="E206" s="132"/>
      <c r="F206" s="132"/>
      <c r="G206" s="6"/>
      <c r="H206" s="6"/>
      <c r="I206" s="6"/>
      <c r="J206" s="6"/>
      <c r="K206" s="131"/>
      <c r="L206" s="131"/>
      <c r="M206" s="131"/>
      <c r="N206" s="131"/>
      <c r="O206" s="6"/>
      <c r="P206" s="6"/>
      <c r="Q206" s="6"/>
      <c r="R206" s="6"/>
      <c r="S206" s="6"/>
      <c r="T206" s="6"/>
      <c r="U206" s="6"/>
      <c r="V206" s="6"/>
      <c r="W206" s="6"/>
      <c r="X206" s="6"/>
      <c r="Y206" s="6"/>
      <c r="Z206" s="6"/>
      <c r="AA206" s="6"/>
      <c r="AB206" s="6"/>
    </row>
    <row r="207" ht="15.75" customHeight="1">
      <c r="A207" s="130"/>
      <c r="B207" s="2"/>
      <c r="C207" s="132"/>
      <c r="D207" s="132"/>
      <c r="E207" s="132"/>
      <c r="F207" s="132"/>
      <c r="G207" s="6"/>
      <c r="H207" s="6"/>
      <c r="I207" s="6"/>
      <c r="J207" s="6"/>
      <c r="K207" s="131"/>
      <c r="L207" s="131"/>
      <c r="M207" s="131"/>
      <c r="N207" s="131"/>
      <c r="O207" s="6"/>
      <c r="P207" s="6"/>
      <c r="Q207" s="6"/>
      <c r="R207" s="6"/>
      <c r="S207" s="6"/>
      <c r="T207" s="6"/>
      <c r="U207" s="6"/>
      <c r="V207" s="6"/>
      <c r="W207" s="6"/>
      <c r="X207" s="6"/>
      <c r="Y207" s="6"/>
      <c r="Z207" s="6"/>
      <c r="AA207" s="6"/>
      <c r="AB207" s="6"/>
    </row>
    <row r="208" ht="15.75" customHeight="1">
      <c r="A208" s="130"/>
      <c r="B208" s="2"/>
      <c r="C208" s="132"/>
      <c r="D208" s="132"/>
      <c r="E208" s="132"/>
      <c r="F208" s="132"/>
      <c r="G208" s="6"/>
      <c r="H208" s="6"/>
      <c r="I208" s="6"/>
      <c r="J208" s="6"/>
      <c r="K208" s="131"/>
      <c r="L208" s="131"/>
      <c r="M208" s="131"/>
      <c r="N208" s="131"/>
      <c r="O208" s="6"/>
      <c r="P208" s="6"/>
      <c r="Q208" s="6"/>
      <c r="R208" s="6"/>
      <c r="S208" s="6"/>
      <c r="T208" s="6"/>
      <c r="U208" s="6"/>
      <c r="V208" s="6"/>
      <c r="W208" s="6"/>
      <c r="X208" s="6"/>
      <c r="Y208" s="6"/>
      <c r="Z208" s="6"/>
      <c r="AA208" s="6"/>
      <c r="AB208" s="6"/>
    </row>
    <row r="209" ht="15.75" customHeight="1">
      <c r="A209" s="130"/>
      <c r="B209" s="2"/>
      <c r="C209" s="132"/>
      <c r="D209" s="132"/>
      <c r="E209" s="132"/>
      <c r="F209" s="132"/>
      <c r="G209" s="6"/>
      <c r="H209" s="6"/>
      <c r="I209" s="6"/>
      <c r="J209" s="6"/>
      <c r="K209" s="131"/>
      <c r="L209" s="131"/>
      <c r="M209" s="131"/>
      <c r="N209" s="131"/>
      <c r="O209" s="6"/>
      <c r="P209" s="6"/>
      <c r="Q209" s="6"/>
      <c r="R209" s="6"/>
      <c r="S209" s="6"/>
      <c r="T209" s="6"/>
      <c r="U209" s="6"/>
      <c r="V209" s="6"/>
      <c r="W209" s="6"/>
      <c r="X209" s="6"/>
      <c r="Y209" s="6"/>
      <c r="Z209" s="6"/>
      <c r="AA209" s="6"/>
      <c r="AB209" s="6"/>
    </row>
    <row r="210" ht="15.75" customHeight="1">
      <c r="A210" s="130"/>
      <c r="B210" s="2"/>
      <c r="C210" s="132"/>
      <c r="D210" s="132"/>
      <c r="E210" s="132"/>
      <c r="F210" s="132"/>
      <c r="G210" s="6"/>
      <c r="H210" s="6"/>
      <c r="I210" s="6"/>
      <c r="J210" s="6"/>
      <c r="K210" s="131"/>
      <c r="L210" s="131"/>
      <c r="M210" s="131"/>
      <c r="N210" s="131"/>
      <c r="O210" s="6"/>
      <c r="P210" s="6"/>
      <c r="Q210" s="6"/>
      <c r="R210" s="6"/>
      <c r="S210" s="6"/>
      <c r="T210" s="6"/>
      <c r="U210" s="6"/>
      <c r="V210" s="6"/>
      <c r="W210" s="6"/>
      <c r="X210" s="6"/>
      <c r="Y210" s="6"/>
      <c r="Z210" s="6"/>
      <c r="AA210" s="6"/>
      <c r="AB210" s="6"/>
    </row>
    <row r="211" ht="15.75" customHeight="1">
      <c r="A211" s="130"/>
      <c r="B211" s="2"/>
      <c r="C211" s="132"/>
      <c r="D211" s="132"/>
      <c r="E211" s="132"/>
      <c r="F211" s="132"/>
      <c r="G211" s="6"/>
      <c r="H211" s="6"/>
      <c r="I211" s="6"/>
      <c r="J211" s="6"/>
      <c r="K211" s="131"/>
      <c r="L211" s="131"/>
      <c r="M211" s="131"/>
      <c r="N211" s="131"/>
      <c r="O211" s="6"/>
      <c r="P211" s="6"/>
      <c r="Q211" s="6"/>
      <c r="R211" s="6"/>
      <c r="S211" s="6"/>
      <c r="T211" s="6"/>
      <c r="U211" s="6"/>
      <c r="V211" s="6"/>
      <c r="W211" s="6"/>
      <c r="X211" s="6"/>
      <c r="Y211" s="6"/>
      <c r="Z211" s="6"/>
      <c r="AA211" s="6"/>
      <c r="AB211" s="6"/>
    </row>
    <row r="212" ht="15.75" customHeight="1">
      <c r="A212" s="130"/>
      <c r="B212" s="2"/>
      <c r="C212" s="132"/>
      <c r="D212" s="132"/>
      <c r="E212" s="132"/>
      <c r="F212" s="132"/>
      <c r="G212" s="6"/>
      <c r="H212" s="6"/>
      <c r="I212" s="6"/>
      <c r="J212" s="6"/>
      <c r="K212" s="131"/>
      <c r="L212" s="131"/>
      <c r="M212" s="131"/>
      <c r="N212" s="131"/>
      <c r="O212" s="6"/>
      <c r="P212" s="6"/>
      <c r="Q212" s="6"/>
      <c r="R212" s="6"/>
      <c r="S212" s="6"/>
      <c r="T212" s="6"/>
      <c r="U212" s="6"/>
      <c r="V212" s="6"/>
      <c r="W212" s="6"/>
      <c r="X212" s="6"/>
      <c r="Y212" s="6"/>
      <c r="Z212" s="6"/>
      <c r="AA212" s="6"/>
      <c r="AB212" s="6"/>
    </row>
    <row r="213" ht="15.75" customHeight="1">
      <c r="A213" s="130"/>
      <c r="B213" s="2"/>
      <c r="C213" s="132"/>
      <c r="D213" s="132"/>
      <c r="E213" s="132"/>
      <c r="F213" s="132"/>
      <c r="G213" s="6"/>
      <c r="H213" s="6"/>
      <c r="I213" s="6"/>
      <c r="J213" s="6"/>
      <c r="K213" s="131"/>
      <c r="L213" s="131"/>
      <c r="M213" s="131"/>
      <c r="N213" s="131"/>
      <c r="O213" s="6"/>
      <c r="P213" s="6"/>
      <c r="Q213" s="6"/>
      <c r="R213" s="6"/>
      <c r="S213" s="6"/>
      <c r="T213" s="6"/>
      <c r="U213" s="6"/>
      <c r="V213" s="6"/>
      <c r="W213" s="6"/>
      <c r="X213" s="6"/>
      <c r="Y213" s="6"/>
      <c r="Z213" s="6"/>
      <c r="AA213" s="6"/>
      <c r="AB213" s="6"/>
    </row>
    <row r="214" ht="15.75" customHeight="1">
      <c r="A214" s="130"/>
      <c r="B214" s="2"/>
      <c r="C214" s="132"/>
      <c r="D214" s="132"/>
      <c r="E214" s="132"/>
      <c r="F214" s="132"/>
      <c r="G214" s="6"/>
      <c r="H214" s="6"/>
      <c r="I214" s="6"/>
      <c r="J214" s="6"/>
      <c r="K214" s="131"/>
      <c r="L214" s="131"/>
      <c r="M214" s="131"/>
      <c r="N214" s="131"/>
      <c r="O214" s="6"/>
      <c r="P214" s="6"/>
      <c r="Q214" s="6"/>
      <c r="R214" s="6"/>
      <c r="S214" s="6"/>
      <c r="T214" s="6"/>
      <c r="U214" s="6"/>
      <c r="V214" s="6"/>
      <c r="W214" s="6"/>
      <c r="X214" s="6"/>
      <c r="Y214" s="6"/>
      <c r="Z214" s="6"/>
      <c r="AA214" s="6"/>
      <c r="AB214" s="6"/>
    </row>
    <row r="215" ht="15.75" customHeight="1">
      <c r="A215" s="130"/>
      <c r="B215" s="2"/>
      <c r="C215" s="132"/>
      <c r="D215" s="132"/>
      <c r="E215" s="132"/>
      <c r="F215" s="132"/>
      <c r="G215" s="6"/>
      <c r="H215" s="6"/>
      <c r="I215" s="6"/>
      <c r="J215" s="6"/>
      <c r="K215" s="131"/>
      <c r="L215" s="131"/>
      <c r="M215" s="131"/>
      <c r="N215" s="131"/>
      <c r="O215" s="6"/>
      <c r="P215" s="6"/>
      <c r="Q215" s="6"/>
      <c r="R215" s="6"/>
      <c r="S215" s="6"/>
      <c r="T215" s="6"/>
      <c r="U215" s="6"/>
      <c r="V215" s="6"/>
      <c r="W215" s="6"/>
      <c r="X215" s="6"/>
      <c r="Y215" s="6"/>
      <c r="Z215" s="6"/>
      <c r="AA215" s="6"/>
      <c r="AB215" s="6"/>
    </row>
    <row r="216" ht="15.75" customHeight="1">
      <c r="A216" s="130"/>
      <c r="B216" s="2"/>
      <c r="C216" s="132"/>
      <c r="D216" s="132"/>
      <c r="E216" s="132"/>
      <c r="F216" s="132"/>
      <c r="G216" s="6"/>
      <c r="H216" s="6"/>
      <c r="I216" s="6"/>
      <c r="J216" s="6"/>
      <c r="K216" s="131"/>
      <c r="L216" s="131"/>
      <c r="M216" s="131"/>
      <c r="N216" s="131"/>
      <c r="O216" s="6"/>
      <c r="P216" s="6"/>
      <c r="Q216" s="6"/>
      <c r="R216" s="6"/>
      <c r="S216" s="6"/>
      <c r="T216" s="6"/>
      <c r="U216" s="6"/>
      <c r="V216" s="6"/>
      <c r="W216" s="6"/>
      <c r="X216" s="6"/>
      <c r="Y216" s="6"/>
      <c r="Z216" s="6"/>
      <c r="AA216" s="6"/>
      <c r="AB216" s="6"/>
    </row>
    <row r="217" ht="15.75" customHeight="1">
      <c r="A217" s="130"/>
      <c r="B217" s="2"/>
      <c r="C217" s="132"/>
      <c r="D217" s="132"/>
      <c r="E217" s="132"/>
      <c r="F217" s="132"/>
      <c r="G217" s="6"/>
      <c r="H217" s="6"/>
      <c r="I217" s="6"/>
      <c r="J217" s="6"/>
      <c r="K217" s="131"/>
      <c r="L217" s="131"/>
      <c r="M217" s="131"/>
      <c r="N217" s="131"/>
      <c r="O217" s="6"/>
      <c r="P217" s="6"/>
      <c r="Q217" s="6"/>
      <c r="R217" s="6"/>
      <c r="S217" s="6"/>
      <c r="T217" s="6"/>
      <c r="U217" s="6"/>
      <c r="V217" s="6"/>
      <c r="W217" s="6"/>
      <c r="X217" s="6"/>
      <c r="Y217" s="6"/>
      <c r="Z217" s="6"/>
      <c r="AA217" s="6"/>
      <c r="AB217" s="6"/>
    </row>
    <row r="218" ht="15.75" customHeight="1">
      <c r="A218" s="130"/>
      <c r="B218" s="2"/>
      <c r="C218" s="132"/>
      <c r="D218" s="132"/>
      <c r="E218" s="132"/>
      <c r="F218" s="132"/>
      <c r="G218" s="6"/>
      <c r="H218" s="6"/>
      <c r="I218" s="6"/>
      <c r="J218" s="6"/>
      <c r="K218" s="131"/>
      <c r="L218" s="131"/>
      <c r="M218" s="131"/>
      <c r="N218" s="131"/>
      <c r="O218" s="6"/>
      <c r="P218" s="6"/>
      <c r="Q218" s="6"/>
      <c r="R218" s="6"/>
      <c r="S218" s="6"/>
      <c r="T218" s="6"/>
      <c r="U218" s="6"/>
      <c r="V218" s="6"/>
      <c r="W218" s="6"/>
      <c r="X218" s="6"/>
      <c r="Y218" s="6"/>
      <c r="Z218" s="6"/>
      <c r="AA218" s="6"/>
      <c r="AB218" s="6"/>
    </row>
    <row r="219" ht="15.75" customHeight="1">
      <c r="A219" s="130"/>
      <c r="B219" s="2"/>
      <c r="C219" s="132"/>
      <c r="D219" s="132"/>
      <c r="E219" s="132"/>
      <c r="F219" s="132"/>
      <c r="G219" s="6"/>
      <c r="H219" s="6"/>
      <c r="I219" s="6"/>
      <c r="J219" s="6"/>
      <c r="K219" s="131"/>
      <c r="L219" s="131"/>
      <c r="M219" s="131"/>
      <c r="N219" s="131"/>
      <c r="O219" s="6"/>
      <c r="P219" s="6"/>
      <c r="Q219" s="6"/>
      <c r="R219" s="6"/>
      <c r="S219" s="6"/>
      <c r="T219" s="6"/>
      <c r="U219" s="6"/>
      <c r="V219" s="6"/>
      <c r="W219" s="6"/>
      <c r="X219" s="6"/>
      <c r="Y219" s="6"/>
      <c r="Z219" s="6"/>
      <c r="AA219" s="6"/>
      <c r="AB219" s="6"/>
    </row>
    <row r="220" ht="15.75" customHeight="1">
      <c r="A220" s="130"/>
      <c r="B220" s="2"/>
      <c r="C220" s="132"/>
      <c r="D220" s="132"/>
      <c r="E220" s="132"/>
      <c r="F220" s="132"/>
      <c r="G220" s="6"/>
      <c r="H220" s="6"/>
      <c r="I220" s="6"/>
      <c r="J220" s="6"/>
      <c r="K220" s="131"/>
      <c r="L220" s="131"/>
      <c r="M220" s="131"/>
      <c r="N220" s="131"/>
      <c r="O220" s="6"/>
      <c r="P220" s="6"/>
      <c r="Q220" s="6"/>
      <c r="R220" s="6"/>
      <c r="S220" s="6"/>
      <c r="T220" s="6"/>
      <c r="U220" s="6"/>
      <c r="V220" s="6"/>
      <c r="W220" s="6"/>
      <c r="X220" s="6"/>
      <c r="Y220" s="6"/>
      <c r="Z220" s="6"/>
      <c r="AA220" s="6"/>
      <c r="AB220" s="6"/>
    </row>
    <row r="221" ht="15.75" customHeight="1">
      <c r="A221" s="130"/>
      <c r="B221" s="2"/>
      <c r="C221" s="132"/>
      <c r="D221" s="132"/>
      <c r="E221" s="132"/>
      <c r="F221" s="132"/>
      <c r="G221" s="6"/>
      <c r="H221" s="6"/>
      <c r="I221" s="6"/>
      <c r="J221" s="6"/>
      <c r="K221" s="131"/>
      <c r="L221" s="131"/>
      <c r="M221" s="131"/>
      <c r="N221" s="131"/>
      <c r="O221" s="6"/>
      <c r="P221" s="6"/>
      <c r="Q221" s="6"/>
      <c r="R221" s="6"/>
      <c r="S221" s="6"/>
      <c r="T221" s="6"/>
      <c r="U221" s="6"/>
      <c r="V221" s="6"/>
      <c r="W221" s="6"/>
      <c r="X221" s="6"/>
      <c r="Y221" s="6"/>
      <c r="Z221" s="6"/>
      <c r="AA221" s="6"/>
      <c r="AB221" s="6"/>
    </row>
    <row r="222" ht="15.75" customHeight="1">
      <c r="A222" s="130"/>
      <c r="B222" s="2"/>
      <c r="C222" s="132"/>
      <c r="D222" s="132"/>
      <c r="E222" s="132"/>
      <c r="F222" s="132"/>
      <c r="G222" s="6"/>
      <c r="H222" s="6"/>
      <c r="I222" s="6"/>
      <c r="J222" s="6"/>
      <c r="K222" s="131"/>
      <c r="L222" s="131"/>
      <c r="M222" s="131"/>
      <c r="N222" s="131"/>
      <c r="O222" s="6"/>
      <c r="P222" s="6"/>
      <c r="Q222" s="6"/>
      <c r="R222" s="6"/>
      <c r="S222" s="6"/>
      <c r="T222" s="6"/>
      <c r="U222" s="6"/>
      <c r="V222" s="6"/>
      <c r="W222" s="6"/>
      <c r="X222" s="6"/>
      <c r="Y222" s="6"/>
      <c r="Z222" s="6"/>
      <c r="AA222" s="6"/>
      <c r="AB222" s="6"/>
    </row>
    <row r="223" ht="15.75" customHeight="1">
      <c r="A223" s="130"/>
      <c r="B223" s="2"/>
      <c r="C223" s="132"/>
      <c r="D223" s="132"/>
      <c r="E223" s="132"/>
      <c r="F223" s="132"/>
      <c r="G223" s="6"/>
      <c r="H223" s="6"/>
      <c r="I223" s="6"/>
      <c r="J223" s="6"/>
      <c r="K223" s="131"/>
      <c r="L223" s="131"/>
      <c r="M223" s="131"/>
      <c r="N223" s="131"/>
      <c r="O223" s="6"/>
      <c r="P223" s="6"/>
      <c r="Q223" s="6"/>
      <c r="R223" s="6"/>
      <c r="S223" s="6"/>
      <c r="T223" s="6"/>
      <c r="U223" s="6"/>
      <c r="V223" s="6"/>
      <c r="W223" s="6"/>
      <c r="X223" s="6"/>
      <c r="Y223" s="6"/>
      <c r="Z223" s="6"/>
      <c r="AA223" s="6"/>
      <c r="AB223" s="6"/>
    </row>
    <row r="224" ht="15.75" customHeight="1">
      <c r="A224" s="130"/>
      <c r="B224" s="2"/>
      <c r="C224" s="132"/>
      <c r="D224" s="132"/>
      <c r="E224" s="132"/>
      <c r="F224" s="132"/>
      <c r="G224" s="6"/>
      <c r="H224" s="6"/>
      <c r="I224" s="6"/>
      <c r="J224" s="6"/>
      <c r="K224" s="131"/>
      <c r="L224" s="131"/>
      <c r="M224" s="131"/>
      <c r="N224" s="131"/>
      <c r="O224" s="6"/>
      <c r="P224" s="6"/>
      <c r="Q224" s="6"/>
      <c r="R224" s="6"/>
      <c r="S224" s="6"/>
      <c r="T224" s="6"/>
      <c r="U224" s="6"/>
      <c r="V224" s="6"/>
      <c r="W224" s="6"/>
      <c r="X224" s="6"/>
      <c r="Y224" s="6"/>
      <c r="Z224" s="6"/>
      <c r="AA224" s="6"/>
      <c r="AB224" s="6"/>
    </row>
    <row r="225" ht="15.75" customHeight="1">
      <c r="A225" s="130"/>
      <c r="B225" s="2"/>
      <c r="C225" s="132"/>
      <c r="D225" s="132"/>
      <c r="E225" s="132"/>
      <c r="F225" s="132"/>
      <c r="G225" s="6"/>
      <c r="H225" s="6"/>
      <c r="I225" s="6"/>
      <c r="J225" s="6"/>
      <c r="K225" s="131"/>
      <c r="L225" s="131"/>
      <c r="M225" s="131"/>
      <c r="N225" s="131"/>
      <c r="O225" s="6"/>
      <c r="P225" s="6"/>
      <c r="Q225" s="6"/>
      <c r="R225" s="6"/>
      <c r="S225" s="6"/>
      <c r="T225" s="6"/>
      <c r="U225" s="6"/>
      <c r="V225" s="6"/>
      <c r="W225" s="6"/>
      <c r="X225" s="6"/>
      <c r="Y225" s="6"/>
      <c r="Z225" s="6"/>
      <c r="AA225" s="6"/>
      <c r="AB225" s="6"/>
    </row>
    <row r="226" ht="15.75" customHeight="1">
      <c r="A226" s="130"/>
      <c r="B226" s="2"/>
      <c r="C226" s="132"/>
      <c r="D226" s="132"/>
      <c r="E226" s="132"/>
      <c r="F226" s="132"/>
      <c r="G226" s="6"/>
      <c r="H226" s="6"/>
      <c r="I226" s="6"/>
      <c r="J226" s="6"/>
      <c r="K226" s="131"/>
      <c r="L226" s="131"/>
      <c r="M226" s="131"/>
      <c r="N226" s="131"/>
      <c r="O226" s="6"/>
      <c r="P226" s="6"/>
      <c r="Q226" s="6"/>
      <c r="R226" s="6"/>
      <c r="S226" s="6"/>
      <c r="T226" s="6"/>
      <c r="U226" s="6"/>
      <c r="V226" s="6"/>
      <c r="W226" s="6"/>
      <c r="X226" s="6"/>
      <c r="Y226" s="6"/>
      <c r="Z226" s="6"/>
      <c r="AA226" s="6"/>
      <c r="AB226" s="6"/>
    </row>
    <row r="227" ht="15.75" customHeight="1">
      <c r="A227" s="130"/>
      <c r="B227" s="2"/>
      <c r="C227" s="132"/>
      <c r="D227" s="132"/>
      <c r="E227" s="132"/>
      <c r="F227" s="132"/>
      <c r="G227" s="6"/>
      <c r="H227" s="6"/>
      <c r="I227" s="6"/>
      <c r="J227" s="6"/>
      <c r="K227" s="131"/>
      <c r="L227" s="131"/>
      <c r="M227" s="131"/>
      <c r="N227" s="131"/>
      <c r="O227" s="6"/>
      <c r="P227" s="6"/>
      <c r="Q227" s="6"/>
      <c r="R227" s="6"/>
      <c r="S227" s="6"/>
      <c r="T227" s="6"/>
      <c r="U227" s="6"/>
      <c r="V227" s="6"/>
      <c r="W227" s="6"/>
      <c r="X227" s="6"/>
      <c r="Y227" s="6"/>
      <c r="Z227" s="6"/>
      <c r="AA227" s="6"/>
      <c r="AB227" s="6"/>
    </row>
    <row r="228" ht="15.75" customHeight="1">
      <c r="A228" s="130"/>
      <c r="B228" s="2"/>
      <c r="C228" s="132"/>
      <c r="D228" s="132"/>
      <c r="E228" s="132"/>
      <c r="F228" s="132"/>
      <c r="G228" s="6"/>
      <c r="H228" s="6"/>
      <c r="I228" s="6"/>
      <c r="J228" s="6"/>
      <c r="K228" s="131"/>
      <c r="L228" s="131"/>
      <c r="M228" s="131"/>
      <c r="N228" s="131"/>
      <c r="O228" s="6"/>
      <c r="P228" s="6"/>
      <c r="Q228" s="6"/>
      <c r="R228" s="6"/>
      <c r="S228" s="6"/>
      <c r="T228" s="6"/>
      <c r="U228" s="6"/>
      <c r="V228" s="6"/>
      <c r="W228" s="6"/>
      <c r="X228" s="6"/>
      <c r="Y228" s="6"/>
      <c r="Z228" s="6"/>
      <c r="AA228" s="6"/>
      <c r="AB228" s="6"/>
    </row>
    <row r="229" ht="15.75" customHeight="1">
      <c r="A229" s="130"/>
      <c r="B229" s="2"/>
      <c r="C229" s="132"/>
      <c r="D229" s="132"/>
      <c r="E229" s="132"/>
      <c r="F229" s="132"/>
      <c r="G229" s="6"/>
      <c r="H229" s="6"/>
      <c r="I229" s="6"/>
      <c r="J229" s="6"/>
      <c r="K229" s="131"/>
      <c r="L229" s="131"/>
      <c r="M229" s="131"/>
      <c r="N229" s="131"/>
      <c r="O229" s="6"/>
      <c r="P229" s="6"/>
      <c r="Q229" s="6"/>
      <c r="R229" s="6"/>
      <c r="S229" s="6"/>
      <c r="T229" s="6"/>
      <c r="U229" s="6"/>
      <c r="V229" s="6"/>
      <c r="W229" s="6"/>
      <c r="X229" s="6"/>
      <c r="Y229" s="6"/>
      <c r="Z229" s="6"/>
      <c r="AA229" s="6"/>
      <c r="AB229" s="6"/>
    </row>
    <row r="230" ht="15.75" customHeight="1">
      <c r="A230" s="130"/>
      <c r="B230" s="2"/>
      <c r="C230" s="132"/>
      <c r="D230" s="132"/>
      <c r="E230" s="132"/>
      <c r="F230" s="132"/>
      <c r="G230" s="6"/>
      <c r="H230" s="6"/>
      <c r="I230" s="6"/>
      <c r="J230" s="6"/>
      <c r="K230" s="131"/>
      <c r="L230" s="131"/>
      <c r="M230" s="131"/>
      <c r="N230" s="131"/>
      <c r="O230" s="6"/>
      <c r="P230" s="6"/>
      <c r="Q230" s="6"/>
      <c r="R230" s="6"/>
      <c r="S230" s="6"/>
      <c r="T230" s="6"/>
      <c r="U230" s="6"/>
      <c r="V230" s="6"/>
      <c r="W230" s="6"/>
      <c r="X230" s="6"/>
      <c r="Y230" s="6"/>
      <c r="Z230" s="6"/>
      <c r="AA230" s="6"/>
      <c r="AB230" s="6"/>
    </row>
    <row r="231" ht="15.75" customHeight="1">
      <c r="A231" s="130"/>
      <c r="B231" s="2"/>
      <c r="C231" s="132"/>
      <c r="D231" s="132"/>
      <c r="E231" s="132"/>
      <c r="F231" s="132"/>
      <c r="G231" s="6"/>
      <c r="H231" s="6"/>
      <c r="I231" s="6"/>
      <c r="J231" s="6"/>
      <c r="K231" s="131"/>
      <c r="L231" s="131"/>
      <c r="M231" s="131"/>
      <c r="N231" s="131"/>
      <c r="O231" s="6"/>
      <c r="P231" s="6"/>
      <c r="Q231" s="6"/>
      <c r="R231" s="6"/>
      <c r="S231" s="6"/>
      <c r="T231" s="6"/>
      <c r="U231" s="6"/>
      <c r="V231" s="6"/>
      <c r="W231" s="6"/>
      <c r="X231" s="6"/>
      <c r="Y231" s="6"/>
      <c r="Z231" s="6"/>
      <c r="AA231" s="6"/>
      <c r="AB231" s="6"/>
    </row>
    <row r="232" ht="15.75" customHeight="1">
      <c r="A232" s="130"/>
      <c r="B232" s="2"/>
      <c r="C232" s="132"/>
      <c r="D232" s="132"/>
      <c r="E232" s="132"/>
      <c r="F232" s="132"/>
      <c r="G232" s="6"/>
      <c r="H232" s="6"/>
      <c r="I232" s="6"/>
      <c r="J232" s="6"/>
      <c r="K232" s="131"/>
      <c r="L232" s="131"/>
      <c r="M232" s="131"/>
      <c r="N232" s="131"/>
      <c r="O232" s="6"/>
      <c r="P232" s="6"/>
      <c r="Q232" s="6"/>
      <c r="R232" s="6"/>
      <c r="S232" s="6"/>
      <c r="T232" s="6"/>
      <c r="U232" s="6"/>
      <c r="V232" s="6"/>
      <c r="W232" s="6"/>
      <c r="X232" s="6"/>
      <c r="Y232" s="6"/>
      <c r="Z232" s="6"/>
      <c r="AA232" s="6"/>
      <c r="AB232" s="6"/>
    </row>
    <row r="233" ht="15.75" customHeight="1">
      <c r="A233" s="130"/>
      <c r="B233" s="2"/>
      <c r="C233" s="132"/>
      <c r="D233" s="132"/>
      <c r="E233" s="132"/>
      <c r="F233" s="132"/>
      <c r="G233" s="6"/>
      <c r="H233" s="6"/>
      <c r="I233" s="6"/>
      <c r="J233" s="6"/>
      <c r="K233" s="131"/>
      <c r="L233" s="131"/>
      <c r="M233" s="131"/>
      <c r="N233" s="131"/>
      <c r="O233" s="6"/>
      <c r="P233" s="6"/>
      <c r="Q233" s="6"/>
      <c r="R233" s="6"/>
      <c r="S233" s="6"/>
      <c r="T233" s="6"/>
      <c r="U233" s="6"/>
      <c r="V233" s="6"/>
      <c r="W233" s="6"/>
      <c r="X233" s="6"/>
      <c r="Y233" s="6"/>
      <c r="Z233" s="6"/>
      <c r="AA233" s="6"/>
      <c r="AB233" s="6"/>
    </row>
    <row r="234" ht="15.75" customHeight="1">
      <c r="A234" s="130"/>
      <c r="B234" s="2"/>
      <c r="C234" s="132"/>
      <c r="D234" s="132"/>
      <c r="E234" s="132"/>
      <c r="F234" s="132"/>
      <c r="G234" s="6"/>
      <c r="H234" s="6"/>
      <c r="I234" s="6"/>
      <c r="J234" s="6"/>
      <c r="K234" s="131"/>
      <c r="L234" s="131"/>
      <c r="M234" s="131"/>
      <c r="N234" s="131"/>
      <c r="O234" s="6"/>
      <c r="P234" s="6"/>
      <c r="Q234" s="6"/>
      <c r="R234" s="6"/>
      <c r="S234" s="6"/>
      <c r="T234" s="6"/>
      <c r="U234" s="6"/>
      <c r="V234" s="6"/>
      <c r="W234" s="6"/>
      <c r="X234" s="6"/>
      <c r="Y234" s="6"/>
      <c r="Z234" s="6"/>
      <c r="AA234" s="6"/>
      <c r="AB234" s="6"/>
    </row>
    <row r="235" ht="15.75" customHeight="1">
      <c r="A235" s="130"/>
      <c r="B235" s="2"/>
      <c r="C235" s="132"/>
      <c r="D235" s="132"/>
      <c r="E235" s="132"/>
      <c r="F235" s="132"/>
      <c r="G235" s="6"/>
      <c r="H235" s="6"/>
      <c r="I235" s="6"/>
      <c r="J235" s="6"/>
      <c r="K235" s="131"/>
      <c r="L235" s="131"/>
      <c r="M235" s="131"/>
      <c r="N235" s="131"/>
      <c r="O235" s="6"/>
      <c r="P235" s="6"/>
      <c r="Q235" s="6"/>
      <c r="R235" s="6"/>
      <c r="S235" s="6"/>
      <c r="T235" s="6"/>
      <c r="U235" s="6"/>
      <c r="V235" s="6"/>
      <c r="W235" s="6"/>
      <c r="X235" s="6"/>
      <c r="Y235" s="6"/>
      <c r="Z235" s="6"/>
      <c r="AA235" s="6"/>
      <c r="AB235" s="6"/>
    </row>
    <row r="236" ht="15.75" customHeight="1">
      <c r="A236" s="130"/>
      <c r="B236" s="2"/>
      <c r="C236" s="132"/>
      <c r="D236" s="132"/>
      <c r="E236" s="132"/>
      <c r="F236" s="132"/>
      <c r="G236" s="6"/>
      <c r="H236" s="6"/>
      <c r="I236" s="6"/>
      <c r="J236" s="6"/>
      <c r="K236" s="131"/>
      <c r="L236" s="131"/>
      <c r="M236" s="131"/>
      <c r="N236" s="131"/>
      <c r="O236" s="6"/>
      <c r="P236" s="6"/>
      <c r="Q236" s="6"/>
      <c r="R236" s="6"/>
      <c r="S236" s="6"/>
      <c r="T236" s="6"/>
      <c r="U236" s="6"/>
      <c r="V236" s="6"/>
      <c r="W236" s="6"/>
      <c r="X236" s="6"/>
      <c r="Y236" s="6"/>
      <c r="Z236" s="6"/>
      <c r="AA236" s="6"/>
      <c r="AB236" s="6"/>
    </row>
    <row r="237" ht="15.75" customHeight="1">
      <c r="A237" s="130"/>
      <c r="B237" s="2"/>
      <c r="C237" s="132"/>
      <c r="D237" s="132"/>
      <c r="E237" s="132"/>
      <c r="F237" s="132"/>
      <c r="G237" s="6"/>
      <c r="H237" s="6"/>
      <c r="I237" s="6"/>
      <c r="J237" s="6"/>
      <c r="K237" s="131"/>
      <c r="L237" s="131"/>
      <c r="M237" s="131"/>
      <c r="N237" s="131"/>
      <c r="O237" s="6"/>
      <c r="P237" s="6"/>
      <c r="Q237" s="6"/>
      <c r="R237" s="6"/>
      <c r="S237" s="6"/>
      <c r="T237" s="6"/>
      <c r="U237" s="6"/>
      <c r="V237" s="6"/>
      <c r="W237" s="6"/>
      <c r="X237" s="6"/>
      <c r="Y237" s="6"/>
      <c r="Z237" s="6"/>
      <c r="AA237" s="6"/>
      <c r="AB237" s="6"/>
    </row>
    <row r="238" ht="15.75" customHeight="1">
      <c r="A238" s="130"/>
      <c r="B238" s="2"/>
      <c r="C238" s="132"/>
      <c r="D238" s="132"/>
      <c r="E238" s="132"/>
      <c r="F238" s="132"/>
      <c r="G238" s="6"/>
      <c r="H238" s="6"/>
      <c r="I238" s="6"/>
      <c r="J238" s="6"/>
      <c r="K238" s="131"/>
      <c r="L238" s="131"/>
      <c r="M238" s="131"/>
      <c r="N238" s="131"/>
      <c r="O238" s="6"/>
      <c r="P238" s="6"/>
      <c r="Q238" s="6"/>
      <c r="R238" s="6"/>
      <c r="S238" s="6"/>
      <c r="T238" s="6"/>
      <c r="U238" s="6"/>
      <c r="V238" s="6"/>
      <c r="W238" s="6"/>
      <c r="X238" s="6"/>
      <c r="Y238" s="6"/>
      <c r="Z238" s="6"/>
      <c r="AA238" s="6"/>
      <c r="AB238" s="6"/>
    </row>
    <row r="239" ht="15.75" customHeight="1">
      <c r="A239" s="130"/>
      <c r="B239" s="2"/>
      <c r="C239" s="132"/>
      <c r="D239" s="132"/>
      <c r="E239" s="132"/>
      <c r="F239" s="132"/>
      <c r="G239" s="6"/>
      <c r="H239" s="6"/>
      <c r="I239" s="6"/>
      <c r="J239" s="6"/>
      <c r="K239" s="131"/>
      <c r="L239" s="131"/>
      <c r="M239" s="131"/>
      <c r="N239" s="131"/>
      <c r="O239" s="6"/>
      <c r="P239" s="6"/>
      <c r="Q239" s="6"/>
      <c r="R239" s="6"/>
      <c r="S239" s="6"/>
      <c r="T239" s="6"/>
      <c r="U239" s="6"/>
      <c r="V239" s="6"/>
      <c r="W239" s="6"/>
      <c r="X239" s="6"/>
      <c r="Y239" s="6"/>
      <c r="Z239" s="6"/>
      <c r="AA239" s="6"/>
      <c r="AB239" s="6"/>
    </row>
    <row r="240" ht="15.75" customHeight="1">
      <c r="A240" s="130"/>
      <c r="B240" s="2"/>
      <c r="C240" s="132"/>
      <c r="D240" s="132"/>
      <c r="E240" s="132"/>
      <c r="F240" s="132"/>
      <c r="G240" s="6"/>
      <c r="H240" s="6"/>
      <c r="I240" s="6"/>
      <c r="J240" s="6"/>
      <c r="K240" s="131"/>
      <c r="L240" s="131"/>
      <c r="M240" s="131"/>
      <c r="N240" s="131"/>
      <c r="O240" s="6"/>
      <c r="P240" s="6"/>
      <c r="Q240" s="6"/>
      <c r="R240" s="6"/>
      <c r="S240" s="6"/>
      <c r="T240" s="6"/>
      <c r="U240" s="6"/>
      <c r="V240" s="6"/>
      <c r="W240" s="6"/>
      <c r="X240" s="6"/>
      <c r="Y240" s="6"/>
      <c r="Z240" s="6"/>
      <c r="AA240" s="6"/>
      <c r="AB240" s="6"/>
    </row>
    <row r="241" ht="15.75" customHeight="1">
      <c r="A241" s="130"/>
      <c r="B241" s="2"/>
      <c r="C241" s="132"/>
      <c r="D241" s="132"/>
      <c r="E241" s="132"/>
      <c r="F241" s="132"/>
      <c r="G241" s="6"/>
      <c r="H241" s="6"/>
      <c r="I241" s="6"/>
      <c r="J241" s="6"/>
      <c r="K241" s="131"/>
      <c r="L241" s="131"/>
      <c r="M241" s="131"/>
      <c r="N241" s="131"/>
      <c r="O241" s="6"/>
      <c r="P241" s="6"/>
      <c r="Q241" s="6"/>
      <c r="R241" s="6"/>
      <c r="S241" s="6"/>
      <c r="T241" s="6"/>
      <c r="U241" s="6"/>
      <c r="V241" s="6"/>
      <c r="W241" s="6"/>
      <c r="X241" s="6"/>
      <c r="Y241" s="6"/>
      <c r="Z241" s="6"/>
      <c r="AA241" s="6"/>
      <c r="AB241" s="6"/>
    </row>
    <row r="242" ht="15.75" customHeight="1">
      <c r="A242" s="130"/>
      <c r="B242" s="2"/>
      <c r="C242" s="132"/>
      <c r="D242" s="132"/>
      <c r="E242" s="132"/>
      <c r="F242" s="132"/>
      <c r="G242" s="6"/>
      <c r="H242" s="6"/>
      <c r="I242" s="6"/>
      <c r="J242" s="6"/>
      <c r="K242" s="131"/>
      <c r="L242" s="131"/>
      <c r="M242" s="131"/>
      <c r="N242" s="131"/>
      <c r="O242" s="6"/>
      <c r="P242" s="6"/>
      <c r="Q242" s="6"/>
      <c r="R242" s="6"/>
      <c r="S242" s="6"/>
      <c r="T242" s="6"/>
      <c r="U242" s="6"/>
      <c r="V242" s="6"/>
      <c r="W242" s="6"/>
      <c r="X242" s="6"/>
      <c r="Y242" s="6"/>
      <c r="Z242" s="6"/>
      <c r="AA242" s="6"/>
      <c r="AB242" s="6"/>
    </row>
    <row r="243" ht="15.75" customHeight="1">
      <c r="A243" s="130"/>
      <c r="B243" s="2"/>
      <c r="C243" s="132"/>
      <c r="D243" s="132"/>
      <c r="E243" s="132"/>
      <c r="F243" s="132"/>
      <c r="G243" s="6"/>
      <c r="H243" s="6"/>
      <c r="I243" s="6"/>
      <c r="J243" s="6"/>
      <c r="K243" s="131"/>
      <c r="L243" s="131"/>
      <c r="M243" s="131"/>
      <c r="N243" s="131"/>
      <c r="O243" s="6"/>
      <c r="P243" s="6"/>
      <c r="Q243" s="6"/>
      <c r="R243" s="6"/>
      <c r="S243" s="6"/>
      <c r="T243" s="6"/>
      <c r="U243" s="6"/>
      <c r="V243" s="6"/>
      <c r="W243" s="6"/>
      <c r="X243" s="6"/>
      <c r="Y243" s="6"/>
      <c r="Z243" s="6"/>
      <c r="AA243" s="6"/>
      <c r="AB243" s="6"/>
    </row>
    <row r="244" ht="15.75" customHeight="1">
      <c r="A244" s="130"/>
      <c r="B244" s="2"/>
      <c r="C244" s="132"/>
      <c r="D244" s="132"/>
      <c r="E244" s="132"/>
      <c r="F244" s="132"/>
      <c r="G244" s="6"/>
      <c r="H244" s="6"/>
      <c r="I244" s="6"/>
      <c r="J244" s="6"/>
      <c r="K244" s="131"/>
      <c r="L244" s="131"/>
      <c r="M244" s="131"/>
      <c r="N244" s="131"/>
      <c r="O244" s="6"/>
      <c r="P244" s="6"/>
      <c r="Q244" s="6"/>
      <c r="R244" s="6"/>
      <c r="S244" s="6"/>
      <c r="T244" s="6"/>
      <c r="U244" s="6"/>
      <c r="V244" s="6"/>
      <c r="W244" s="6"/>
      <c r="X244" s="6"/>
      <c r="Y244" s="6"/>
      <c r="Z244" s="6"/>
      <c r="AA244" s="6"/>
      <c r="AB244" s="6"/>
    </row>
    <row r="245" ht="15.75" customHeight="1">
      <c r="A245" s="130"/>
      <c r="B245" s="2"/>
      <c r="C245" s="132"/>
      <c r="D245" s="132"/>
      <c r="E245" s="132"/>
      <c r="F245" s="132"/>
      <c r="G245" s="6"/>
      <c r="H245" s="6"/>
      <c r="I245" s="6"/>
      <c r="J245" s="6"/>
      <c r="K245" s="131"/>
      <c r="L245" s="131"/>
      <c r="M245" s="131"/>
      <c r="N245" s="131"/>
      <c r="O245" s="6"/>
      <c r="P245" s="6"/>
      <c r="Q245" s="6"/>
      <c r="R245" s="6"/>
      <c r="S245" s="6"/>
      <c r="T245" s="6"/>
      <c r="U245" s="6"/>
      <c r="V245" s="6"/>
      <c r="W245" s="6"/>
      <c r="X245" s="6"/>
      <c r="Y245" s="6"/>
      <c r="Z245" s="6"/>
      <c r="AA245" s="6"/>
      <c r="AB245" s="6"/>
    </row>
    <row r="246" ht="15.75" customHeight="1">
      <c r="A246" s="130"/>
      <c r="B246" s="2"/>
      <c r="C246" s="132"/>
      <c r="D246" s="132"/>
      <c r="E246" s="132"/>
      <c r="F246" s="132"/>
      <c r="G246" s="6"/>
      <c r="H246" s="6"/>
      <c r="I246" s="6"/>
      <c r="J246" s="6"/>
      <c r="K246" s="131"/>
      <c r="L246" s="131"/>
      <c r="M246" s="131"/>
      <c r="N246" s="131"/>
      <c r="O246" s="6"/>
      <c r="P246" s="6"/>
      <c r="Q246" s="6"/>
      <c r="R246" s="6"/>
      <c r="S246" s="6"/>
      <c r="T246" s="6"/>
      <c r="U246" s="6"/>
      <c r="V246" s="6"/>
      <c r="W246" s="6"/>
      <c r="X246" s="6"/>
      <c r="Y246" s="6"/>
      <c r="Z246" s="6"/>
      <c r="AA246" s="6"/>
      <c r="AB246" s="6"/>
    </row>
    <row r="247" ht="15.75" customHeight="1">
      <c r="A247" s="130"/>
      <c r="B247" s="2"/>
      <c r="C247" s="132"/>
      <c r="D247" s="132"/>
      <c r="E247" s="132"/>
      <c r="F247" s="132"/>
      <c r="G247" s="6"/>
      <c r="H247" s="6"/>
      <c r="I247" s="6"/>
      <c r="J247" s="6"/>
      <c r="K247" s="131"/>
      <c r="L247" s="131"/>
      <c r="M247" s="131"/>
      <c r="N247" s="131"/>
      <c r="O247" s="6"/>
      <c r="P247" s="6"/>
      <c r="Q247" s="6"/>
      <c r="R247" s="6"/>
      <c r="S247" s="6"/>
      <c r="T247" s="6"/>
      <c r="U247" s="6"/>
      <c r="V247" s="6"/>
      <c r="W247" s="6"/>
      <c r="X247" s="6"/>
      <c r="Y247" s="6"/>
      <c r="Z247" s="6"/>
      <c r="AA247" s="6"/>
      <c r="AB247" s="6"/>
    </row>
    <row r="248" ht="15.75" customHeight="1">
      <c r="A248" s="130"/>
      <c r="B248" s="2"/>
      <c r="C248" s="132"/>
      <c r="D248" s="132"/>
      <c r="E248" s="132"/>
      <c r="F248" s="132"/>
      <c r="G248" s="6"/>
      <c r="H248" s="6"/>
      <c r="I248" s="6"/>
      <c r="J248" s="6"/>
      <c r="K248" s="131"/>
      <c r="L248" s="131"/>
      <c r="M248" s="131"/>
      <c r="N248" s="131"/>
      <c r="O248" s="6"/>
      <c r="P248" s="6"/>
      <c r="Q248" s="6"/>
      <c r="R248" s="6"/>
      <c r="S248" s="6"/>
      <c r="T248" s="6"/>
      <c r="U248" s="6"/>
      <c r="V248" s="6"/>
      <c r="W248" s="6"/>
      <c r="X248" s="6"/>
      <c r="Y248" s="6"/>
      <c r="Z248" s="6"/>
      <c r="AA248" s="6"/>
      <c r="AB248" s="6"/>
    </row>
    <row r="249" ht="15.75" customHeight="1">
      <c r="A249" s="130"/>
      <c r="B249" s="2"/>
      <c r="C249" s="132"/>
      <c r="D249" s="132"/>
      <c r="E249" s="132"/>
      <c r="F249" s="132"/>
      <c r="G249" s="6"/>
      <c r="H249" s="6"/>
      <c r="I249" s="6"/>
      <c r="J249" s="6"/>
      <c r="K249" s="131"/>
      <c r="L249" s="131"/>
      <c r="M249" s="131"/>
      <c r="N249" s="131"/>
      <c r="O249" s="6"/>
      <c r="P249" s="6"/>
      <c r="Q249" s="6"/>
      <c r="R249" s="6"/>
      <c r="S249" s="6"/>
      <c r="T249" s="6"/>
      <c r="U249" s="6"/>
      <c r="V249" s="6"/>
      <c r="W249" s="6"/>
      <c r="X249" s="6"/>
      <c r="Y249" s="6"/>
      <c r="Z249" s="6"/>
      <c r="AA249" s="6"/>
      <c r="AB249" s="6"/>
    </row>
    <row r="250" ht="15.75" customHeight="1">
      <c r="A250" s="130"/>
      <c r="B250" s="2"/>
      <c r="C250" s="132"/>
      <c r="D250" s="132"/>
      <c r="E250" s="132"/>
      <c r="F250" s="132"/>
      <c r="G250" s="6"/>
      <c r="H250" s="6"/>
      <c r="I250" s="6"/>
      <c r="J250" s="6"/>
      <c r="K250" s="131"/>
      <c r="L250" s="131"/>
      <c r="M250" s="131"/>
      <c r="N250" s="131"/>
      <c r="O250" s="6"/>
      <c r="P250" s="6"/>
      <c r="Q250" s="6"/>
      <c r="R250" s="6"/>
      <c r="S250" s="6"/>
      <c r="T250" s="6"/>
      <c r="U250" s="6"/>
      <c r="V250" s="6"/>
      <c r="W250" s="6"/>
      <c r="X250" s="6"/>
      <c r="Y250" s="6"/>
      <c r="Z250" s="6"/>
      <c r="AA250" s="6"/>
      <c r="AB250" s="6"/>
    </row>
    <row r="251" ht="15.75" customHeight="1">
      <c r="A251" s="130"/>
      <c r="B251" s="2"/>
      <c r="C251" s="132"/>
      <c r="D251" s="132"/>
      <c r="E251" s="132"/>
      <c r="F251" s="132"/>
      <c r="G251" s="6"/>
      <c r="H251" s="6"/>
      <c r="I251" s="6"/>
      <c r="J251" s="6"/>
      <c r="K251" s="131"/>
      <c r="L251" s="131"/>
      <c r="M251" s="131"/>
      <c r="N251" s="131"/>
      <c r="O251" s="6"/>
      <c r="P251" s="6"/>
      <c r="Q251" s="6"/>
      <c r="R251" s="6"/>
      <c r="S251" s="6"/>
      <c r="T251" s="6"/>
      <c r="U251" s="6"/>
      <c r="V251" s="6"/>
      <c r="W251" s="6"/>
      <c r="X251" s="6"/>
      <c r="Y251" s="6"/>
      <c r="Z251" s="6"/>
      <c r="AA251" s="6"/>
      <c r="AB251" s="6"/>
    </row>
    <row r="252" ht="15.75" customHeight="1">
      <c r="A252" s="130"/>
      <c r="B252" s="2"/>
      <c r="C252" s="132"/>
      <c r="D252" s="132"/>
      <c r="E252" s="132"/>
      <c r="F252" s="132"/>
      <c r="G252" s="6"/>
      <c r="H252" s="6"/>
      <c r="I252" s="6"/>
      <c r="J252" s="6"/>
      <c r="K252" s="131"/>
      <c r="L252" s="131"/>
      <c r="M252" s="131"/>
      <c r="N252" s="131"/>
      <c r="O252" s="6"/>
      <c r="P252" s="6"/>
      <c r="Q252" s="6"/>
      <c r="R252" s="6"/>
      <c r="S252" s="6"/>
      <c r="T252" s="6"/>
      <c r="U252" s="6"/>
      <c r="V252" s="6"/>
      <c r="W252" s="6"/>
      <c r="X252" s="6"/>
      <c r="Y252" s="6"/>
      <c r="Z252" s="6"/>
      <c r="AA252" s="6"/>
      <c r="AB252" s="6"/>
    </row>
    <row r="253" ht="15.75" customHeight="1">
      <c r="A253" s="130"/>
      <c r="B253" s="2"/>
      <c r="C253" s="132"/>
      <c r="D253" s="132"/>
      <c r="E253" s="132"/>
      <c r="F253" s="132"/>
      <c r="G253" s="6"/>
      <c r="H253" s="6"/>
      <c r="I253" s="6"/>
      <c r="J253" s="6"/>
      <c r="K253" s="131"/>
      <c r="L253" s="131"/>
      <c r="M253" s="131"/>
      <c r="N253" s="131"/>
      <c r="O253" s="6"/>
      <c r="P253" s="6"/>
      <c r="Q253" s="6"/>
      <c r="R253" s="6"/>
      <c r="S253" s="6"/>
      <c r="T253" s="6"/>
      <c r="U253" s="6"/>
      <c r="V253" s="6"/>
      <c r="W253" s="6"/>
      <c r="X253" s="6"/>
      <c r="Y253" s="6"/>
      <c r="Z253" s="6"/>
      <c r="AA253" s="6"/>
      <c r="AB253" s="6"/>
    </row>
    <row r="254" ht="15.75" customHeight="1">
      <c r="A254" s="130"/>
      <c r="B254" s="2"/>
      <c r="C254" s="132"/>
      <c r="D254" s="132"/>
      <c r="E254" s="132"/>
      <c r="F254" s="132"/>
      <c r="G254" s="6"/>
      <c r="H254" s="6"/>
      <c r="I254" s="6"/>
      <c r="J254" s="6"/>
      <c r="K254" s="131"/>
      <c r="L254" s="131"/>
      <c r="M254" s="131"/>
      <c r="N254" s="131"/>
      <c r="O254" s="6"/>
      <c r="P254" s="6"/>
      <c r="Q254" s="6"/>
      <c r="R254" s="6"/>
      <c r="S254" s="6"/>
      <c r="T254" s="6"/>
      <c r="U254" s="6"/>
      <c r="V254" s="6"/>
      <c r="W254" s="6"/>
      <c r="X254" s="6"/>
      <c r="Y254" s="6"/>
      <c r="Z254" s="6"/>
      <c r="AA254" s="6"/>
      <c r="AB254" s="6"/>
    </row>
    <row r="255" ht="15.75" customHeight="1">
      <c r="A255" s="130"/>
      <c r="B255" s="2"/>
      <c r="C255" s="132"/>
      <c r="D255" s="132"/>
      <c r="E255" s="132"/>
      <c r="F255" s="132"/>
      <c r="G255" s="6"/>
      <c r="H255" s="6"/>
      <c r="I255" s="6"/>
      <c r="J255" s="6"/>
      <c r="K255" s="131"/>
      <c r="L255" s="131"/>
      <c r="M255" s="131"/>
      <c r="N255" s="131"/>
      <c r="O255" s="6"/>
      <c r="P255" s="6"/>
      <c r="Q255" s="6"/>
      <c r="R255" s="6"/>
      <c r="S255" s="6"/>
      <c r="T255" s="6"/>
      <c r="U255" s="6"/>
      <c r="V255" s="6"/>
      <c r="W255" s="6"/>
      <c r="X255" s="6"/>
      <c r="Y255" s="6"/>
      <c r="Z255" s="6"/>
      <c r="AA255" s="6"/>
      <c r="AB255" s="6"/>
    </row>
    <row r="256" ht="15.75" customHeight="1">
      <c r="A256" s="130"/>
      <c r="B256" s="2"/>
      <c r="C256" s="132"/>
      <c r="D256" s="132"/>
      <c r="E256" s="132"/>
      <c r="F256" s="132"/>
      <c r="G256" s="6"/>
      <c r="H256" s="6"/>
      <c r="I256" s="6"/>
      <c r="J256" s="6"/>
      <c r="K256" s="131"/>
      <c r="L256" s="131"/>
      <c r="M256" s="131"/>
      <c r="N256" s="131"/>
      <c r="O256" s="6"/>
      <c r="P256" s="6"/>
      <c r="Q256" s="6"/>
      <c r="R256" s="6"/>
      <c r="S256" s="6"/>
      <c r="T256" s="6"/>
      <c r="U256" s="6"/>
      <c r="V256" s="6"/>
      <c r="W256" s="6"/>
      <c r="X256" s="6"/>
      <c r="Y256" s="6"/>
      <c r="Z256" s="6"/>
      <c r="AA256" s="6"/>
      <c r="AB256" s="6"/>
    </row>
    <row r="257" ht="15.75" customHeight="1">
      <c r="A257" s="130"/>
      <c r="B257" s="2"/>
      <c r="C257" s="132"/>
      <c r="D257" s="132"/>
      <c r="E257" s="132"/>
      <c r="F257" s="132"/>
      <c r="G257" s="6"/>
      <c r="H257" s="6"/>
      <c r="I257" s="6"/>
      <c r="J257" s="6"/>
      <c r="K257" s="131"/>
      <c r="L257" s="131"/>
      <c r="M257" s="131"/>
      <c r="N257" s="131"/>
      <c r="O257" s="6"/>
      <c r="P257" s="6"/>
      <c r="Q257" s="6"/>
      <c r="R257" s="6"/>
      <c r="S257" s="6"/>
      <c r="T257" s="6"/>
      <c r="U257" s="6"/>
      <c r="V257" s="6"/>
      <c r="W257" s="6"/>
      <c r="X257" s="6"/>
      <c r="Y257" s="6"/>
      <c r="Z257" s="6"/>
      <c r="AA257" s="6"/>
      <c r="AB257" s="6"/>
    </row>
    <row r="258" ht="15.75" customHeight="1">
      <c r="A258" s="130"/>
      <c r="B258" s="2"/>
      <c r="C258" s="132"/>
      <c r="D258" s="132"/>
      <c r="E258" s="132"/>
      <c r="F258" s="132"/>
      <c r="G258" s="6"/>
      <c r="H258" s="6"/>
      <c r="I258" s="6"/>
      <c r="J258" s="6"/>
      <c r="K258" s="131"/>
      <c r="L258" s="131"/>
      <c r="M258" s="131"/>
      <c r="N258" s="131"/>
      <c r="O258" s="6"/>
      <c r="P258" s="6"/>
      <c r="Q258" s="6"/>
      <c r="R258" s="6"/>
      <c r="S258" s="6"/>
      <c r="T258" s="6"/>
      <c r="U258" s="6"/>
      <c r="V258" s="6"/>
      <c r="W258" s="6"/>
      <c r="X258" s="6"/>
      <c r="Y258" s="6"/>
      <c r="Z258" s="6"/>
      <c r="AA258" s="6"/>
      <c r="AB258" s="6"/>
    </row>
    <row r="259" ht="15.75" customHeight="1">
      <c r="A259" s="130"/>
      <c r="B259" s="2"/>
      <c r="C259" s="132"/>
      <c r="D259" s="132"/>
      <c r="E259" s="132"/>
      <c r="F259" s="132"/>
      <c r="G259" s="6"/>
      <c r="H259" s="6"/>
      <c r="I259" s="6"/>
      <c r="J259" s="6"/>
      <c r="K259" s="131"/>
      <c r="L259" s="131"/>
      <c r="M259" s="131"/>
      <c r="N259" s="131"/>
      <c r="O259" s="6"/>
      <c r="P259" s="6"/>
      <c r="Q259" s="6"/>
      <c r="R259" s="6"/>
      <c r="S259" s="6"/>
      <c r="T259" s="6"/>
      <c r="U259" s="6"/>
      <c r="V259" s="6"/>
      <c r="W259" s="6"/>
      <c r="X259" s="6"/>
      <c r="Y259" s="6"/>
      <c r="Z259" s="6"/>
      <c r="AA259" s="6"/>
      <c r="AB259" s="6"/>
    </row>
    <row r="260" ht="15.75" customHeight="1">
      <c r="A260" s="130"/>
      <c r="B260" s="2"/>
      <c r="C260" s="132"/>
      <c r="D260" s="132"/>
      <c r="E260" s="132"/>
      <c r="F260" s="132"/>
      <c r="G260" s="6"/>
      <c r="H260" s="6"/>
      <c r="I260" s="6"/>
      <c r="J260" s="6"/>
      <c r="K260" s="131"/>
      <c r="L260" s="131"/>
      <c r="M260" s="131"/>
      <c r="N260" s="131"/>
      <c r="O260" s="6"/>
      <c r="P260" s="6"/>
      <c r="Q260" s="6"/>
      <c r="R260" s="6"/>
      <c r="S260" s="6"/>
      <c r="T260" s="6"/>
      <c r="U260" s="6"/>
      <c r="V260" s="6"/>
      <c r="W260" s="6"/>
      <c r="X260" s="6"/>
      <c r="Y260" s="6"/>
      <c r="Z260" s="6"/>
      <c r="AA260" s="6"/>
      <c r="AB260" s="6"/>
    </row>
    <row r="261" ht="15.75" customHeight="1">
      <c r="A261" s="130"/>
      <c r="B261" s="2"/>
      <c r="C261" s="132"/>
      <c r="D261" s="132"/>
      <c r="E261" s="132"/>
      <c r="F261" s="132"/>
      <c r="G261" s="6"/>
      <c r="H261" s="6"/>
      <c r="I261" s="6"/>
      <c r="J261" s="6"/>
      <c r="K261" s="131"/>
      <c r="L261" s="131"/>
      <c r="M261" s="131"/>
      <c r="N261" s="131"/>
      <c r="O261" s="6"/>
      <c r="P261" s="6"/>
      <c r="Q261" s="6"/>
      <c r="R261" s="6"/>
      <c r="S261" s="6"/>
      <c r="T261" s="6"/>
      <c r="U261" s="6"/>
      <c r="V261" s="6"/>
      <c r="W261" s="6"/>
      <c r="X261" s="6"/>
      <c r="Y261" s="6"/>
      <c r="Z261" s="6"/>
      <c r="AA261" s="6"/>
      <c r="AB261" s="6"/>
    </row>
    <row r="262" ht="15.75" customHeight="1">
      <c r="A262" s="130"/>
      <c r="B262" s="2"/>
      <c r="C262" s="132"/>
      <c r="D262" s="132"/>
      <c r="E262" s="132"/>
      <c r="F262" s="132"/>
      <c r="G262" s="6"/>
      <c r="H262" s="6"/>
      <c r="I262" s="6"/>
      <c r="J262" s="6"/>
      <c r="K262" s="131"/>
      <c r="L262" s="131"/>
      <c r="M262" s="131"/>
      <c r="N262" s="131"/>
      <c r="O262" s="6"/>
      <c r="P262" s="6"/>
      <c r="Q262" s="6"/>
      <c r="R262" s="6"/>
      <c r="S262" s="6"/>
      <c r="T262" s="6"/>
      <c r="U262" s="6"/>
      <c r="V262" s="6"/>
      <c r="W262" s="6"/>
      <c r="X262" s="6"/>
      <c r="Y262" s="6"/>
      <c r="Z262" s="6"/>
      <c r="AA262" s="6"/>
      <c r="AB262" s="6"/>
    </row>
    <row r="263" ht="15.75" customHeight="1">
      <c r="A263" s="130"/>
      <c r="B263" s="2"/>
      <c r="C263" s="132"/>
      <c r="D263" s="132"/>
      <c r="E263" s="132"/>
      <c r="F263" s="132"/>
      <c r="G263" s="6"/>
      <c r="H263" s="6"/>
      <c r="I263" s="6"/>
      <c r="J263" s="6"/>
      <c r="K263" s="131"/>
      <c r="L263" s="131"/>
      <c r="M263" s="131"/>
      <c r="N263" s="131"/>
      <c r="O263" s="6"/>
      <c r="P263" s="6"/>
      <c r="Q263" s="6"/>
      <c r="R263" s="6"/>
      <c r="S263" s="6"/>
      <c r="T263" s="6"/>
      <c r="U263" s="6"/>
      <c r="V263" s="6"/>
      <c r="W263" s="6"/>
      <c r="X263" s="6"/>
      <c r="Y263" s="6"/>
      <c r="Z263" s="6"/>
      <c r="AA263" s="6"/>
      <c r="AB263" s="6"/>
    </row>
    <row r="264" ht="15.75" customHeight="1">
      <c r="A264" s="130"/>
      <c r="B264" s="2"/>
      <c r="C264" s="132"/>
      <c r="D264" s="132"/>
      <c r="E264" s="132"/>
      <c r="F264" s="132"/>
      <c r="G264" s="6"/>
      <c r="H264" s="6"/>
      <c r="I264" s="6"/>
      <c r="J264" s="6"/>
      <c r="K264" s="131"/>
      <c r="L264" s="131"/>
      <c r="M264" s="131"/>
      <c r="N264" s="131"/>
      <c r="O264" s="6"/>
      <c r="P264" s="6"/>
      <c r="Q264" s="6"/>
      <c r="R264" s="6"/>
      <c r="S264" s="6"/>
      <c r="T264" s="6"/>
      <c r="U264" s="6"/>
      <c r="V264" s="6"/>
      <c r="W264" s="6"/>
      <c r="X264" s="6"/>
      <c r="Y264" s="6"/>
      <c r="Z264" s="6"/>
      <c r="AA264" s="6"/>
      <c r="AB264" s="6"/>
    </row>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5">
    <mergeCell ref="A10:A14"/>
    <mergeCell ref="H10:H14"/>
    <mergeCell ref="I10:I14"/>
    <mergeCell ref="J10:J14"/>
    <mergeCell ref="I15:I17"/>
    <mergeCell ref="J15:J17"/>
    <mergeCell ref="B18:C18"/>
    <mergeCell ref="H15:H17"/>
    <mergeCell ref="H18:H20"/>
    <mergeCell ref="I18:I20"/>
    <mergeCell ref="J18:J20"/>
    <mergeCell ref="H21:H25"/>
    <mergeCell ref="I21:I25"/>
    <mergeCell ref="J21:J25"/>
    <mergeCell ref="I37:I42"/>
    <mergeCell ref="J37:J42"/>
    <mergeCell ref="H26:H30"/>
    <mergeCell ref="I26:I30"/>
    <mergeCell ref="J26:J30"/>
    <mergeCell ref="H31:H36"/>
    <mergeCell ref="I31:I36"/>
    <mergeCell ref="J31:J36"/>
    <mergeCell ref="H37:H42"/>
    <mergeCell ref="H53:H57"/>
    <mergeCell ref="I53:I57"/>
    <mergeCell ref="H58:H62"/>
    <mergeCell ref="I58:I62"/>
    <mergeCell ref="J58:J62"/>
    <mergeCell ref="H43:H47"/>
    <mergeCell ref="I43:I47"/>
    <mergeCell ref="G48:G52"/>
    <mergeCell ref="H48:H52"/>
    <mergeCell ref="I48:I52"/>
    <mergeCell ref="J48:J52"/>
    <mergeCell ref="G53:G57"/>
    <mergeCell ref="J53:J57"/>
    <mergeCell ref="A53:A57"/>
    <mergeCell ref="A58:A62"/>
    <mergeCell ref="A15:A17"/>
    <mergeCell ref="A18:A20"/>
    <mergeCell ref="A21:A25"/>
    <mergeCell ref="A26:A30"/>
    <mergeCell ref="A31:A36"/>
    <mergeCell ref="A37:A42"/>
    <mergeCell ref="A48:A52"/>
  </mergeCells>
  <hyperlinks>
    <hyperlink r:id="rId1" ref="E12"/>
    <hyperlink r:id="rId2" ref="E13"/>
    <hyperlink r:id="rId3" ref="E16"/>
    <hyperlink r:id="rId4" ref="E17"/>
    <hyperlink r:id="rId5" ref="E19"/>
    <hyperlink r:id="rId6" ref="E20"/>
    <hyperlink r:id="rId7" ref="E23"/>
    <hyperlink r:id="rId8" ref="E27"/>
    <hyperlink r:id="rId9" ref="E28"/>
    <hyperlink r:id="rId10" ref="E35"/>
    <hyperlink r:id="rId11" ref="E38"/>
    <hyperlink r:id="rId12" ref="E39"/>
    <hyperlink r:id="rId13" ref="E49"/>
    <hyperlink r:id="rId14" ref="E50"/>
    <hyperlink r:id="rId15" ref="E51"/>
    <hyperlink r:id="rId16" ref="E52"/>
    <hyperlink r:id="rId17" ref="E54"/>
    <hyperlink r:id="rId18" ref="E59"/>
    <hyperlink r:id="rId19" ref="E60"/>
  </hyperlinks>
  <printOptions horizontalCentered="1"/>
  <pageMargins bottom="0.75" footer="0.0" header="0.0" left="1.25" right="0.25" top="0.75"/>
  <pageSetup paperSize="5" scale="60" orientation="landscape"/>
  <drawing r:id="rId2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showGridLines="0"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4.88"/>
    <col customWidth="1" min="2" max="2" width="53.0"/>
    <col customWidth="1" min="3" max="3" width="9.75"/>
    <col customWidth="1" min="4" max="4" width="18.0"/>
    <col customWidth="1" min="5" max="6" width="21.25"/>
    <col customWidth="1" min="7" max="8" width="62.13"/>
    <col customWidth="1" min="9" max="9" width="42.13"/>
    <col customWidth="1" min="10" max="10" width="33.38"/>
    <col customWidth="1" min="11" max="20" width="8.13"/>
  </cols>
  <sheetData>
    <row r="1" ht="9.0" customHeight="1">
      <c r="A1" s="130"/>
      <c r="B1" s="2"/>
      <c r="C1" s="132"/>
      <c r="D1" s="132"/>
      <c r="E1" s="132"/>
      <c r="F1" s="132"/>
      <c r="G1" s="6"/>
      <c r="H1" s="6"/>
      <c r="I1" s="6"/>
      <c r="J1" s="188"/>
      <c r="K1" s="131"/>
      <c r="L1" s="131"/>
      <c r="M1" s="131"/>
      <c r="N1" s="131"/>
      <c r="O1" s="131"/>
      <c r="P1" s="131"/>
      <c r="Q1" s="131"/>
      <c r="R1" s="131"/>
      <c r="S1" s="131"/>
      <c r="T1" s="131"/>
      <c r="U1" s="6"/>
      <c r="V1" s="6"/>
      <c r="W1" s="6"/>
      <c r="X1" s="6"/>
      <c r="Y1" s="6"/>
      <c r="Z1" s="6"/>
      <c r="AA1" s="6"/>
      <c r="AB1" s="6"/>
    </row>
    <row r="2" ht="15.75" customHeight="1">
      <c r="A2" s="130"/>
      <c r="B2" s="2"/>
      <c r="C2" s="132"/>
      <c r="D2" s="132"/>
      <c r="E2" s="132"/>
      <c r="F2" s="132"/>
      <c r="G2" s="6"/>
      <c r="H2" s="6"/>
      <c r="I2" s="6"/>
      <c r="J2" s="188"/>
      <c r="K2" s="131"/>
      <c r="L2" s="131"/>
      <c r="M2" s="131"/>
      <c r="N2" s="131"/>
      <c r="O2" s="131"/>
      <c r="P2" s="131"/>
      <c r="Q2" s="131"/>
      <c r="R2" s="131"/>
      <c r="S2" s="131"/>
      <c r="T2" s="131"/>
      <c r="U2" s="6"/>
      <c r="V2" s="6"/>
      <c r="W2" s="6"/>
      <c r="X2" s="6"/>
      <c r="Y2" s="6"/>
      <c r="Z2" s="6"/>
      <c r="AA2" s="6"/>
      <c r="AB2" s="6"/>
    </row>
    <row r="3" ht="15.75" customHeight="1">
      <c r="A3" s="130"/>
      <c r="B3" s="2"/>
      <c r="C3" s="132"/>
      <c r="D3" s="132"/>
      <c r="E3" s="132"/>
      <c r="F3" s="132"/>
      <c r="G3" s="6"/>
      <c r="H3" s="6"/>
      <c r="I3" s="6"/>
      <c r="J3" s="188"/>
      <c r="K3" s="131"/>
      <c r="L3" s="131"/>
      <c r="M3" s="131"/>
      <c r="N3" s="131"/>
      <c r="O3" s="131"/>
      <c r="P3" s="131"/>
      <c r="Q3" s="131"/>
      <c r="R3" s="131"/>
      <c r="S3" s="131"/>
      <c r="T3" s="131"/>
      <c r="U3" s="6"/>
      <c r="V3" s="6"/>
      <c r="W3" s="6"/>
      <c r="X3" s="6"/>
      <c r="Y3" s="6"/>
      <c r="Z3" s="6"/>
      <c r="AA3" s="6"/>
      <c r="AB3" s="6"/>
    </row>
    <row r="4" ht="15.75" customHeight="1">
      <c r="A4" s="130"/>
      <c r="B4" s="2"/>
      <c r="C4" s="132"/>
      <c r="D4" s="132"/>
      <c r="E4" s="132"/>
      <c r="F4" s="132"/>
      <c r="G4" s="6"/>
      <c r="H4" s="6"/>
      <c r="I4" s="6"/>
      <c r="J4" s="188"/>
      <c r="K4" s="131"/>
      <c r="L4" s="131"/>
      <c r="M4" s="131"/>
      <c r="N4" s="131"/>
      <c r="O4" s="131"/>
      <c r="P4" s="131"/>
      <c r="Q4" s="131"/>
      <c r="R4" s="131"/>
      <c r="S4" s="131"/>
      <c r="T4" s="131"/>
      <c r="U4" s="6"/>
      <c r="V4" s="6"/>
      <c r="W4" s="6"/>
      <c r="X4" s="6"/>
      <c r="Y4" s="6"/>
      <c r="Z4" s="6"/>
      <c r="AA4" s="6"/>
      <c r="AB4" s="6"/>
    </row>
    <row r="5" ht="15.75" customHeight="1">
      <c r="A5" s="130"/>
      <c r="B5" s="2"/>
      <c r="C5" s="132"/>
      <c r="D5" s="132"/>
      <c r="E5" s="132"/>
      <c r="F5" s="132"/>
      <c r="G5" s="6"/>
      <c r="H5" s="6"/>
      <c r="I5" s="6"/>
      <c r="J5" s="188"/>
      <c r="K5" s="131"/>
      <c r="L5" s="131"/>
      <c r="M5" s="131"/>
      <c r="N5" s="131"/>
      <c r="O5" s="131"/>
      <c r="P5" s="131"/>
      <c r="Q5" s="131"/>
      <c r="R5" s="131"/>
      <c r="S5" s="131"/>
      <c r="T5" s="131"/>
      <c r="U5" s="6"/>
      <c r="V5" s="6"/>
      <c r="W5" s="6"/>
      <c r="X5" s="6"/>
      <c r="Y5" s="6"/>
      <c r="Z5" s="6"/>
      <c r="AA5" s="6"/>
      <c r="AB5" s="6"/>
    </row>
    <row r="6" ht="15.75" customHeight="1">
      <c r="A6" s="130"/>
      <c r="B6" s="2"/>
      <c r="C6" s="132"/>
      <c r="D6" s="132"/>
      <c r="E6" s="132"/>
      <c r="F6" s="132"/>
      <c r="G6" s="6"/>
      <c r="H6" s="6"/>
      <c r="I6" s="6"/>
      <c r="J6" s="188"/>
      <c r="K6" s="131"/>
      <c r="L6" s="131"/>
      <c r="M6" s="131"/>
      <c r="N6" s="131"/>
      <c r="O6" s="131"/>
      <c r="P6" s="131"/>
      <c r="Q6" s="131"/>
      <c r="R6" s="131"/>
      <c r="S6" s="131"/>
      <c r="T6" s="131"/>
      <c r="U6" s="6"/>
      <c r="V6" s="6"/>
      <c r="W6" s="6"/>
      <c r="X6" s="6"/>
      <c r="Y6" s="6"/>
      <c r="Z6" s="6"/>
      <c r="AA6" s="6"/>
      <c r="AB6" s="6"/>
    </row>
    <row r="7" ht="15.75" customHeight="1">
      <c r="A7" s="130"/>
      <c r="B7" s="2"/>
      <c r="C7" s="132"/>
      <c r="D7" s="132"/>
      <c r="E7" s="132"/>
      <c r="F7" s="132"/>
      <c r="G7" s="6"/>
      <c r="H7" s="6"/>
      <c r="I7" s="6"/>
      <c r="J7" s="188"/>
      <c r="K7" s="131"/>
      <c r="L7" s="131"/>
      <c r="M7" s="131"/>
      <c r="N7" s="131"/>
      <c r="O7" s="131"/>
      <c r="P7" s="131"/>
      <c r="Q7" s="131"/>
      <c r="R7" s="131"/>
      <c r="S7" s="131"/>
      <c r="T7" s="131"/>
      <c r="U7" s="6"/>
      <c r="V7" s="6"/>
      <c r="W7" s="6"/>
      <c r="X7" s="6"/>
      <c r="Y7" s="6"/>
      <c r="Z7" s="6"/>
      <c r="AA7" s="6"/>
      <c r="AB7" s="6"/>
    </row>
    <row r="8" ht="33.75" customHeight="1">
      <c r="A8" s="253" t="s">
        <v>0</v>
      </c>
      <c r="B8" s="255" t="s">
        <v>834</v>
      </c>
      <c r="C8" s="255" t="s">
        <v>2</v>
      </c>
      <c r="D8" s="12" t="s">
        <v>3</v>
      </c>
      <c r="E8" s="12" t="s">
        <v>4</v>
      </c>
      <c r="F8" s="12" t="s">
        <v>5</v>
      </c>
      <c r="G8" s="12" t="s">
        <v>6</v>
      </c>
      <c r="H8" s="12" t="s">
        <v>7</v>
      </c>
      <c r="I8" s="12" t="s">
        <v>8</v>
      </c>
      <c r="J8" s="296" t="s">
        <v>9</v>
      </c>
      <c r="K8" s="136"/>
      <c r="L8" s="136"/>
      <c r="M8" s="136"/>
      <c r="N8" s="136"/>
      <c r="O8" s="136"/>
      <c r="P8" s="136"/>
      <c r="Q8" s="136"/>
      <c r="R8" s="136"/>
      <c r="S8" s="136"/>
      <c r="T8" s="136"/>
      <c r="U8" s="6"/>
      <c r="V8" s="6"/>
      <c r="W8" s="6"/>
      <c r="X8" s="6"/>
      <c r="Y8" s="6"/>
      <c r="Z8" s="6"/>
      <c r="AA8" s="6"/>
      <c r="AB8" s="6"/>
    </row>
    <row r="9" ht="51.0" customHeight="1">
      <c r="A9" s="137">
        <v>1.0</v>
      </c>
      <c r="B9" s="163" t="s">
        <v>835</v>
      </c>
      <c r="C9" s="297"/>
      <c r="D9" s="298"/>
      <c r="E9" s="202"/>
      <c r="F9" s="202"/>
      <c r="G9" s="190"/>
      <c r="H9" s="186" t="s">
        <v>836</v>
      </c>
      <c r="I9" s="186" t="s">
        <v>837</v>
      </c>
      <c r="J9" s="186" t="s">
        <v>838</v>
      </c>
      <c r="K9" s="13"/>
      <c r="L9" s="13"/>
      <c r="M9" s="13"/>
      <c r="N9" s="13"/>
      <c r="O9" s="13"/>
      <c r="P9" s="13"/>
      <c r="Q9" s="13"/>
      <c r="R9" s="13"/>
      <c r="S9" s="13"/>
      <c r="T9" s="13"/>
      <c r="U9" s="6"/>
      <c r="V9" s="6"/>
      <c r="W9" s="6"/>
      <c r="X9" s="6"/>
      <c r="Y9" s="6"/>
      <c r="Z9" s="6"/>
      <c r="AA9" s="6"/>
      <c r="AB9" s="6"/>
    </row>
    <row r="10" ht="21.0" customHeight="1">
      <c r="A10" s="24"/>
      <c r="B10" s="51" t="s">
        <v>558</v>
      </c>
      <c r="C10" s="299">
        <v>100.0</v>
      </c>
      <c r="D10" s="94">
        <v>100.0</v>
      </c>
      <c r="E10" s="93" t="s">
        <v>839</v>
      </c>
      <c r="F10" s="300">
        <v>100.0</v>
      </c>
      <c r="G10" s="190"/>
      <c r="H10" s="24"/>
      <c r="I10" s="24"/>
      <c r="J10" s="24"/>
      <c r="K10" s="13"/>
      <c r="L10" s="13"/>
      <c r="M10" s="13"/>
      <c r="N10" s="13"/>
      <c r="O10" s="13"/>
      <c r="P10" s="13"/>
      <c r="Q10" s="13"/>
      <c r="R10" s="13"/>
      <c r="S10" s="13"/>
      <c r="T10" s="13"/>
      <c r="U10" s="6"/>
      <c r="V10" s="6"/>
      <c r="W10" s="6"/>
      <c r="X10" s="6"/>
      <c r="Y10" s="6"/>
      <c r="Z10" s="6"/>
      <c r="AA10" s="6"/>
      <c r="AB10" s="6"/>
    </row>
    <row r="11" ht="21.0" customHeight="1">
      <c r="A11" s="32"/>
      <c r="B11" s="51" t="s">
        <v>90</v>
      </c>
      <c r="C11" s="299">
        <v>0.0</v>
      </c>
      <c r="D11" s="301"/>
      <c r="E11" s="93" t="s">
        <v>840</v>
      </c>
      <c r="F11" s="300"/>
      <c r="G11" s="190"/>
      <c r="H11" s="32"/>
      <c r="I11" s="32"/>
      <c r="J11" s="32"/>
      <c r="K11" s="13"/>
      <c r="L11" s="13"/>
      <c r="M11" s="13"/>
      <c r="N11" s="13"/>
      <c r="O11" s="13"/>
      <c r="P11" s="13"/>
      <c r="Q11" s="13"/>
      <c r="R11" s="13"/>
      <c r="S11" s="13"/>
      <c r="T11" s="13"/>
      <c r="U11" s="6"/>
      <c r="V11" s="6"/>
      <c r="W11" s="6"/>
      <c r="X11" s="6"/>
      <c r="Y11" s="6"/>
      <c r="Z11" s="6"/>
      <c r="AA11" s="6"/>
      <c r="AB11" s="6"/>
    </row>
    <row r="12" ht="64.5" customHeight="1">
      <c r="A12" s="137">
        <v>2.0</v>
      </c>
      <c r="B12" s="148" t="s">
        <v>841</v>
      </c>
      <c r="C12" s="297"/>
      <c r="D12" s="298"/>
      <c r="E12" s="192"/>
      <c r="F12" s="192"/>
      <c r="G12" s="59"/>
      <c r="H12" s="302" t="s">
        <v>842</v>
      </c>
      <c r="I12" s="302" t="s">
        <v>843</v>
      </c>
      <c r="J12" s="302" t="s">
        <v>844</v>
      </c>
      <c r="K12" s="13"/>
      <c r="L12" s="13"/>
      <c r="M12" s="13"/>
      <c r="N12" s="13"/>
      <c r="O12" s="13"/>
      <c r="P12" s="13"/>
      <c r="Q12" s="13"/>
      <c r="R12" s="13"/>
      <c r="S12" s="13"/>
      <c r="T12" s="13"/>
      <c r="U12" s="6"/>
      <c r="V12" s="6"/>
      <c r="W12" s="6"/>
      <c r="X12" s="6"/>
      <c r="Y12" s="6"/>
      <c r="Z12" s="6"/>
      <c r="AA12" s="6"/>
      <c r="AB12" s="6"/>
    </row>
    <row r="13" ht="21.0" customHeight="1">
      <c r="A13" s="24"/>
      <c r="B13" s="303" t="s">
        <v>566</v>
      </c>
      <c r="C13" s="116">
        <v>100.0</v>
      </c>
      <c r="D13" s="304">
        <v>100.0</v>
      </c>
      <c r="E13" s="93" t="s">
        <v>845</v>
      </c>
      <c r="F13" s="201">
        <v>100.0</v>
      </c>
      <c r="G13" s="59"/>
      <c r="H13" s="24"/>
      <c r="I13" s="24"/>
      <c r="J13" s="24"/>
      <c r="K13" s="13"/>
      <c r="L13" s="13"/>
      <c r="M13" s="13"/>
      <c r="N13" s="13"/>
      <c r="O13" s="13"/>
      <c r="P13" s="13"/>
      <c r="Q13" s="13"/>
      <c r="R13" s="13"/>
      <c r="S13" s="13"/>
      <c r="T13" s="13"/>
      <c r="U13" s="6"/>
      <c r="V13" s="6"/>
      <c r="W13" s="6"/>
      <c r="X13" s="6"/>
      <c r="Y13" s="6"/>
      <c r="Z13" s="6"/>
      <c r="AA13" s="6"/>
      <c r="AB13" s="6"/>
    </row>
    <row r="14" ht="21.0" customHeight="1">
      <c r="A14" s="32"/>
      <c r="B14" s="303" t="s">
        <v>569</v>
      </c>
      <c r="C14" s="116">
        <v>0.0</v>
      </c>
      <c r="D14" s="301"/>
      <c r="E14" s="93" t="s">
        <v>846</v>
      </c>
      <c r="F14" s="201"/>
      <c r="G14" s="59"/>
      <c r="H14" s="32"/>
      <c r="I14" s="32"/>
      <c r="J14" s="32"/>
      <c r="K14" s="13"/>
      <c r="L14" s="13"/>
      <c r="M14" s="13"/>
      <c r="N14" s="13"/>
      <c r="O14" s="13"/>
      <c r="P14" s="13"/>
      <c r="Q14" s="13"/>
      <c r="R14" s="13"/>
      <c r="S14" s="13"/>
      <c r="T14" s="13"/>
      <c r="U14" s="6"/>
      <c r="V14" s="6"/>
      <c r="W14" s="6"/>
      <c r="X14" s="6"/>
      <c r="Y14" s="6"/>
      <c r="Z14" s="6"/>
      <c r="AA14" s="6"/>
      <c r="AB14" s="6"/>
    </row>
    <row r="15" ht="57.75" customHeight="1">
      <c r="A15" s="137">
        <v>3.0</v>
      </c>
      <c r="B15" s="305" t="s">
        <v>847</v>
      </c>
      <c r="C15" s="297"/>
      <c r="D15" s="301"/>
      <c r="E15" s="93" t="s">
        <v>848</v>
      </c>
      <c r="F15" s="204"/>
      <c r="G15" s="59"/>
      <c r="H15" s="302" t="s">
        <v>849</v>
      </c>
      <c r="I15" s="207" t="s">
        <v>850</v>
      </c>
      <c r="J15" s="302" t="s">
        <v>851</v>
      </c>
      <c r="K15" s="13"/>
      <c r="L15" s="13"/>
      <c r="M15" s="13"/>
      <c r="N15" s="13"/>
      <c r="O15" s="13"/>
      <c r="P15" s="13"/>
      <c r="Q15" s="13"/>
      <c r="R15" s="13"/>
      <c r="S15" s="13"/>
      <c r="T15" s="13"/>
      <c r="U15" s="6"/>
      <c r="V15" s="6"/>
      <c r="W15" s="6"/>
      <c r="X15" s="6"/>
      <c r="Y15" s="6"/>
      <c r="Z15" s="6"/>
      <c r="AA15" s="6"/>
      <c r="AB15" s="6"/>
    </row>
    <row r="16" ht="21.0" customHeight="1">
      <c r="A16" s="24"/>
      <c r="B16" s="59" t="s">
        <v>852</v>
      </c>
      <c r="C16" s="299">
        <v>100.0</v>
      </c>
      <c r="D16" s="301">
        <v>100.0</v>
      </c>
      <c r="E16" s="93" t="s">
        <v>853</v>
      </c>
      <c r="F16" s="300">
        <v>100.0</v>
      </c>
      <c r="G16" s="59" t="s">
        <v>854</v>
      </c>
      <c r="H16" s="24"/>
      <c r="I16" s="24"/>
      <c r="J16" s="24"/>
      <c r="K16" s="13"/>
      <c r="L16" s="13"/>
      <c r="M16" s="13"/>
      <c r="N16" s="13"/>
      <c r="O16" s="13"/>
      <c r="P16" s="13"/>
      <c r="Q16" s="13"/>
      <c r="R16" s="13"/>
      <c r="S16" s="13"/>
      <c r="T16" s="13"/>
      <c r="U16" s="6"/>
      <c r="V16" s="6"/>
      <c r="W16" s="6"/>
      <c r="X16" s="6"/>
      <c r="Y16" s="6"/>
      <c r="Z16" s="6"/>
      <c r="AA16" s="6"/>
      <c r="AB16" s="6"/>
    </row>
    <row r="17" ht="21.0" customHeight="1">
      <c r="A17" s="32"/>
      <c r="B17" s="59" t="s">
        <v>855</v>
      </c>
      <c r="C17" s="299">
        <v>0.0</v>
      </c>
      <c r="D17" s="93" t="s">
        <v>856</v>
      </c>
      <c r="E17" s="93" t="s">
        <v>857</v>
      </c>
      <c r="F17" s="300"/>
      <c r="G17" s="59"/>
      <c r="H17" s="32"/>
      <c r="I17" s="32"/>
      <c r="J17" s="32"/>
      <c r="K17" s="13"/>
      <c r="L17" s="13"/>
      <c r="M17" s="13"/>
      <c r="N17" s="13"/>
      <c r="O17" s="13"/>
      <c r="P17" s="13"/>
      <c r="Q17" s="13"/>
      <c r="R17" s="13"/>
      <c r="S17" s="13"/>
      <c r="T17" s="13"/>
      <c r="U17" s="6"/>
      <c r="V17" s="6"/>
      <c r="W17" s="6"/>
      <c r="X17" s="6"/>
      <c r="Y17" s="6"/>
      <c r="Z17" s="6"/>
      <c r="AA17" s="6"/>
      <c r="AB17" s="6"/>
    </row>
    <row r="18" ht="25.5" customHeight="1">
      <c r="A18" s="137">
        <v>4.0</v>
      </c>
      <c r="B18" s="305" t="s">
        <v>858</v>
      </c>
      <c r="C18" s="297"/>
      <c r="D18" s="301"/>
      <c r="E18" s="59"/>
      <c r="F18" s="59"/>
      <c r="G18" s="306"/>
      <c r="H18" s="307" t="s">
        <v>859</v>
      </c>
      <c r="I18" s="307"/>
      <c r="J18" s="164" t="s">
        <v>860</v>
      </c>
      <c r="K18" s="13"/>
      <c r="L18" s="13"/>
      <c r="M18" s="13"/>
      <c r="N18" s="13"/>
      <c r="O18" s="13"/>
      <c r="P18" s="13"/>
      <c r="Q18" s="13"/>
      <c r="R18" s="13"/>
      <c r="S18" s="13"/>
      <c r="T18" s="13"/>
      <c r="U18" s="6"/>
      <c r="V18" s="6"/>
      <c r="W18" s="6"/>
      <c r="X18" s="6"/>
      <c r="Y18" s="6"/>
      <c r="Z18" s="6"/>
      <c r="AA18" s="6"/>
      <c r="AB18" s="6"/>
    </row>
    <row r="19" ht="21.0" customHeight="1">
      <c r="A19" s="24"/>
      <c r="B19" s="59" t="s">
        <v>861</v>
      </c>
      <c r="C19" s="299">
        <v>100.0</v>
      </c>
      <c r="D19" s="301">
        <v>0.0</v>
      </c>
      <c r="E19" s="93" t="s">
        <v>862</v>
      </c>
      <c r="F19" s="94"/>
      <c r="G19" s="306"/>
      <c r="H19" s="24"/>
      <c r="I19" s="24"/>
      <c r="J19" s="24"/>
      <c r="K19" s="13"/>
      <c r="L19" s="13"/>
      <c r="M19" s="13"/>
      <c r="N19" s="13"/>
      <c r="O19" s="13"/>
      <c r="P19" s="13"/>
      <c r="Q19" s="13"/>
      <c r="R19" s="13"/>
      <c r="S19" s="13"/>
      <c r="T19" s="13"/>
      <c r="U19" s="6"/>
      <c r="V19" s="6"/>
      <c r="W19" s="6"/>
      <c r="X19" s="6"/>
      <c r="Y19" s="6"/>
      <c r="Z19" s="6"/>
      <c r="AA19" s="6"/>
      <c r="AB19" s="6"/>
    </row>
    <row r="20" ht="21.0" customHeight="1">
      <c r="A20" s="32"/>
      <c r="B20" s="59" t="s">
        <v>863</v>
      </c>
      <c r="C20" s="299">
        <v>0.0</v>
      </c>
      <c r="D20" s="94"/>
      <c r="E20" s="93" t="s">
        <v>864</v>
      </c>
      <c r="F20" s="94"/>
      <c r="G20" s="306"/>
      <c r="H20" s="32"/>
      <c r="I20" s="32"/>
      <c r="J20" s="32"/>
      <c r="K20" s="13"/>
      <c r="L20" s="13"/>
      <c r="M20" s="13"/>
      <c r="N20" s="13"/>
      <c r="O20" s="13"/>
      <c r="P20" s="13"/>
      <c r="Q20" s="13"/>
      <c r="R20" s="13"/>
      <c r="S20" s="13"/>
      <c r="T20" s="13"/>
      <c r="U20" s="6"/>
      <c r="V20" s="6"/>
      <c r="W20" s="6"/>
      <c r="X20" s="6"/>
      <c r="Y20" s="6"/>
      <c r="Z20" s="6"/>
      <c r="AA20" s="6"/>
      <c r="AB20" s="6"/>
    </row>
    <row r="21" ht="40.5" customHeight="1">
      <c r="A21" s="137">
        <v>5.0</v>
      </c>
      <c r="B21" s="163" t="s">
        <v>865</v>
      </c>
      <c r="C21" s="297"/>
      <c r="D21" s="301"/>
      <c r="E21" s="93" t="s">
        <v>866</v>
      </c>
      <c r="F21" s="199"/>
      <c r="G21" s="29"/>
      <c r="H21" s="207" t="s">
        <v>867</v>
      </c>
      <c r="I21" s="207" t="s">
        <v>868</v>
      </c>
      <c r="J21" s="164" t="s">
        <v>869</v>
      </c>
      <c r="K21" s="13"/>
      <c r="L21" s="13"/>
      <c r="M21" s="13"/>
      <c r="N21" s="13"/>
      <c r="O21" s="13"/>
      <c r="P21" s="13"/>
      <c r="Q21" s="13"/>
      <c r="R21" s="13"/>
      <c r="S21" s="13"/>
      <c r="T21" s="13"/>
      <c r="U21" s="6"/>
      <c r="V21" s="6"/>
      <c r="W21" s="6"/>
      <c r="X21" s="6"/>
      <c r="Y21" s="6"/>
      <c r="Z21" s="6"/>
      <c r="AA21" s="6"/>
      <c r="AB21" s="6"/>
    </row>
    <row r="22" ht="21.0" customHeight="1">
      <c r="A22" s="24"/>
      <c r="B22" s="59" t="s">
        <v>870</v>
      </c>
      <c r="C22" s="299">
        <v>100.0</v>
      </c>
      <c r="D22" s="301">
        <v>100.0</v>
      </c>
      <c r="E22" s="93" t="s">
        <v>871</v>
      </c>
      <c r="F22" s="94">
        <v>100.0</v>
      </c>
      <c r="G22" s="29"/>
      <c r="H22" s="24"/>
      <c r="I22" s="24"/>
      <c r="J22" s="24"/>
      <c r="K22" s="13"/>
      <c r="L22" s="13"/>
      <c r="M22" s="13"/>
      <c r="N22" s="13"/>
      <c r="O22" s="13"/>
      <c r="P22" s="13"/>
      <c r="Q22" s="13"/>
      <c r="R22" s="13"/>
      <c r="S22" s="13"/>
      <c r="T22" s="13"/>
      <c r="U22" s="6"/>
      <c r="V22" s="6"/>
      <c r="W22" s="6"/>
      <c r="X22" s="6"/>
      <c r="Y22" s="6"/>
      <c r="Z22" s="6"/>
      <c r="AA22" s="6"/>
      <c r="AB22" s="6"/>
    </row>
    <row r="23" ht="21.0" customHeight="1">
      <c r="A23" s="32"/>
      <c r="B23" s="59" t="s">
        <v>872</v>
      </c>
      <c r="C23" s="299">
        <v>0.0</v>
      </c>
      <c r="D23" s="94"/>
      <c r="E23" s="93" t="s">
        <v>873</v>
      </c>
      <c r="F23" s="94"/>
      <c r="G23" s="29"/>
      <c r="H23" s="32"/>
      <c r="I23" s="32"/>
      <c r="J23" s="32"/>
      <c r="K23" s="13"/>
      <c r="L23" s="13"/>
      <c r="M23" s="13"/>
      <c r="N23" s="13"/>
      <c r="O23" s="13"/>
      <c r="P23" s="13"/>
      <c r="Q23" s="13"/>
      <c r="R23" s="13"/>
      <c r="S23" s="13"/>
      <c r="T23" s="13"/>
      <c r="U23" s="6"/>
      <c r="V23" s="6"/>
      <c r="W23" s="6"/>
      <c r="X23" s="6"/>
      <c r="Y23" s="6"/>
      <c r="Z23" s="6"/>
      <c r="AA23" s="6"/>
      <c r="AB23" s="6"/>
    </row>
    <row r="24" ht="34.5" customHeight="1">
      <c r="A24" s="137">
        <v>6.0</v>
      </c>
      <c r="B24" s="305" t="s">
        <v>874</v>
      </c>
      <c r="C24" s="297"/>
      <c r="D24" s="301"/>
      <c r="E24" s="93" t="s">
        <v>875</v>
      </c>
      <c r="F24" s="204"/>
      <c r="G24" s="59"/>
      <c r="H24" s="302" t="s">
        <v>876</v>
      </c>
      <c r="I24" s="302" t="s">
        <v>877</v>
      </c>
      <c r="J24" s="302" t="s">
        <v>878</v>
      </c>
      <c r="K24" s="13"/>
      <c r="L24" s="13"/>
      <c r="M24" s="13"/>
      <c r="N24" s="13"/>
      <c r="O24" s="13"/>
      <c r="P24" s="13"/>
      <c r="Q24" s="13"/>
      <c r="R24" s="13"/>
      <c r="S24" s="13"/>
      <c r="T24" s="13"/>
      <c r="U24" s="6"/>
      <c r="V24" s="6"/>
      <c r="W24" s="6"/>
      <c r="X24" s="6"/>
      <c r="Y24" s="6"/>
      <c r="Z24" s="6"/>
      <c r="AA24" s="6"/>
      <c r="AB24" s="6"/>
    </row>
    <row r="25" ht="30.75" customHeight="1">
      <c r="A25" s="24"/>
      <c r="B25" s="59" t="s">
        <v>879</v>
      </c>
      <c r="C25" s="299">
        <v>100.0</v>
      </c>
      <c r="D25" s="94">
        <v>100.0</v>
      </c>
      <c r="E25" s="93" t="s">
        <v>880</v>
      </c>
      <c r="F25" s="300">
        <v>100.0</v>
      </c>
      <c r="G25" s="59" t="s">
        <v>881</v>
      </c>
      <c r="H25" s="24"/>
      <c r="I25" s="24"/>
      <c r="J25" s="24"/>
      <c r="K25" s="13"/>
      <c r="L25" s="13"/>
      <c r="M25" s="13"/>
      <c r="N25" s="13"/>
      <c r="O25" s="13"/>
      <c r="P25" s="13"/>
      <c r="Q25" s="13"/>
      <c r="R25" s="13"/>
      <c r="S25" s="13"/>
      <c r="T25" s="13"/>
      <c r="U25" s="6"/>
      <c r="V25" s="6"/>
      <c r="W25" s="6"/>
      <c r="X25" s="6"/>
      <c r="Y25" s="6"/>
      <c r="Z25" s="6"/>
      <c r="AA25" s="6"/>
      <c r="AB25" s="6"/>
    </row>
    <row r="26" ht="30.75" customHeight="1">
      <c r="A26" s="32"/>
      <c r="B26" s="59" t="s">
        <v>882</v>
      </c>
      <c r="C26" s="299">
        <v>0.0</v>
      </c>
      <c r="D26" s="94"/>
      <c r="E26" s="93" t="s">
        <v>883</v>
      </c>
      <c r="F26" s="300"/>
      <c r="G26" s="59"/>
      <c r="H26" s="32"/>
      <c r="I26" s="32"/>
      <c r="J26" s="32"/>
      <c r="K26" s="13"/>
      <c r="L26" s="13"/>
      <c r="M26" s="13"/>
      <c r="N26" s="13"/>
      <c r="O26" s="13"/>
      <c r="P26" s="13"/>
      <c r="Q26" s="13"/>
      <c r="R26" s="13"/>
      <c r="S26" s="13"/>
      <c r="T26" s="13"/>
      <c r="U26" s="6"/>
      <c r="V26" s="6"/>
      <c r="W26" s="6"/>
      <c r="X26" s="6"/>
      <c r="Y26" s="6"/>
      <c r="Z26" s="6"/>
      <c r="AA26" s="6"/>
      <c r="AB26" s="6"/>
    </row>
    <row r="27" ht="21.0" customHeight="1">
      <c r="A27" s="137">
        <v>7.0</v>
      </c>
      <c r="B27" s="148" t="s">
        <v>884</v>
      </c>
      <c r="C27" s="297"/>
      <c r="D27" s="301"/>
      <c r="E27" s="93" t="s">
        <v>885</v>
      </c>
      <c r="F27" s="29"/>
      <c r="G27" s="86"/>
      <c r="H27" s="139" t="s">
        <v>886</v>
      </c>
      <c r="I27" s="302" t="s">
        <v>877</v>
      </c>
      <c r="J27" s="302" t="s">
        <v>887</v>
      </c>
      <c r="K27" s="6"/>
      <c r="L27" s="6"/>
      <c r="M27" s="6"/>
      <c r="N27" s="6"/>
      <c r="O27" s="6"/>
      <c r="P27" s="6"/>
      <c r="Q27" s="6"/>
      <c r="R27" s="6"/>
      <c r="S27" s="6"/>
      <c r="T27" s="6"/>
      <c r="U27" s="6"/>
      <c r="V27" s="6"/>
      <c r="W27" s="6"/>
      <c r="X27" s="6"/>
      <c r="Y27" s="6"/>
      <c r="Z27" s="6"/>
      <c r="AA27" s="6"/>
      <c r="AB27" s="6"/>
    </row>
    <row r="28" ht="29.25" customHeight="1">
      <c r="A28" s="168"/>
      <c r="B28" s="59" t="s">
        <v>888</v>
      </c>
      <c r="C28" s="299">
        <v>100.0</v>
      </c>
      <c r="D28" s="298">
        <v>0.0</v>
      </c>
      <c r="E28" s="93" t="s">
        <v>889</v>
      </c>
      <c r="F28" s="202"/>
      <c r="G28" s="86"/>
      <c r="H28" s="24"/>
      <c r="I28" s="24"/>
      <c r="J28" s="24"/>
      <c r="K28" s="13"/>
      <c r="L28" s="13"/>
      <c r="M28" s="13"/>
      <c r="N28" s="13"/>
      <c r="O28" s="13"/>
      <c r="P28" s="13"/>
      <c r="Q28" s="13"/>
      <c r="R28" s="13"/>
      <c r="S28" s="13"/>
      <c r="T28" s="13"/>
      <c r="U28" s="6"/>
      <c r="V28" s="6"/>
      <c r="W28" s="6"/>
      <c r="X28" s="6"/>
      <c r="Y28" s="6"/>
      <c r="Z28" s="6"/>
      <c r="AA28" s="6"/>
      <c r="AB28" s="6"/>
    </row>
    <row r="29" ht="21.0" customHeight="1">
      <c r="A29" s="166"/>
      <c r="B29" s="59" t="s">
        <v>890</v>
      </c>
      <c r="C29" s="299">
        <v>0.0</v>
      </c>
      <c r="D29" s="301"/>
      <c r="E29" s="93" t="s">
        <v>891</v>
      </c>
      <c r="F29" s="94"/>
      <c r="G29" s="86"/>
      <c r="H29" s="32"/>
      <c r="I29" s="32"/>
      <c r="J29" s="32"/>
      <c r="K29" s="13"/>
      <c r="L29" s="13"/>
      <c r="M29" s="13"/>
      <c r="N29" s="13"/>
      <c r="O29" s="13"/>
      <c r="P29" s="13"/>
      <c r="Q29" s="13"/>
      <c r="R29" s="13"/>
      <c r="S29" s="13"/>
      <c r="T29" s="13"/>
      <c r="U29" s="6"/>
      <c r="V29" s="6"/>
      <c r="W29" s="6"/>
      <c r="X29" s="6"/>
      <c r="Y29" s="6"/>
      <c r="Z29" s="6"/>
      <c r="AA29" s="6"/>
      <c r="AB29" s="6"/>
    </row>
    <row r="30" ht="21.0" customHeight="1">
      <c r="A30" s="137">
        <v>8.0</v>
      </c>
      <c r="B30" s="163" t="s">
        <v>892</v>
      </c>
      <c r="C30" s="297"/>
      <c r="D30" s="94"/>
      <c r="F30" s="94"/>
      <c r="G30" s="59"/>
      <c r="H30" s="302" t="s">
        <v>893</v>
      </c>
      <c r="I30" s="186" t="s">
        <v>877</v>
      </c>
      <c r="J30" s="186" t="s">
        <v>894</v>
      </c>
      <c r="K30" s="13"/>
      <c r="L30" s="13"/>
      <c r="M30" s="13"/>
      <c r="N30" s="13"/>
      <c r="O30" s="13"/>
      <c r="P30" s="13"/>
      <c r="Q30" s="13"/>
      <c r="R30" s="13"/>
      <c r="S30" s="13"/>
      <c r="T30" s="13"/>
      <c r="U30" s="6"/>
      <c r="V30" s="6"/>
      <c r="W30" s="6"/>
      <c r="X30" s="6"/>
      <c r="Y30" s="6"/>
      <c r="Z30" s="6"/>
      <c r="AA30" s="6"/>
      <c r="AB30" s="6"/>
    </row>
    <row r="31" ht="26.25" customHeight="1">
      <c r="A31" s="24"/>
      <c r="B31" s="59" t="s">
        <v>895</v>
      </c>
      <c r="C31" s="299">
        <v>100.0</v>
      </c>
      <c r="D31" s="298">
        <v>100.0</v>
      </c>
      <c r="E31" s="93" t="s">
        <v>896</v>
      </c>
      <c r="F31" s="202">
        <v>50.0</v>
      </c>
      <c r="G31" s="59" t="s">
        <v>897</v>
      </c>
      <c r="H31" s="24"/>
      <c r="I31" s="24"/>
      <c r="J31" s="24"/>
      <c r="K31" s="13"/>
      <c r="L31" s="13"/>
      <c r="M31" s="13"/>
      <c r="N31" s="13"/>
      <c r="O31" s="13"/>
      <c r="P31" s="13"/>
      <c r="Q31" s="13"/>
      <c r="R31" s="13"/>
      <c r="S31" s="13"/>
      <c r="T31" s="13"/>
      <c r="U31" s="6"/>
      <c r="V31" s="6"/>
      <c r="W31" s="6"/>
      <c r="X31" s="6"/>
      <c r="Y31" s="6"/>
      <c r="Z31" s="6"/>
      <c r="AA31" s="6"/>
      <c r="AB31" s="6"/>
    </row>
    <row r="32" ht="21.0" customHeight="1">
      <c r="A32" s="24"/>
      <c r="B32" s="59" t="s">
        <v>898</v>
      </c>
      <c r="C32" s="299">
        <v>50.0</v>
      </c>
      <c r="D32" s="301"/>
      <c r="E32" s="93" t="s">
        <v>899</v>
      </c>
      <c r="F32" s="300"/>
      <c r="G32" s="59"/>
      <c r="H32" s="24"/>
      <c r="I32" s="24"/>
      <c r="J32" s="24"/>
      <c r="K32" s="13"/>
      <c r="L32" s="13"/>
      <c r="M32" s="13"/>
      <c r="N32" s="13"/>
      <c r="O32" s="13"/>
      <c r="P32" s="13"/>
      <c r="Q32" s="13"/>
      <c r="R32" s="13"/>
      <c r="S32" s="13"/>
      <c r="T32" s="13"/>
      <c r="U32" s="6"/>
      <c r="V32" s="6"/>
      <c r="W32" s="6"/>
      <c r="X32" s="6"/>
      <c r="Y32" s="6"/>
      <c r="Z32" s="6"/>
      <c r="AA32" s="6"/>
      <c r="AB32" s="6"/>
    </row>
    <row r="33" ht="21.0" customHeight="1">
      <c r="A33" s="24"/>
      <c r="B33" s="109" t="s">
        <v>141</v>
      </c>
      <c r="C33" s="299">
        <v>25.0</v>
      </c>
      <c r="D33" s="301"/>
      <c r="E33" s="93" t="s">
        <v>900</v>
      </c>
      <c r="F33" s="300"/>
      <c r="G33" s="59"/>
      <c r="H33" s="24"/>
      <c r="I33" s="24"/>
      <c r="J33" s="24"/>
      <c r="K33" s="13"/>
      <c r="L33" s="13"/>
      <c r="M33" s="13"/>
      <c r="N33" s="13"/>
      <c r="O33" s="13"/>
      <c r="P33" s="13"/>
      <c r="Q33" s="13"/>
      <c r="R33" s="13"/>
      <c r="S33" s="13"/>
      <c r="T33" s="13"/>
      <c r="U33" s="6"/>
      <c r="V33" s="6"/>
      <c r="W33" s="6"/>
      <c r="X33" s="6"/>
      <c r="Y33" s="6"/>
      <c r="Z33" s="6"/>
      <c r="AA33" s="6"/>
      <c r="AB33" s="6"/>
    </row>
    <row r="34" ht="21.0" customHeight="1">
      <c r="A34" s="32"/>
      <c r="B34" s="59" t="s">
        <v>399</v>
      </c>
      <c r="C34" s="299">
        <v>0.0</v>
      </c>
      <c r="D34" s="94"/>
      <c r="E34" s="300"/>
      <c r="F34" s="300"/>
      <c r="G34" s="59"/>
      <c r="H34" s="32"/>
      <c r="I34" s="32"/>
      <c r="J34" s="32"/>
      <c r="K34" s="13"/>
      <c r="L34" s="13"/>
      <c r="M34" s="13"/>
      <c r="N34" s="13"/>
      <c r="O34" s="13"/>
      <c r="P34" s="13"/>
      <c r="Q34" s="13"/>
      <c r="R34" s="13"/>
      <c r="S34" s="13"/>
      <c r="T34" s="13"/>
      <c r="U34" s="6"/>
      <c r="V34" s="6"/>
      <c r="W34" s="6"/>
      <c r="X34" s="6"/>
      <c r="Y34" s="6"/>
      <c r="Z34" s="6"/>
      <c r="AA34" s="6"/>
      <c r="AB34" s="6"/>
    </row>
    <row r="35" ht="35.25" customHeight="1">
      <c r="A35" s="137">
        <v>9.0</v>
      </c>
      <c r="B35" s="198" t="s">
        <v>901</v>
      </c>
      <c r="C35" s="297"/>
      <c r="D35" s="301">
        <v>100.0</v>
      </c>
      <c r="E35" s="93" t="s">
        <v>902</v>
      </c>
      <c r="F35" s="300">
        <v>100.0</v>
      </c>
      <c r="G35" s="86" t="s">
        <v>903</v>
      </c>
      <c r="H35" s="139" t="s">
        <v>904</v>
      </c>
      <c r="I35" s="302" t="s">
        <v>877</v>
      </c>
      <c r="J35" s="302" t="s">
        <v>905</v>
      </c>
      <c r="K35" s="13"/>
      <c r="L35" s="13"/>
      <c r="M35" s="13"/>
      <c r="N35" s="13"/>
      <c r="O35" s="13"/>
      <c r="P35" s="13"/>
      <c r="Q35" s="13"/>
      <c r="R35" s="13"/>
      <c r="S35" s="13"/>
      <c r="T35" s="13"/>
      <c r="U35" s="6"/>
      <c r="V35" s="6"/>
      <c r="W35" s="6"/>
      <c r="X35" s="6"/>
      <c r="Y35" s="6"/>
      <c r="Z35" s="6"/>
      <c r="AA35" s="6"/>
      <c r="AB35" s="6"/>
    </row>
    <row r="36" ht="40.5" customHeight="1">
      <c r="A36" s="24"/>
      <c r="B36" s="59" t="s">
        <v>906</v>
      </c>
      <c r="C36" s="299">
        <v>100.0</v>
      </c>
      <c r="D36" s="301"/>
      <c r="E36" s="93" t="s">
        <v>907</v>
      </c>
      <c r="F36" s="51"/>
      <c r="G36" s="86"/>
      <c r="H36" s="24"/>
      <c r="I36" s="24"/>
      <c r="J36" s="24"/>
      <c r="K36" s="13"/>
      <c r="L36" s="13"/>
      <c r="M36" s="13"/>
      <c r="N36" s="13"/>
      <c r="O36" s="13"/>
      <c r="P36" s="13"/>
      <c r="Q36" s="13"/>
      <c r="R36" s="13"/>
      <c r="S36" s="13"/>
      <c r="T36" s="13"/>
      <c r="U36" s="6"/>
      <c r="V36" s="6"/>
      <c r="W36" s="6"/>
      <c r="X36" s="6"/>
      <c r="Y36" s="6"/>
      <c r="Z36" s="6"/>
      <c r="AA36" s="6"/>
      <c r="AB36" s="6"/>
    </row>
    <row r="37" ht="21.0" customHeight="1">
      <c r="A37" s="24"/>
      <c r="B37" s="59" t="s">
        <v>908</v>
      </c>
      <c r="C37" s="299">
        <v>50.0</v>
      </c>
      <c r="D37" s="301"/>
      <c r="E37" s="93" t="s">
        <v>909</v>
      </c>
      <c r="F37" s="94"/>
      <c r="G37" s="86"/>
      <c r="H37" s="24"/>
      <c r="I37" s="24"/>
      <c r="J37" s="24"/>
      <c r="K37" s="13"/>
      <c r="L37" s="13"/>
      <c r="M37" s="13"/>
      <c r="N37" s="13"/>
      <c r="O37" s="13"/>
      <c r="P37" s="13"/>
      <c r="Q37" s="13"/>
      <c r="R37" s="13"/>
      <c r="S37" s="13"/>
      <c r="T37" s="13"/>
      <c r="U37" s="6"/>
      <c r="V37" s="6"/>
      <c r="W37" s="6"/>
      <c r="X37" s="6"/>
      <c r="Y37" s="6"/>
      <c r="Z37" s="6"/>
      <c r="AA37" s="6"/>
      <c r="AB37" s="6"/>
    </row>
    <row r="38" ht="32.25" customHeight="1">
      <c r="A38" s="32"/>
      <c r="B38" s="59" t="s">
        <v>910</v>
      </c>
      <c r="C38" s="299">
        <v>0.0</v>
      </c>
      <c r="D38" s="94"/>
      <c r="E38" s="94"/>
      <c r="F38" s="94"/>
      <c r="G38" s="86"/>
      <c r="H38" s="32"/>
      <c r="I38" s="32"/>
      <c r="J38" s="32"/>
      <c r="K38" s="13"/>
      <c r="L38" s="13"/>
      <c r="M38" s="13"/>
      <c r="N38" s="13"/>
      <c r="O38" s="13"/>
      <c r="P38" s="13"/>
      <c r="Q38" s="13"/>
      <c r="R38" s="13"/>
      <c r="S38" s="13"/>
      <c r="T38" s="13"/>
      <c r="U38" s="6"/>
      <c r="V38" s="6"/>
      <c r="W38" s="6"/>
      <c r="X38" s="6"/>
      <c r="Y38" s="6"/>
      <c r="Z38" s="6"/>
      <c r="AA38" s="6"/>
      <c r="AB38" s="6"/>
    </row>
    <row r="39" ht="21.0" customHeight="1">
      <c r="A39" s="137">
        <v>10.0</v>
      </c>
      <c r="B39" s="148" t="s">
        <v>911</v>
      </c>
      <c r="C39" s="297"/>
      <c r="D39" s="301"/>
      <c r="E39" s="93" t="s">
        <v>912</v>
      </c>
      <c r="F39" s="94"/>
      <c r="G39" s="59"/>
      <c r="H39" s="302" t="s">
        <v>913</v>
      </c>
      <c r="I39" s="302" t="s">
        <v>914</v>
      </c>
      <c r="J39" s="302" t="s">
        <v>915</v>
      </c>
      <c r="K39" s="13"/>
      <c r="L39" s="13"/>
      <c r="M39" s="13"/>
      <c r="N39" s="13"/>
      <c r="O39" s="13"/>
      <c r="P39" s="13"/>
      <c r="Q39" s="13"/>
      <c r="R39" s="13"/>
      <c r="S39" s="13"/>
      <c r="T39" s="13"/>
      <c r="U39" s="6"/>
      <c r="V39" s="6"/>
      <c r="W39" s="6"/>
      <c r="X39" s="6"/>
      <c r="Y39" s="6"/>
      <c r="Z39" s="6"/>
      <c r="AA39" s="6"/>
      <c r="AB39" s="6"/>
    </row>
    <row r="40" ht="26.25" customHeight="1">
      <c r="A40" s="24"/>
      <c r="B40" s="59" t="s">
        <v>916</v>
      </c>
      <c r="C40" s="299">
        <v>100.0</v>
      </c>
      <c r="D40" s="298">
        <v>100.0</v>
      </c>
      <c r="E40" s="93" t="s">
        <v>917</v>
      </c>
      <c r="F40" s="192">
        <v>100.0</v>
      </c>
      <c r="G40" s="59" t="s">
        <v>918</v>
      </c>
      <c r="H40" s="24"/>
      <c r="I40" s="24"/>
      <c r="J40" s="24"/>
      <c r="K40" s="13"/>
      <c r="L40" s="13"/>
      <c r="M40" s="13"/>
      <c r="N40" s="13"/>
      <c r="O40" s="13"/>
      <c r="P40" s="13"/>
      <c r="Q40" s="13"/>
      <c r="R40" s="13"/>
      <c r="S40" s="13"/>
      <c r="T40" s="13"/>
      <c r="U40" s="6"/>
      <c r="V40" s="6"/>
      <c r="W40" s="6"/>
      <c r="X40" s="6"/>
      <c r="Y40" s="6"/>
      <c r="Z40" s="6"/>
      <c r="AA40" s="6"/>
      <c r="AB40" s="6"/>
    </row>
    <row r="41" ht="21.0" customHeight="1">
      <c r="A41" s="24"/>
      <c r="B41" s="59" t="s">
        <v>919</v>
      </c>
      <c r="C41" s="299">
        <v>50.0</v>
      </c>
      <c r="D41" s="94"/>
      <c r="E41" s="93" t="s">
        <v>920</v>
      </c>
      <c r="F41" s="300"/>
      <c r="G41" s="59"/>
      <c r="H41" s="24"/>
      <c r="I41" s="24"/>
      <c r="J41" s="24"/>
      <c r="K41" s="13"/>
      <c r="L41" s="13"/>
      <c r="M41" s="13"/>
      <c r="N41" s="13"/>
      <c r="O41" s="13"/>
      <c r="P41" s="13"/>
      <c r="Q41" s="13"/>
      <c r="R41" s="13"/>
      <c r="S41" s="13"/>
      <c r="T41" s="13"/>
      <c r="U41" s="6"/>
      <c r="V41" s="6"/>
      <c r="W41" s="6"/>
      <c r="X41" s="6"/>
      <c r="Y41" s="6"/>
      <c r="Z41" s="6"/>
      <c r="AA41" s="6"/>
      <c r="AB41" s="6"/>
    </row>
    <row r="42" ht="21.0" customHeight="1">
      <c r="A42" s="32"/>
      <c r="B42" s="59" t="s">
        <v>420</v>
      </c>
      <c r="C42" s="299">
        <v>0.0</v>
      </c>
      <c r="D42" s="94"/>
      <c r="F42" s="300"/>
      <c r="G42" s="59"/>
      <c r="H42" s="32"/>
      <c r="I42" s="32"/>
      <c r="J42" s="32"/>
      <c r="K42" s="13"/>
      <c r="L42" s="13"/>
      <c r="M42" s="13"/>
      <c r="N42" s="13"/>
      <c r="O42" s="13"/>
      <c r="P42" s="13"/>
      <c r="Q42" s="13"/>
      <c r="R42" s="13"/>
      <c r="S42" s="13"/>
      <c r="T42" s="13"/>
      <c r="U42" s="6"/>
      <c r="V42" s="6"/>
      <c r="W42" s="6"/>
      <c r="X42" s="6"/>
      <c r="Y42" s="6"/>
      <c r="Z42" s="6"/>
      <c r="AA42" s="6"/>
      <c r="AB42" s="6"/>
    </row>
    <row r="43" ht="21.0" customHeight="1">
      <c r="A43" s="168">
        <v>11.0</v>
      </c>
      <c r="B43" s="59" t="s">
        <v>921</v>
      </c>
      <c r="C43" s="299"/>
      <c r="D43" s="301"/>
      <c r="E43" s="93" t="s">
        <v>922</v>
      </c>
      <c r="F43" s="300"/>
      <c r="G43" s="59"/>
      <c r="H43" s="302" t="s">
        <v>923</v>
      </c>
      <c r="I43" s="302" t="s">
        <v>924</v>
      </c>
      <c r="J43" s="302" t="s">
        <v>925</v>
      </c>
      <c r="K43" s="13"/>
      <c r="L43" s="13"/>
      <c r="M43" s="13"/>
      <c r="N43" s="13"/>
      <c r="O43" s="13"/>
      <c r="P43" s="13"/>
      <c r="Q43" s="13"/>
      <c r="R43" s="13"/>
      <c r="S43" s="13"/>
      <c r="T43" s="13"/>
      <c r="U43" s="6"/>
      <c r="V43" s="6"/>
      <c r="W43" s="6"/>
      <c r="X43" s="6"/>
      <c r="Y43" s="6"/>
      <c r="Z43" s="6"/>
      <c r="AA43" s="6"/>
      <c r="AB43" s="6"/>
    </row>
    <row r="44" ht="27.0" customHeight="1">
      <c r="A44" s="168"/>
      <c r="B44" s="59" t="s">
        <v>612</v>
      </c>
      <c r="C44" s="299">
        <v>100.0</v>
      </c>
      <c r="D44" s="298">
        <v>100.0</v>
      </c>
      <c r="E44" s="93" t="s">
        <v>926</v>
      </c>
      <c r="F44" s="192">
        <v>100.0</v>
      </c>
      <c r="G44" s="59" t="s">
        <v>927</v>
      </c>
      <c r="H44" s="24"/>
      <c r="I44" s="24"/>
      <c r="J44" s="24"/>
      <c r="K44" s="13"/>
      <c r="L44" s="13"/>
      <c r="M44" s="13"/>
      <c r="N44" s="13"/>
      <c r="O44" s="13"/>
      <c r="P44" s="13"/>
      <c r="Q44" s="13"/>
      <c r="R44" s="13"/>
      <c r="S44" s="13"/>
      <c r="T44" s="13"/>
      <c r="U44" s="6"/>
      <c r="V44" s="6"/>
      <c r="W44" s="6"/>
      <c r="X44" s="6"/>
      <c r="Y44" s="6"/>
      <c r="Z44" s="6"/>
      <c r="AA44" s="6"/>
      <c r="AB44" s="6"/>
    </row>
    <row r="45" ht="21.0" customHeight="1">
      <c r="A45" s="168"/>
      <c r="B45" s="59" t="s">
        <v>569</v>
      </c>
      <c r="C45" s="299">
        <v>0.0</v>
      </c>
      <c r="D45" s="93" t="s">
        <v>928</v>
      </c>
      <c r="E45" s="93" t="s">
        <v>929</v>
      </c>
      <c r="F45" s="300"/>
      <c r="G45" s="59"/>
      <c r="H45" s="32"/>
      <c r="I45" s="32"/>
      <c r="J45" s="32"/>
      <c r="K45" s="13"/>
      <c r="L45" s="13"/>
      <c r="M45" s="13"/>
      <c r="N45" s="13"/>
      <c r="O45" s="13"/>
      <c r="P45" s="13"/>
      <c r="Q45" s="13"/>
      <c r="R45" s="13"/>
      <c r="S45" s="13"/>
      <c r="T45" s="13"/>
      <c r="U45" s="6"/>
      <c r="V45" s="6"/>
      <c r="W45" s="6"/>
      <c r="X45" s="6"/>
      <c r="Y45" s="6"/>
      <c r="Z45" s="6"/>
      <c r="AA45" s="6"/>
      <c r="AB45" s="6"/>
    </row>
    <row r="46" ht="30.75" customHeight="1">
      <c r="A46" s="137">
        <v>12.0</v>
      </c>
      <c r="B46" s="148" t="s">
        <v>930</v>
      </c>
      <c r="C46" s="297"/>
      <c r="D46" s="94"/>
      <c r="F46" s="300"/>
      <c r="G46" s="59"/>
      <c r="H46" s="302" t="s">
        <v>931</v>
      </c>
      <c r="I46" s="302" t="s">
        <v>932</v>
      </c>
      <c r="J46" s="302" t="s">
        <v>933</v>
      </c>
      <c r="K46" s="13"/>
      <c r="L46" s="13"/>
      <c r="M46" s="13"/>
      <c r="N46" s="13"/>
      <c r="O46" s="13"/>
      <c r="P46" s="13"/>
      <c r="Q46" s="13"/>
      <c r="R46" s="13"/>
      <c r="S46" s="13"/>
      <c r="T46" s="13"/>
      <c r="U46" s="6"/>
      <c r="V46" s="6"/>
      <c r="W46" s="6"/>
      <c r="X46" s="6"/>
      <c r="Y46" s="6"/>
      <c r="Z46" s="6"/>
      <c r="AA46" s="6"/>
      <c r="AB46" s="6"/>
    </row>
    <row r="47" ht="21.0" customHeight="1">
      <c r="A47" s="24"/>
      <c r="B47" s="59" t="s">
        <v>934</v>
      </c>
      <c r="C47" s="299">
        <v>100.0</v>
      </c>
      <c r="D47" s="301">
        <v>100.0</v>
      </c>
      <c r="E47" s="93" t="s">
        <v>935</v>
      </c>
      <c r="F47" s="300">
        <v>100.0</v>
      </c>
      <c r="G47" s="59" t="s">
        <v>936</v>
      </c>
      <c r="H47" s="24"/>
      <c r="I47" s="24"/>
      <c r="J47" s="24"/>
      <c r="K47" s="13"/>
      <c r="L47" s="13"/>
      <c r="M47" s="13"/>
      <c r="N47" s="13"/>
      <c r="O47" s="13"/>
      <c r="P47" s="13"/>
      <c r="Q47" s="13"/>
      <c r="R47" s="13"/>
      <c r="S47" s="13"/>
      <c r="T47" s="13"/>
      <c r="U47" s="6"/>
      <c r="V47" s="6"/>
      <c r="W47" s="6"/>
      <c r="X47" s="6"/>
      <c r="Y47" s="6"/>
      <c r="Z47" s="6"/>
      <c r="AA47" s="6"/>
      <c r="AB47" s="6"/>
    </row>
    <row r="48" ht="29.25" customHeight="1">
      <c r="A48" s="24"/>
      <c r="B48" s="59" t="s">
        <v>937</v>
      </c>
      <c r="C48" s="299">
        <v>50.0</v>
      </c>
      <c r="D48" s="301"/>
      <c r="E48" s="93" t="s">
        <v>938</v>
      </c>
      <c r="F48" s="76"/>
      <c r="G48" s="59"/>
      <c r="H48" s="24"/>
      <c r="I48" s="24"/>
      <c r="J48" s="24"/>
      <c r="K48" s="13"/>
      <c r="L48" s="13"/>
      <c r="M48" s="13"/>
      <c r="N48" s="13"/>
      <c r="O48" s="13"/>
      <c r="P48" s="13"/>
      <c r="Q48" s="13"/>
      <c r="R48" s="13"/>
      <c r="S48" s="13"/>
      <c r="T48" s="13"/>
      <c r="U48" s="6"/>
      <c r="V48" s="6"/>
      <c r="W48" s="6"/>
      <c r="X48" s="6"/>
      <c r="Y48" s="6"/>
      <c r="Z48" s="6"/>
      <c r="AA48" s="6"/>
      <c r="AB48" s="6"/>
    </row>
    <row r="49" ht="30.75" customHeight="1">
      <c r="A49" s="32"/>
      <c r="B49" s="59" t="s">
        <v>910</v>
      </c>
      <c r="C49" s="299">
        <v>0.0</v>
      </c>
      <c r="D49" s="93" t="s">
        <v>939</v>
      </c>
      <c r="E49" s="93" t="s">
        <v>940</v>
      </c>
      <c r="F49" s="300"/>
      <c r="G49" s="59"/>
      <c r="H49" s="32"/>
      <c r="I49" s="32"/>
      <c r="J49" s="32"/>
      <c r="K49" s="13"/>
      <c r="L49" s="13"/>
      <c r="M49" s="13"/>
      <c r="N49" s="13"/>
      <c r="O49" s="13"/>
      <c r="P49" s="13"/>
      <c r="Q49" s="13"/>
      <c r="R49" s="13"/>
      <c r="S49" s="13"/>
      <c r="T49" s="13"/>
      <c r="U49" s="6"/>
      <c r="V49" s="6"/>
      <c r="W49" s="6"/>
      <c r="X49" s="6"/>
      <c r="Y49" s="6"/>
      <c r="Z49" s="6"/>
      <c r="AA49" s="6"/>
      <c r="AB49" s="6"/>
    </row>
    <row r="50" ht="21.0" customHeight="1">
      <c r="A50" s="137">
        <v>13.0</v>
      </c>
      <c r="B50" s="148" t="s">
        <v>941</v>
      </c>
      <c r="C50" s="16"/>
      <c r="D50" s="301"/>
      <c r="E50" s="300"/>
      <c r="F50" s="300"/>
      <c r="G50" s="59"/>
      <c r="H50" s="302" t="s">
        <v>942</v>
      </c>
      <c r="I50" s="302" t="s">
        <v>943</v>
      </c>
      <c r="J50" s="302" t="s">
        <v>944</v>
      </c>
      <c r="K50" s="13"/>
      <c r="L50" s="13"/>
      <c r="M50" s="13"/>
      <c r="N50" s="13"/>
      <c r="O50" s="13"/>
      <c r="P50" s="13"/>
      <c r="Q50" s="13"/>
      <c r="R50" s="13"/>
      <c r="S50" s="13"/>
      <c r="T50" s="13"/>
      <c r="U50" s="6"/>
      <c r="V50" s="6"/>
      <c r="W50" s="6"/>
      <c r="X50" s="6"/>
      <c r="Y50" s="6"/>
      <c r="Z50" s="6"/>
      <c r="AA50" s="6"/>
      <c r="AB50" s="6"/>
    </row>
    <row r="51" ht="21.0" customHeight="1">
      <c r="A51" s="24"/>
      <c r="B51" s="102" t="s">
        <v>945</v>
      </c>
      <c r="C51" s="299">
        <v>100.0</v>
      </c>
      <c r="D51" s="301">
        <v>100.0</v>
      </c>
      <c r="E51" s="93" t="s">
        <v>946</v>
      </c>
      <c r="F51" s="300">
        <v>100.0</v>
      </c>
      <c r="G51" s="59"/>
      <c r="H51" s="24"/>
      <c r="I51" s="24"/>
      <c r="J51" s="24"/>
      <c r="K51" s="13"/>
      <c r="L51" s="13"/>
      <c r="M51" s="13"/>
      <c r="N51" s="13"/>
      <c r="O51" s="13"/>
      <c r="P51" s="13"/>
      <c r="Q51" s="13"/>
      <c r="R51" s="13"/>
      <c r="S51" s="13"/>
      <c r="T51" s="13"/>
      <c r="U51" s="6"/>
      <c r="V51" s="6"/>
      <c r="W51" s="6"/>
      <c r="X51" s="6"/>
      <c r="Y51" s="6"/>
      <c r="Z51" s="6"/>
      <c r="AA51" s="6"/>
      <c r="AB51" s="6"/>
    </row>
    <row r="52" ht="21.0" customHeight="1">
      <c r="A52" s="24"/>
      <c r="B52" s="102" t="s">
        <v>947</v>
      </c>
      <c r="C52" s="299">
        <v>50.0</v>
      </c>
      <c r="D52" s="301"/>
      <c r="E52" s="93" t="s">
        <v>948</v>
      </c>
      <c r="F52" s="300"/>
      <c r="G52" s="59"/>
      <c r="H52" s="24"/>
      <c r="I52" s="24"/>
      <c r="J52" s="24"/>
      <c r="K52" s="13"/>
      <c r="L52" s="13"/>
      <c r="M52" s="13"/>
      <c r="N52" s="13"/>
      <c r="O52" s="13"/>
      <c r="P52" s="13"/>
      <c r="Q52" s="13"/>
      <c r="R52" s="13"/>
      <c r="S52" s="13"/>
      <c r="T52" s="13"/>
      <c r="U52" s="6"/>
      <c r="V52" s="6"/>
      <c r="W52" s="6"/>
      <c r="X52" s="6"/>
      <c r="Y52" s="6"/>
      <c r="Z52" s="6"/>
      <c r="AA52" s="6"/>
      <c r="AB52" s="6"/>
    </row>
    <row r="53" ht="21.0" customHeight="1">
      <c r="A53" s="24"/>
      <c r="B53" s="102" t="s">
        <v>949</v>
      </c>
      <c r="C53" s="299">
        <v>25.0</v>
      </c>
      <c r="D53" s="301"/>
      <c r="E53" s="93" t="s">
        <v>950</v>
      </c>
      <c r="F53" s="300"/>
      <c r="G53" s="59"/>
      <c r="H53" s="24"/>
      <c r="I53" s="24"/>
      <c r="J53" s="24"/>
      <c r="K53" s="13"/>
      <c r="L53" s="13"/>
      <c r="M53" s="13"/>
      <c r="N53" s="13"/>
      <c r="O53" s="13"/>
      <c r="P53" s="13"/>
      <c r="Q53" s="13"/>
      <c r="R53" s="13"/>
      <c r="S53" s="13"/>
      <c r="T53" s="13"/>
      <c r="U53" s="6"/>
      <c r="V53" s="6"/>
      <c r="W53" s="6"/>
      <c r="X53" s="6"/>
      <c r="Y53" s="6"/>
      <c r="Z53" s="6"/>
      <c r="AA53" s="6"/>
      <c r="AB53" s="6"/>
    </row>
    <row r="54" ht="21.0" customHeight="1">
      <c r="A54" s="32"/>
      <c r="B54" s="102" t="s">
        <v>951</v>
      </c>
      <c r="C54" s="299">
        <v>0.0</v>
      </c>
      <c r="E54" s="93" t="s">
        <v>952</v>
      </c>
      <c r="F54" s="300"/>
      <c r="G54" s="59"/>
      <c r="H54" s="32"/>
      <c r="I54" s="32"/>
      <c r="J54" s="32"/>
      <c r="K54" s="13"/>
      <c r="L54" s="13"/>
      <c r="M54" s="13"/>
      <c r="N54" s="13"/>
      <c r="O54" s="13"/>
      <c r="P54" s="13"/>
      <c r="Q54" s="13"/>
      <c r="R54" s="13"/>
      <c r="S54" s="13"/>
      <c r="T54" s="13"/>
      <c r="U54" s="6"/>
      <c r="V54" s="6"/>
      <c r="W54" s="6"/>
      <c r="X54" s="6"/>
      <c r="Y54" s="6"/>
      <c r="Z54" s="6"/>
      <c r="AA54" s="6"/>
      <c r="AB54" s="6"/>
    </row>
    <row r="55" ht="51.75" customHeight="1">
      <c r="A55" s="166">
        <v>14.0</v>
      </c>
      <c r="B55" s="305" t="s">
        <v>953</v>
      </c>
      <c r="C55" s="297"/>
      <c r="D55" s="301"/>
      <c r="E55" s="106" t="s">
        <v>954</v>
      </c>
      <c r="F55" s="300"/>
      <c r="G55" s="308"/>
      <c r="H55" s="308" t="s">
        <v>955</v>
      </c>
      <c r="I55" s="302" t="s">
        <v>956</v>
      </c>
      <c r="J55" s="302" t="s">
        <v>957</v>
      </c>
      <c r="K55" s="13"/>
      <c r="L55" s="13"/>
      <c r="M55" s="13"/>
      <c r="N55" s="13"/>
      <c r="O55" s="13"/>
      <c r="P55" s="13"/>
      <c r="Q55" s="13"/>
      <c r="R55" s="13"/>
      <c r="S55" s="13"/>
      <c r="T55" s="13"/>
      <c r="U55" s="6"/>
      <c r="V55" s="6"/>
      <c r="W55" s="6"/>
      <c r="X55" s="6"/>
      <c r="Y55" s="6"/>
      <c r="Z55" s="6"/>
      <c r="AA55" s="6"/>
      <c r="AB55" s="6"/>
    </row>
    <row r="56" ht="36.75" customHeight="1">
      <c r="A56" s="166"/>
      <c r="B56" s="59" t="s">
        <v>895</v>
      </c>
      <c r="C56" s="299">
        <v>100.0</v>
      </c>
      <c r="D56" s="301">
        <v>100.0</v>
      </c>
      <c r="E56" s="106" t="s">
        <v>958</v>
      </c>
      <c r="F56" s="300">
        <v>100.0</v>
      </c>
      <c r="G56" s="302"/>
      <c r="H56" s="302" t="s">
        <v>959</v>
      </c>
      <c r="I56" s="24"/>
      <c r="J56" s="24"/>
      <c r="K56" s="13"/>
      <c r="L56" s="13"/>
      <c r="M56" s="13"/>
      <c r="N56" s="13"/>
      <c r="O56" s="13"/>
      <c r="P56" s="13"/>
      <c r="Q56" s="13"/>
      <c r="R56" s="13"/>
      <c r="S56" s="13"/>
      <c r="T56" s="13"/>
      <c r="U56" s="6"/>
      <c r="V56" s="6"/>
      <c r="W56" s="6"/>
      <c r="X56" s="6"/>
      <c r="Y56" s="6"/>
      <c r="Z56" s="6"/>
      <c r="AA56" s="6"/>
      <c r="AB56" s="6"/>
    </row>
    <row r="57" ht="21.0" customHeight="1">
      <c r="A57" s="166"/>
      <c r="B57" s="59" t="s">
        <v>898</v>
      </c>
      <c r="C57" s="299">
        <v>50.0</v>
      </c>
      <c r="D57" s="301"/>
      <c r="E57" s="106" t="s">
        <v>960</v>
      </c>
      <c r="F57" s="300"/>
      <c r="G57" s="309"/>
      <c r="H57" s="309"/>
      <c r="I57" s="309"/>
      <c r="J57" s="310"/>
      <c r="K57" s="13"/>
      <c r="L57" s="13"/>
      <c r="M57" s="13"/>
      <c r="N57" s="13"/>
      <c r="O57" s="13"/>
      <c r="P57" s="13"/>
      <c r="Q57" s="13"/>
      <c r="R57" s="13"/>
      <c r="S57" s="13"/>
      <c r="T57" s="13"/>
      <c r="U57" s="6"/>
      <c r="V57" s="6"/>
      <c r="W57" s="6"/>
      <c r="X57" s="6"/>
      <c r="Y57" s="6"/>
      <c r="Z57" s="6"/>
      <c r="AA57" s="6"/>
      <c r="AB57" s="6"/>
    </row>
    <row r="58" ht="21.0" customHeight="1">
      <c r="A58" s="166"/>
      <c r="B58" s="109" t="s">
        <v>141</v>
      </c>
      <c r="C58" s="299">
        <v>25.0</v>
      </c>
      <c r="D58" s="301"/>
      <c r="E58" s="106" t="s">
        <v>961</v>
      </c>
      <c r="F58" s="300"/>
      <c r="G58" s="309"/>
      <c r="H58" s="309"/>
      <c r="I58" s="309"/>
      <c r="J58" s="310"/>
      <c r="K58" s="13"/>
      <c r="L58" s="13"/>
      <c r="M58" s="13"/>
      <c r="N58" s="13"/>
      <c r="O58" s="13"/>
      <c r="P58" s="13"/>
      <c r="Q58" s="13"/>
      <c r="R58" s="13"/>
      <c r="S58" s="13"/>
      <c r="T58" s="13"/>
      <c r="U58" s="6"/>
      <c r="V58" s="6"/>
      <c r="W58" s="6"/>
      <c r="X58" s="6"/>
      <c r="Y58" s="6"/>
      <c r="Z58" s="6"/>
      <c r="AA58" s="6"/>
      <c r="AB58" s="6"/>
    </row>
    <row r="59" ht="21.0" customHeight="1">
      <c r="A59" s="166"/>
      <c r="B59" s="59" t="s">
        <v>399</v>
      </c>
      <c r="C59" s="299">
        <v>0.0</v>
      </c>
      <c r="D59" s="301"/>
      <c r="E59" s="106" t="s">
        <v>962</v>
      </c>
      <c r="F59" s="300"/>
      <c r="G59" s="308"/>
      <c r="H59" s="308"/>
      <c r="I59" s="308"/>
      <c r="J59" s="311"/>
      <c r="K59" s="13"/>
      <c r="L59" s="13"/>
      <c r="M59" s="13"/>
      <c r="N59" s="13"/>
      <c r="O59" s="13"/>
      <c r="P59" s="13"/>
      <c r="Q59" s="13"/>
      <c r="R59" s="13"/>
      <c r="S59" s="13"/>
      <c r="T59" s="13"/>
      <c r="U59" s="6"/>
      <c r="V59" s="6"/>
      <c r="W59" s="6"/>
      <c r="X59" s="6"/>
      <c r="Y59" s="6"/>
      <c r="Z59" s="6"/>
      <c r="AA59" s="6"/>
      <c r="AB59" s="6"/>
    </row>
    <row r="60" ht="21.0" customHeight="1">
      <c r="A60" s="312"/>
      <c r="B60" s="250" t="s">
        <v>311</v>
      </c>
      <c r="C60" s="251"/>
      <c r="D60" s="313">
        <f>SUM(D10:D59)</f>
        <v>1200</v>
      </c>
      <c r="E60" s="313"/>
      <c r="F60" s="313">
        <f>SUM(F10:F59)</f>
        <v>1150</v>
      </c>
      <c r="G60" s="314"/>
      <c r="H60" s="128"/>
      <c r="I60" s="128"/>
      <c r="J60" s="128"/>
      <c r="K60" s="13"/>
      <c r="L60" s="13"/>
      <c r="M60" s="13"/>
      <c r="N60" s="13"/>
      <c r="O60" s="13"/>
      <c r="P60" s="13"/>
      <c r="Q60" s="13"/>
      <c r="R60" s="13"/>
      <c r="S60" s="13"/>
      <c r="T60" s="13"/>
      <c r="U60" s="6"/>
      <c r="V60" s="6"/>
      <c r="W60" s="6"/>
      <c r="X60" s="6"/>
      <c r="Y60" s="6"/>
      <c r="Z60" s="6"/>
      <c r="AA60" s="6"/>
      <c r="AB60" s="6"/>
    </row>
    <row r="61" ht="15.75" customHeight="1">
      <c r="A61" s="130"/>
      <c r="B61" s="2"/>
      <c r="C61" s="132" t="s">
        <v>312</v>
      </c>
      <c r="D61" s="132">
        <f>D60/1400*100</f>
        <v>85.71428571</v>
      </c>
      <c r="E61" s="132"/>
      <c r="F61" s="132">
        <f>F60/1400*100</f>
        <v>82.14285714</v>
      </c>
      <c r="G61" s="13"/>
      <c r="H61" s="13"/>
      <c r="I61" s="13"/>
      <c r="J61" s="187"/>
      <c r="K61" s="131"/>
      <c r="L61" s="131"/>
      <c r="M61" s="131"/>
      <c r="N61" s="131"/>
      <c r="O61" s="131"/>
      <c r="P61" s="131"/>
      <c r="Q61" s="131"/>
      <c r="R61" s="131"/>
      <c r="S61" s="131"/>
      <c r="T61" s="131"/>
      <c r="U61" s="6"/>
      <c r="V61" s="6"/>
      <c r="W61" s="6"/>
      <c r="X61" s="6"/>
      <c r="Y61" s="6"/>
      <c r="Z61" s="6"/>
      <c r="AA61" s="6"/>
      <c r="AB61" s="6"/>
    </row>
    <row r="62" ht="15.75" customHeight="1">
      <c r="A62" s="130"/>
      <c r="B62" s="2"/>
      <c r="C62" s="132"/>
      <c r="D62" s="132"/>
      <c r="E62" s="132"/>
      <c r="F62" s="132"/>
      <c r="G62" s="6"/>
      <c r="H62" s="6"/>
      <c r="I62" s="6"/>
      <c r="J62" s="188"/>
      <c r="K62" s="131"/>
      <c r="L62" s="131"/>
      <c r="M62" s="131"/>
      <c r="N62" s="131"/>
      <c r="O62" s="131"/>
      <c r="P62" s="131"/>
      <c r="Q62" s="131"/>
      <c r="R62" s="131"/>
      <c r="S62" s="131"/>
      <c r="T62" s="131"/>
      <c r="U62" s="6"/>
      <c r="V62" s="6"/>
      <c r="W62" s="6"/>
      <c r="X62" s="6"/>
      <c r="Y62" s="6"/>
      <c r="Z62" s="6"/>
      <c r="AA62" s="6"/>
      <c r="AB62" s="6"/>
    </row>
    <row r="63" ht="15.75" customHeight="1">
      <c r="A63" s="130"/>
      <c r="B63" s="2"/>
      <c r="C63" s="132"/>
      <c r="D63" s="132"/>
      <c r="E63" s="132"/>
      <c r="F63" s="132"/>
      <c r="G63" s="6"/>
      <c r="H63" s="6"/>
      <c r="I63" s="6"/>
      <c r="J63" s="188"/>
      <c r="K63" s="131"/>
      <c r="L63" s="131"/>
      <c r="M63" s="131"/>
      <c r="N63" s="131"/>
      <c r="O63" s="131"/>
      <c r="P63" s="131"/>
      <c r="Q63" s="131"/>
      <c r="R63" s="131"/>
      <c r="S63" s="131"/>
      <c r="T63" s="131"/>
      <c r="U63" s="6"/>
      <c r="V63" s="6"/>
      <c r="W63" s="6"/>
      <c r="X63" s="6"/>
      <c r="Y63" s="6"/>
      <c r="Z63" s="6"/>
      <c r="AA63" s="6"/>
      <c r="AB63" s="6"/>
    </row>
    <row r="64" ht="15.75" customHeight="1">
      <c r="A64" s="130"/>
      <c r="B64" s="2"/>
      <c r="C64" s="132"/>
      <c r="D64" s="132"/>
      <c r="E64" s="132"/>
      <c r="F64" s="132"/>
      <c r="G64" s="6"/>
      <c r="H64" s="6"/>
      <c r="I64" s="6"/>
      <c r="J64" s="188"/>
      <c r="K64" s="131"/>
      <c r="L64" s="131"/>
      <c r="M64" s="131"/>
      <c r="N64" s="131"/>
      <c r="O64" s="131"/>
      <c r="P64" s="131"/>
      <c r="Q64" s="131"/>
      <c r="R64" s="131"/>
      <c r="S64" s="131"/>
      <c r="T64" s="131"/>
      <c r="U64" s="6"/>
      <c r="V64" s="6"/>
      <c r="W64" s="6"/>
      <c r="X64" s="6"/>
      <c r="Y64" s="6"/>
      <c r="Z64" s="6"/>
      <c r="AA64" s="6"/>
      <c r="AB64" s="6"/>
    </row>
    <row r="65" ht="15.75" customHeight="1">
      <c r="A65" s="130"/>
      <c r="B65" s="2"/>
      <c r="C65" s="132"/>
      <c r="D65" s="132"/>
      <c r="E65" s="132"/>
      <c r="F65" s="132"/>
      <c r="G65" s="6"/>
      <c r="H65" s="6"/>
      <c r="I65" s="6"/>
      <c r="J65" s="188"/>
      <c r="K65" s="131"/>
      <c r="L65" s="131"/>
      <c r="M65" s="131"/>
      <c r="N65" s="131"/>
      <c r="O65" s="131"/>
      <c r="P65" s="131"/>
      <c r="Q65" s="131"/>
      <c r="R65" s="131"/>
      <c r="S65" s="131"/>
      <c r="T65" s="131"/>
      <c r="U65" s="6"/>
      <c r="V65" s="6"/>
      <c r="W65" s="6"/>
      <c r="X65" s="6"/>
      <c r="Y65" s="6"/>
      <c r="Z65" s="6"/>
      <c r="AA65" s="6"/>
      <c r="AB65" s="6"/>
    </row>
    <row r="66" ht="15.75" customHeight="1">
      <c r="A66" s="130"/>
      <c r="B66" s="2"/>
      <c r="C66" s="132"/>
      <c r="D66" s="132"/>
      <c r="E66" s="132"/>
      <c r="F66" s="132"/>
      <c r="G66" s="6"/>
      <c r="H66" s="6"/>
      <c r="I66" s="6"/>
      <c r="J66" s="188"/>
      <c r="K66" s="131"/>
      <c r="L66" s="131"/>
      <c r="M66" s="131"/>
      <c r="N66" s="131"/>
      <c r="O66" s="131"/>
      <c r="P66" s="131"/>
      <c r="Q66" s="131"/>
      <c r="R66" s="131"/>
      <c r="S66" s="131"/>
      <c r="T66" s="131"/>
      <c r="U66" s="6"/>
      <c r="V66" s="6"/>
      <c r="W66" s="6"/>
      <c r="X66" s="6"/>
      <c r="Y66" s="6"/>
      <c r="Z66" s="6"/>
      <c r="AA66" s="6"/>
      <c r="AB66" s="6"/>
    </row>
    <row r="67" ht="15.75" customHeight="1">
      <c r="A67" s="130"/>
      <c r="B67" s="2"/>
      <c r="C67" s="132"/>
      <c r="D67" s="132"/>
      <c r="E67" s="132"/>
      <c r="F67" s="132"/>
      <c r="G67" s="6"/>
      <c r="H67" s="6"/>
      <c r="I67" s="6"/>
      <c r="J67" s="188"/>
      <c r="K67" s="131"/>
      <c r="L67" s="131"/>
      <c r="M67" s="131"/>
      <c r="N67" s="131"/>
      <c r="O67" s="131"/>
      <c r="P67" s="131"/>
      <c r="Q67" s="131"/>
      <c r="R67" s="131"/>
      <c r="S67" s="131"/>
      <c r="T67" s="131"/>
      <c r="U67" s="6"/>
      <c r="V67" s="6"/>
      <c r="W67" s="6"/>
      <c r="X67" s="6"/>
      <c r="Y67" s="6"/>
      <c r="Z67" s="6"/>
      <c r="AA67" s="6"/>
      <c r="AB67" s="6"/>
    </row>
    <row r="68" ht="15.75" customHeight="1">
      <c r="A68" s="130"/>
      <c r="B68" s="2"/>
      <c r="C68" s="132"/>
      <c r="D68" s="132"/>
      <c r="E68" s="132"/>
      <c r="F68" s="132"/>
      <c r="G68" s="6"/>
      <c r="H68" s="6"/>
      <c r="I68" s="6"/>
      <c r="J68" s="188"/>
      <c r="K68" s="131"/>
      <c r="L68" s="131"/>
      <c r="M68" s="131"/>
      <c r="N68" s="131"/>
      <c r="O68" s="131"/>
      <c r="P68" s="131"/>
      <c r="Q68" s="131"/>
      <c r="R68" s="131"/>
      <c r="S68" s="131"/>
      <c r="T68" s="131"/>
      <c r="U68" s="6"/>
      <c r="V68" s="6"/>
      <c r="W68" s="6"/>
      <c r="X68" s="6"/>
      <c r="Y68" s="6"/>
      <c r="Z68" s="6"/>
      <c r="AA68" s="6"/>
      <c r="AB68" s="6"/>
    </row>
    <row r="69" ht="15.75" customHeight="1">
      <c r="A69" s="130"/>
      <c r="B69" s="2"/>
      <c r="C69" s="132"/>
      <c r="D69" s="132"/>
      <c r="E69" s="132"/>
      <c r="F69" s="132"/>
      <c r="G69" s="6"/>
      <c r="H69" s="6"/>
      <c r="I69" s="6"/>
      <c r="J69" s="188"/>
      <c r="K69" s="131"/>
      <c r="L69" s="131"/>
      <c r="M69" s="131"/>
      <c r="N69" s="131"/>
      <c r="O69" s="131"/>
      <c r="P69" s="131"/>
      <c r="Q69" s="131"/>
      <c r="R69" s="131"/>
      <c r="S69" s="131"/>
      <c r="T69" s="131"/>
      <c r="U69" s="6"/>
      <c r="V69" s="6"/>
      <c r="W69" s="6"/>
      <c r="X69" s="6"/>
      <c r="Y69" s="6"/>
      <c r="Z69" s="6"/>
      <c r="AA69" s="6"/>
      <c r="AB69" s="6"/>
    </row>
    <row r="70" ht="15.75" customHeight="1">
      <c r="A70" s="130"/>
      <c r="B70" s="2"/>
      <c r="C70" s="132"/>
      <c r="D70" s="132"/>
      <c r="E70" s="132"/>
      <c r="F70" s="132"/>
      <c r="G70" s="6"/>
      <c r="H70" s="6"/>
      <c r="I70" s="6"/>
      <c r="J70" s="188"/>
      <c r="K70" s="131"/>
      <c r="L70" s="131"/>
      <c r="M70" s="131"/>
      <c r="N70" s="131"/>
      <c r="O70" s="131"/>
      <c r="P70" s="131"/>
      <c r="Q70" s="131"/>
      <c r="R70" s="131"/>
      <c r="S70" s="131"/>
      <c r="T70" s="131"/>
      <c r="U70" s="6"/>
      <c r="V70" s="6"/>
      <c r="W70" s="6"/>
      <c r="X70" s="6"/>
      <c r="Y70" s="6"/>
      <c r="Z70" s="6"/>
      <c r="AA70" s="6"/>
      <c r="AB70" s="6"/>
    </row>
    <row r="71" ht="15.75" customHeight="1">
      <c r="A71" s="130"/>
      <c r="B71" s="2"/>
      <c r="C71" s="132"/>
      <c r="D71" s="132"/>
      <c r="E71" s="132"/>
      <c r="F71" s="132"/>
      <c r="G71" s="6"/>
      <c r="H71" s="6"/>
      <c r="I71" s="6"/>
      <c r="J71" s="188"/>
      <c r="K71" s="131"/>
      <c r="L71" s="131"/>
      <c r="M71" s="131"/>
      <c r="N71" s="131"/>
      <c r="O71" s="131"/>
      <c r="P71" s="131"/>
      <c r="Q71" s="131"/>
      <c r="R71" s="131"/>
      <c r="S71" s="131"/>
      <c r="T71" s="131"/>
      <c r="U71" s="6"/>
      <c r="V71" s="6"/>
      <c r="W71" s="6"/>
      <c r="X71" s="6"/>
      <c r="Y71" s="6"/>
      <c r="Z71" s="6"/>
      <c r="AA71" s="6"/>
      <c r="AB71" s="6"/>
    </row>
    <row r="72" ht="15.75" customHeight="1">
      <c r="A72" s="130"/>
      <c r="B72" s="2"/>
      <c r="C72" s="132"/>
      <c r="D72" s="132"/>
      <c r="E72" s="132"/>
      <c r="F72" s="132"/>
      <c r="G72" s="6"/>
      <c r="H72" s="6"/>
      <c r="I72" s="6"/>
      <c r="J72" s="188"/>
      <c r="K72" s="131"/>
      <c r="L72" s="131"/>
      <c r="M72" s="131"/>
      <c r="N72" s="131"/>
      <c r="O72" s="131"/>
      <c r="P72" s="131"/>
      <c r="Q72" s="131"/>
      <c r="R72" s="131"/>
      <c r="S72" s="131"/>
      <c r="T72" s="131"/>
      <c r="U72" s="6"/>
      <c r="V72" s="6"/>
      <c r="W72" s="6"/>
      <c r="X72" s="6"/>
      <c r="Y72" s="6"/>
      <c r="Z72" s="6"/>
      <c r="AA72" s="6"/>
      <c r="AB72" s="6"/>
    </row>
    <row r="73" ht="15.75" customHeight="1">
      <c r="A73" s="130"/>
      <c r="B73" s="2"/>
      <c r="C73" s="132"/>
      <c r="D73" s="132"/>
      <c r="E73" s="132"/>
      <c r="F73" s="132"/>
      <c r="G73" s="6"/>
      <c r="H73" s="6"/>
      <c r="I73" s="6"/>
      <c r="J73" s="188"/>
      <c r="K73" s="131"/>
      <c r="L73" s="131"/>
      <c r="M73" s="131"/>
      <c r="N73" s="131"/>
      <c r="O73" s="131"/>
      <c r="P73" s="131"/>
      <c r="Q73" s="131"/>
      <c r="R73" s="131"/>
      <c r="S73" s="131"/>
      <c r="T73" s="131"/>
      <c r="U73" s="6"/>
      <c r="V73" s="6"/>
      <c r="W73" s="6"/>
      <c r="X73" s="6"/>
      <c r="Y73" s="6"/>
      <c r="Z73" s="6"/>
      <c r="AA73" s="6"/>
      <c r="AB73" s="6"/>
    </row>
    <row r="74" ht="15.75" customHeight="1">
      <c r="A74" s="130"/>
      <c r="B74" s="2"/>
      <c r="C74" s="132"/>
      <c r="D74" s="132"/>
      <c r="E74" s="132"/>
      <c r="F74" s="132"/>
      <c r="G74" s="6"/>
      <c r="H74" s="6"/>
      <c r="I74" s="6"/>
      <c r="J74" s="188"/>
      <c r="K74" s="131"/>
      <c r="L74" s="131"/>
      <c r="M74" s="131"/>
      <c r="N74" s="131"/>
      <c r="O74" s="131"/>
      <c r="P74" s="131"/>
      <c r="Q74" s="131"/>
      <c r="R74" s="131"/>
      <c r="S74" s="131"/>
      <c r="T74" s="131"/>
      <c r="U74" s="6"/>
      <c r="V74" s="6"/>
      <c r="W74" s="6"/>
      <c r="X74" s="6"/>
      <c r="Y74" s="6"/>
      <c r="Z74" s="6"/>
      <c r="AA74" s="6"/>
      <c r="AB74" s="6"/>
    </row>
    <row r="75" ht="15.75" customHeight="1">
      <c r="A75" s="130"/>
      <c r="B75" s="2"/>
      <c r="C75" s="132"/>
      <c r="D75" s="132"/>
      <c r="E75" s="132"/>
      <c r="F75" s="132"/>
      <c r="G75" s="6"/>
      <c r="H75" s="6"/>
      <c r="I75" s="6"/>
      <c r="J75" s="188"/>
      <c r="K75" s="131"/>
      <c r="L75" s="131"/>
      <c r="M75" s="131"/>
      <c r="N75" s="131"/>
      <c r="O75" s="131"/>
      <c r="P75" s="131"/>
      <c r="Q75" s="131"/>
      <c r="R75" s="131"/>
      <c r="S75" s="131"/>
      <c r="T75" s="131"/>
      <c r="U75" s="6"/>
      <c r="V75" s="6"/>
      <c r="W75" s="6"/>
      <c r="X75" s="6"/>
      <c r="Y75" s="6"/>
      <c r="Z75" s="6"/>
      <c r="AA75" s="6"/>
      <c r="AB75" s="6"/>
    </row>
    <row r="76" ht="15.75" customHeight="1">
      <c r="A76" s="130"/>
      <c r="B76" s="2"/>
      <c r="C76" s="132"/>
      <c r="D76" s="132"/>
      <c r="E76" s="132"/>
      <c r="F76" s="132"/>
      <c r="G76" s="6"/>
      <c r="H76" s="6"/>
      <c r="I76" s="6"/>
      <c r="J76" s="188"/>
      <c r="K76" s="131"/>
      <c r="L76" s="131"/>
      <c r="M76" s="131"/>
      <c r="N76" s="131"/>
      <c r="O76" s="131"/>
      <c r="P76" s="131"/>
      <c r="Q76" s="131"/>
      <c r="R76" s="131"/>
      <c r="S76" s="131"/>
      <c r="T76" s="131"/>
      <c r="U76" s="6"/>
      <c r="V76" s="6"/>
      <c r="W76" s="6"/>
      <c r="X76" s="6"/>
      <c r="Y76" s="6"/>
      <c r="Z76" s="6"/>
      <c r="AA76" s="6"/>
      <c r="AB76" s="6"/>
    </row>
    <row r="77" ht="15.75" customHeight="1">
      <c r="A77" s="130"/>
      <c r="B77" s="2"/>
      <c r="C77" s="132"/>
      <c r="D77" s="132"/>
      <c r="E77" s="132"/>
      <c r="F77" s="132"/>
      <c r="G77" s="6"/>
      <c r="H77" s="6"/>
      <c r="I77" s="6"/>
      <c r="J77" s="188"/>
      <c r="K77" s="131"/>
      <c r="L77" s="131"/>
      <c r="M77" s="131"/>
      <c r="N77" s="131"/>
      <c r="O77" s="131"/>
      <c r="P77" s="131"/>
      <c r="Q77" s="131"/>
      <c r="R77" s="131"/>
      <c r="S77" s="131"/>
      <c r="T77" s="131"/>
      <c r="U77" s="6"/>
      <c r="V77" s="6"/>
      <c r="W77" s="6"/>
      <c r="X77" s="6"/>
      <c r="Y77" s="6"/>
      <c r="Z77" s="6"/>
      <c r="AA77" s="6"/>
      <c r="AB77" s="6"/>
    </row>
    <row r="78" ht="15.75" customHeight="1">
      <c r="A78" s="130"/>
      <c r="B78" s="2"/>
      <c r="C78" s="132"/>
      <c r="D78" s="132"/>
      <c r="E78" s="132"/>
      <c r="F78" s="132"/>
      <c r="G78" s="6"/>
      <c r="H78" s="6"/>
      <c r="I78" s="6"/>
      <c r="J78" s="188"/>
      <c r="K78" s="131"/>
      <c r="L78" s="131"/>
      <c r="M78" s="131"/>
      <c r="N78" s="131"/>
      <c r="O78" s="131"/>
      <c r="P78" s="131"/>
      <c r="Q78" s="131"/>
      <c r="R78" s="131"/>
      <c r="S78" s="131"/>
      <c r="T78" s="131"/>
      <c r="U78" s="6"/>
      <c r="V78" s="6"/>
      <c r="W78" s="6"/>
      <c r="X78" s="6"/>
      <c r="Y78" s="6"/>
      <c r="Z78" s="6"/>
      <c r="AA78" s="6"/>
      <c r="AB78" s="6"/>
    </row>
    <row r="79" ht="15.75" customHeight="1">
      <c r="A79" s="130"/>
      <c r="B79" s="2"/>
      <c r="C79" s="132"/>
      <c r="D79" s="132"/>
      <c r="E79" s="132"/>
      <c r="F79" s="132"/>
      <c r="G79" s="6"/>
      <c r="H79" s="6"/>
      <c r="I79" s="6"/>
      <c r="J79" s="188"/>
      <c r="K79" s="131"/>
      <c r="L79" s="131"/>
      <c r="M79" s="131"/>
      <c r="N79" s="131"/>
      <c r="O79" s="131"/>
      <c r="P79" s="131"/>
      <c r="Q79" s="131"/>
      <c r="R79" s="131"/>
      <c r="S79" s="131"/>
      <c r="T79" s="131"/>
      <c r="U79" s="6"/>
      <c r="V79" s="6"/>
      <c r="W79" s="6"/>
      <c r="X79" s="6"/>
      <c r="Y79" s="6"/>
      <c r="Z79" s="6"/>
      <c r="AA79" s="6"/>
      <c r="AB79" s="6"/>
    </row>
    <row r="80" ht="15.75" customHeight="1">
      <c r="A80" s="130"/>
      <c r="B80" s="2"/>
      <c r="C80" s="132"/>
      <c r="D80" s="132"/>
      <c r="E80" s="132"/>
      <c r="F80" s="132"/>
      <c r="G80" s="6"/>
      <c r="H80" s="6"/>
      <c r="I80" s="6"/>
      <c r="J80" s="188"/>
      <c r="K80" s="131"/>
      <c r="L80" s="131"/>
      <c r="M80" s="131"/>
      <c r="N80" s="131"/>
      <c r="O80" s="131"/>
      <c r="P80" s="131"/>
      <c r="Q80" s="131"/>
      <c r="R80" s="131"/>
      <c r="S80" s="131"/>
      <c r="T80" s="131"/>
      <c r="U80" s="6"/>
      <c r="V80" s="6"/>
      <c r="W80" s="6"/>
      <c r="X80" s="6"/>
      <c r="Y80" s="6"/>
      <c r="Z80" s="6"/>
      <c r="AA80" s="6"/>
      <c r="AB80" s="6"/>
    </row>
    <row r="81" ht="15.75" customHeight="1">
      <c r="A81" s="130"/>
      <c r="B81" s="2"/>
      <c r="C81" s="132"/>
      <c r="D81" s="132"/>
      <c r="E81" s="132"/>
      <c r="F81" s="132"/>
      <c r="G81" s="6"/>
      <c r="H81" s="6"/>
      <c r="I81" s="6"/>
      <c r="J81" s="188"/>
      <c r="K81" s="131"/>
      <c r="L81" s="131"/>
      <c r="M81" s="131"/>
      <c r="N81" s="131"/>
      <c r="O81" s="131"/>
      <c r="P81" s="131"/>
      <c r="Q81" s="131"/>
      <c r="R81" s="131"/>
      <c r="S81" s="131"/>
      <c r="T81" s="131"/>
      <c r="U81" s="6"/>
      <c r="V81" s="6"/>
      <c r="W81" s="6"/>
      <c r="X81" s="6"/>
      <c r="Y81" s="6"/>
      <c r="Z81" s="6"/>
      <c r="AA81" s="6"/>
      <c r="AB81" s="6"/>
    </row>
    <row r="82" ht="15.75" customHeight="1">
      <c r="A82" s="130"/>
      <c r="B82" s="2"/>
      <c r="C82" s="132"/>
      <c r="D82" s="132"/>
      <c r="E82" s="132"/>
      <c r="F82" s="132"/>
      <c r="G82" s="6"/>
      <c r="H82" s="6"/>
      <c r="I82" s="6"/>
      <c r="J82" s="188"/>
      <c r="K82" s="131"/>
      <c r="L82" s="131"/>
      <c r="M82" s="131"/>
      <c r="N82" s="131"/>
      <c r="O82" s="131"/>
      <c r="P82" s="131"/>
      <c r="Q82" s="131"/>
      <c r="R82" s="131"/>
      <c r="S82" s="131"/>
      <c r="T82" s="131"/>
      <c r="U82" s="6"/>
      <c r="V82" s="6"/>
      <c r="W82" s="6"/>
      <c r="X82" s="6"/>
      <c r="Y82" s="6"/>
      <c r="Z82" s="6"/>
      <c r="AA82" s="6"/>
      <c r="AB82" s="6"/>
    </row>
    <row r="83" ht="15.75" customHeight="1">
      <c r="A83" s="130"/>
      <c r="B83" s="2"/>
      <c r="C83" s="132"/>
      <c r="D83" s="132"/>
      <c r="E83" s="132"/>
      <c r="F83" s="132"/>
      <c r="G83" s="6"/>
      <c r="H83" s="6"/>
      <c r="I83" s="6"/>
      <c r="J83" s="188"/>
      <c r="K83" s="131"/>
      <c r="L83" s="131"/>
      <c r="M83" s="131"/>
      <c r="N83" s="131"/>
      <c r="O83" s="131"/>
      <c r="P83" s="131"/>
      <c r="Q83" s="131"/>
      <c r="R83" s="131"/>
      <c r="S83" s="131"/>
      <c r="T83" s="131"/>
      <c r="U83" s="6"/>
      <c r="V83" s="6"/>
      <c r="W83" s="6"/>
      <c r="X83" s="6"/>
      <c r="Y83" s="6"/>
      <c r="Z83" s="6"/>
      <c r="AA83" s="6"/>
      <c r="AB83" s="6"/>
    </row>
    <row r="84" ht="15.75" customHeight="1">
      <c r="A84" s="130"/>
      <c r="B84" s="2"/>
      <c r="C84" s="132"/>
      <c r="D84" s="132"/>
      <c r="E84" s="132"/>
      <c r="F84" s="132"/>
      <c r="G84" s="6"/>
      <c r="H84" s="6"/>
      <c r="I84" s="6"/>
      <c r="J84" s="188"/>
      <c r="K84" s="131"/>
      <c r="L84" s="131"/>
      <c r="M84" s="131"/>
      <c r="N84" s="131"/>
      <c r="O84" s="131"/>
      <c r="P84" s="131"/>
      <c r="Q84" s="131"/>
      <c r="R84" s="131"/>
      <c r="S84" s="131"/>
      <c r="T84" s="131"/>
      <c r="U84" s="6"/>
      <c r="V84" s="6"/>
      <c r="W84" s="6"/>
      <c r="X84" s="6"/>
      <c r="Y84" s="6"/>
      <c r="Z84" s="6"/>
      <c r="AA84" s="6"/>
      <c r="AB84" s="6"/>
    </row>
    <row r="85" ht="15.75" customHeight="1">
      <c r="A85" s="130"/>
      <c r="B85" s="2"/>
      <c r="C85" s="132"/>
      <c r="D85" s="132"/>
      <c r="E85" s="132"/>
      <c r="F85" s="132"/>
      <c r="G85" s="6"/>
      <c r="H85" s="6"/>
      <c r="I85" s="6"/>
      <c r="J85" s="188"/>
      <c r="K85" s="131"/>
      <c r="L85" s="131"/>
      <c r="M85" s="131"/>
      <c r="N85" s="131"/>
      <c r="O85" s="131"/>
      <c r="P85" s="131"/>
      <c r="Q85" s="131"/>
      <c r="R85" s="131"/>
      <c r="S85" s="131"/>
      <c r="T85" s="131"/>
      <c r="U85" s="6"/>
      <c r="V85" s="6"/>
      <c r="W85" s="6"/>
      <c r="X85" s="6"/>
      <c r="Y85" s="6"/>
      <c r="Z85" s="6"/>
      <c r="AA85" s="6"/>
      <c r="AB85" s="6"/>
    </row>
    <row r="86" ht="15.75" customHeight="1">
      <c r="A86" s="130"/>
      <c r="B86" s="2"/>
      <c r="C86" s="132"/>
      <c r="D86" s="132"/>
      <c r="E86" s="132"/>
      <c r="F86" s="132"/>
      <c r="G86" s="6"/>
      <c r="H86" s="6"/>
      <c r="I86" s="6"/>
      <c r="J86" s="188"/>
      <c r="K86" s="131"/>
      <c r="L86" s="131"/>
      <c r="M86" s="131"/>
      <c r="N86" s="131"/>
      <c r="O86" s="131"/>
      <c r="P86" s="131"/>
      <c r="Q86" s="131"/>
      <c r="R86" s="131"/>
      <c r="S86" s="131"/>
      <c r="T86" s="131"/>
      <c r="U86" s="6"/>
      <c r="V86" s="6"/>
      <c r="W86" s="6"/>
      <c r="X86" s="6"/>
      <c r="Y86" s="6"/>
      <c r="Z86" s="6"/>
      <c r="AA86" s="6"/>
      <c r="AB86" s="6"/>
    </row>
    <row r="87" ht="15.75" customHeight="1">
      <c r="A87" s="130"/>
      <c r="B87" s="2"/>
      <c r="C87" s="132"/>
      <c r="D87" s="132"/>
      <c r="E87" s="132"/>
      <c r="F87" s="132"/>
      <c r="G87" s="6"/>
      <c r="H87" s="6"/>
      <c r="I87" s="6"/>
      <c r="J87" s="188"/>
      <c r="K87" s="131"/>
      <c r="L87" s="131"/>
      <c r="M87" s="131"/>
      <c r="N87" s="131"/>
      <c r="O87" s="131"/>
      <c r="P87" s="131"/>
      <c r="Q87" s="131"/>
      <c r="R87" s="131"/>
      <c r="S87" s="131"/>
      <c r="T87" s="131"/>
      <c r="U87" s="6"/>
      <c r="V87" s="6"/>
      <c r="W87" s="6"/>
      <c r="X87" s="6"/>
      <c r="Y87" s="6"/>
      <c r="Z87" s="6"/>
      <c r="AA87" s="6"/>
      <c r="AB87" s="6"/>
    </row>
    <row r="88" ht="15.75" customHeight="1">
      <c r="A88" s="130"/>
      <c r="B88" s="2"/>
      <c r="C88" s="132"/>
      <c r="D88" s="132"/>
      <c r="E88" s="132"/>
      <c r="F88" s="132"/>
      <c r="G88" s="6"/>
      <c r="H88" s="6"/>
      <c r="I88" s="6"/>
      <c r="J88" s="188"/>
      <c r="K88" s="131"/>
      <c r="L88" s="131"/>
      <c r="M88" s="131"/>
      <c r="N88" s="131"/>
      <c r="O88" s="131"/>
      <c r="P88" s="131"/>
      <c r="Q88" s="131"/>
      <c r="R88" s="131"/>
      <c r="S88" s="131"/>
      <c r="T88" s="131"/>
      <c r="U88" s="6"/>
      <c r="V88" s="6"/>
      <c r="W88" s="6"/>
      <c r="X88" s="6"/>
      <c r="Y88" s="6"/>
      <c r="Z88" s="6"/>
      <c r="AA88" s="6"/>
      <c r="AB88" s="6"/>
    </row>
    <row r="89" ht="15.75" customHeight="1">
      <c r="A89" s="130"/>
      <c r="B89" s="2"/>
      <c r="C89" s="132"/>
      <c r="D89" s="132"/>
      <c r="E89" s="132"/>
      <c r="F89" s="132"/>
      <c r="G89" s="6"/>
      <c r="H89" s="6"/>
      <c r="I89" s="6"/>
      <c r="J89" s="188"/>
      <c r="K89" s="131"/>
      <c r="L89" s="131"/>
      <c r="M89" s="131"/>
      <c r="N89" s="131"/>
      <c r="O89" s="131"/>
      <c r="P89" s="131"/>
      <c r="Q89" s="131"/>
      <c r="R89" s="131"/>
      <c r="S89" s="131"/>
      <c r="T89" s="131"/>
      <c r="U89" s="6"/>
      <c r="V89" s="6"/>
      <c r="W89" s="6"/>
      <c r="X89" s="6"/>
      <c r="Y89" s="6"/>
      <c r="Z89" s="6"/>
      <c r="AA89" s="6"/>
      <c r="AB89" s="6"/>
    </row>
    <row r="90" ht="15.75" customHeight="1">
      <c r="A90" s="130"/>
      <c r="B90" s="2"/>
      <c r="C90" s="132"/>
      <c r="D90" s="132"/>
      <c r="E90" s="132"/>
      <c r="F90" s="132"/>
      <c r="G90" s="6"/>
      <c r="H90" s="6"/>
      <c r="I90" s="6"/>
      <c r="J90" s="188"/>
      <c r="K90" s="131"/>
      <c r="L90" s="131"/>
      <c r="M90" s="131"/>
      <c r="N90" s="131"/>
      <c r="O90" s="131"/>
      <c r="P90" s="131"/>
      <c r="Q90" s="131"/>
      <c r="R90" s="131"/>
      <c r="S90" s="131"/>
      <c r="T90" s="131"/>
      <c r="U90" s="6"/>
      <c r="V90" s="6"/>
      <c r="W90" s="6"/>
      <c r="X90" s="6"/>
      <c r="Y90" s="6"/>
      <c r="Z90" s="6"/>
      <c r="AA90" s="6"/>
      <c r="AB90" s="6"/>
    </row>
    <row r="91" ht="15.75" customHeight="1">
      <c r="A91" s="130"/>
      <c r="B91" s="2"/>
      <c r="C91" s="132"/>
      <c r="D91" s="132"/>
      <c r="E91" s="132"/>
      <c r="F91" s="132"/>
      <c r="G91" s="6"/>
      <c r="H91" s="6"/>
      <c r="I91" s="6"/>
      <c r="J91" s="188"/>
      <c r="K91" s="131"/>
      <c r="L91" s="131"/>
      <c r="M91" s="131"/>
      <c r="N91" s="131"/>
      <c r="O91" s="131"/>
      <c r="P91" s="131"/>
      <c r="Q91" s="131"/>
      <c r="R91" s="131"/>
      <c r="S91" s="131"/>
      <c r="T91" s="131"/>
      <c r="U91" s="6"/>
      <c r="V91" s="6"/>
      <c r="W91" s="6"/>
      <c r="X91" s="6"/>
      <c r="Y91" s="6"/>
      <c r="Z91" s="6"/>
      <c r="AA91" s="6"/>
      <c r="AB91" s="6"/>
    </row>
    <row r="92" ht="15.75" customHeight="1">
      <c r="A92" s="130"/>
      <c r="B92" s="2"/>
      <c r="C92" s="132"/>
      <c r="D92" s="132"/>
      <c r="E92" s="132"/>
      <c r="F92" s="132"/>
      <c r="G92" s="6"/>
      <c r="H92" s="6"/>
      <c r="I92" s="6"/>
      <c r="J92" s="188"/>
      <c r="K92" s="131"/>
      <c r="L92" s="131"/>
      <c r="M92" s="131"/>
      <c r="N92" s="131"/>
      <c r="O92" s="131"/>
      <c r="P92" s="131"/>
      <c r="Q92" s="131"/>
      <c r="R92" s="131"/>
      <c r="S92" s="131"/>
      <c r="T92" s="131"/>
      <c r="U92" s="6"/>
      <c r="V92" s="6"/>
      <c r="W92" s="6"/>
      <c r="X92" s="6"/>
      <c r="Y92" s="6"/>
      <c r="Z92" s="6"/>
      <c r="AA92" s="6"/>
      <c r="AB92" s="6"/>
    </row>
    <row r="93" ht="15.75" customHeight="1">
      <c r="A93" s="130"/>
      <c r="B93" s="2"/>
      <c r="C93" s="132"/>
      <c r="D93" s="132"/>
      <c r="E93" s="132"/>
      <c r="F93" s="132"/>
      <c r="G93" s="6"/>
      <c r="H93" s="6"/>
      <c r="I93" s="6"/>
      <c r="J93" s="188"/>
      <c r="K93" s="131"/>
      <c r="L93" s="131"/>
      <c r="M93" s="131"/>
      <c r="N93" s="131"/>
      <c r="O93" s="131"/>
      <c r="P93" s="131"/>
      <c r="Q93" s="131"/>
      <c r="R93" s="131"/>
      <c r="S93" s="131"/>
      <c r="T93" s="131"/>
      <c r="U93" s="6"/>
      <c r="V93" s="6"/>
      <c r="W93" s="6"/>
      <c r="X93" s="6"/>
      <c r="Y93" s="6"/>
      <c r="Z93" s="6"/>
      <c r="AA93" s="6"/>
      <c r="AB93" s="6"/>
    </row>
    <row r="94" ht="15.75" customHeight="1">
      <c r="A94" s="130"/>
      <c r="B94" s="2"/>
      <c r="C94" s="132"/>
      <c r="D94" s="132"/>
      <c r="E94" s="132"/>
      <c r="F94" s="132"/>
      <c r="G94" s="6"/>
      <c r="H94" s="6"/>
      <c r="I94" s="6"/>
      <c r="J94" s="188"/>
      <c r="K94" s="131"/>
      <c r="L94" s="131"/>
      <c r="M94" s="131"/>
      <c r="N94" s="131"/>
      <c r="O94" s="131"/>
      <c r="P94" s="131"/>
      <c r="Q94" s="131"/>
      <c r="R94" s="131"/>
      <c r="S94" s="131"/>
      <c r="T94" s="131"/>
      <c r="U94" s="6"/>
      <c r="V94" s="6"/>
      <c r="W94" s="6"/>
      <c r="X94" s="6"/>
      <c r="Y94" s="6"/>
      <c r="Z94" s="6"/>
      <c r="AA94" s="6"/>
      <c r="AB94" s="6"/>
    </row>
    <row r="95" ht="15.75" customHeight="1">
      <c r="A95" s="130"/>
      <c r="B95" s="2"/>
      <c r="C95" s="132"/>
      <c r="D95" s="132"/>
      <c r="E95" s="132"/>
      <c r="F95" s="132"/>
      <c r="G95" s="6"/>
      <c r="H95" s="6"/>
      <c r="I95" s="6"/>
      <c r="J95" s="188"/>
      <c r="K95" s="131"/>
      <c r="L95" s="131"/>
      <c r="M95" s="131"/>
      <c r="N95" s="131"/>
      <c r="O95" s="131"/>
      <c r="P95" s="131"/>
      <c r="Q95" s="131"/>
      <c r="R95" s="131"/>
      <c r="S95" s="131"/>
      <c r="T95" s="131"/>
      <c r="U95" s="6"/>
      <c r="V95" s="6"/>
      <c r="W95" s="6"/>
      <c r="X95" s="6"/>
      <c r="Y95" s="6"/>
      <c r="Z95" s="6"/>
      <c r="AA95" s="6"/>
      <c r="AB95" s="6"/>
    </row>
    <row r="96" ht="15.75" customHeight="1">
      <c r="A96" s="130"/>
      <c r="B96" s="2"/>
      <c r="C96" s="132"/>
      <c r="D96" s="132"/>
      <c r="E96" s="132"/>
      <c r="F96" s="132"/>
      <c r="G96" s="6"/>
      <c r="H96" s="6"/>
      <c r="I96" s="6"/>
      <c r="J96" s="188"/>
      <c r="K96" s="131"/>
      <c r="L96" s="131"/>
      <c r="M96" s="131"/>
      <c r="N96" s="131"/>
      <c r="O96" s="131"/>
      <c r="P96" s="131"/>
      <c r="Q96" s="131"/>
      <c r="R96" s="131"/>
      <c r="S96" s="131"/>
      <c r="T96" s="131"/>
      <c r="U96" s="6"/>
      <c r="V96" s="6"/>
      <c r="W96" s="6"/>
      <c r="X96" s="6"/>
      <c r="Y96" s="6"/>
      <c r="Z96" s="6"/>
      <c r="AA96" s="6"/>
      <c r="AB96" s="6"/>
    </row>
    <row r="97" ht="15.75" customHeight="1">
      <c r="A97" s="130"/>
      <c r="B97" s="2"/>
      <c r="C97" s="132"/>
      <c r="D97" s="132"/>
      <c r="E97" s="132"/>
      <c r="F97" s="132"/>
      <c r="G97" s="6"/>
      <c r="H97" s="6"/>
      <c r="I97" s="6"/>
      <c r="J97" s="188"/>
      <c r="K97" s="131"/>
      <c r="L97" s="131"/>
      <c r="M97" s="131"/>
      <c r="N97" s="131"/>
      <c r="O97" s="131"/>
      <c r="P97" s="131"/>
      <c r="Q97" s="131"/>
      <c r="R97" s="131"/>
      <c r="S97" s="131"/>
      <c r="T97" s="131"/>
      <c r="U97" s="6"/>
      <c r="V97" s="6"/>
      <c r="W97" s="6"/>
      <c r="X97" s="6"/>
      <c r="Y97" s="6"/>
      <c r="Z97" s="6"/>
      <c r="AA97" s="6"/>
      <c r="AB97" s="6"/>
    </row>
    <row r="98" ht="15.75" customHeight="1">
      <c r="A98" s="130"/>
      <c r="B98" s="2"/>
      <c r="C98" s="132"/>
      <c r="D98" s="132"/>
      <c r="E98" s="132"/>
      <c r="F98" s="132"/>
      <c r="G98" s="6"/>
      <c r="H98" s="6"/>
      <c r="I98" s="6"/>
      <c r="J98" s="188"/>
      <c r="K98" s="131"/>
      <c r="L98" s="131"/>
      <c r="M98" s="131"/>
      <c r="N98" s="131"/>
      <c r="O98" s="131"/>
      <c r="P98" s="131"/>
      <c r="Q98" s="131"/>
      <c r="R98" s="131"/>
      <c r="S98" s="131"/>
      <c r="T98" s="131"/>
      <c r="U98" s="6"/>
      <c r="V98" s="6"/>
      <c r="W98" s="6"/>
      <c r="X98" s="6"/>
      <c r="Y98" s="6"/>
      <c r="Z98" s="6"/>
      <c r="AA98" s="6"/>
      <c r="AB98" s="6"/>
    </row>
    <row r="99" ht="15.75" customHeight="1">
      <c r="A99" s="130"/>
      <c r="B99" s="2"/>
      <c r="C99" s="132"/>
      <c r="D99" s="132"/>
      <c r="E99" s="132"/>
      <c r="F99" s="132"/>
      <c r="G99" s="6"/>
      <c r="H99" s="6"/>
      <c r="I99" s="6"/>
      <c r="J99" s="188"/>
      <c r="K99" s="131"/>
      <c r="L99" s="131"/>
      <c r="M99" s="131"/>
      <c r="N99" s="131"/>
      <c r="O99" s="131"/>
      <c r="P99" s="131"/>
      <c r="Q99" s="131"/>
      <c r="R99" s="131"/>
      <c r="S99" s="131"/>
      <c r="T99" s="131"/>
      <c r="U99" s="6"/>
      <c r="V99" s="6"/>
      <c r="W99" s="6"/>
      <c r="X99" s="6"/>
      <c r="Y99" s="6"/>
      <c r="Z99" s="6"/>
      <c r="AA99" s="6"/>
      <c r="AB99" s="6"/>
    </row>
    <row r="100" ht="15.75" customHeight="1">
      <c r="A100" s="130"/>
      <c r="B100" s="2"/>
      <c r="C100" s="132"/>
      <c r="D100" s="132"/>
      <c r="E100" s="132"/>
      <c r="F100" s="132"/>
      <c r="G100" s="6"/>
      <c r="H100" s="6"/>
      <c r="I100" s="6"/>
      <c r="J100" s="188"/>
      <c r="K100" s="131"/>
      <c r="L100" s="131"/>
      <c r="M100" s="131"/>
      <c r="N100" s="131"/>
      <c r="O100" s="131"/>
      <c r="P100" s="131"/>
      <c r="Q100" s="131"/>
      <c r="R100" s="131"/>
      <c r="S100" s="131"/>
      <c r="T100" s="131"/>
      <c r="U100" s="6"/>
      <c r="V100" s="6"/>
      <c r="W100" s="6"/>
      <c r="X100" s="6"/>
      <c r="Y100" s="6"/>
      <c r="Z100" s="6"/>
      <c r="AA100" s="6"/>
      <c r="AB100" s="6"/>
    </row>
    <row r="101" ht="15.75" customHeight="1">
      <c r="A101" s="130"/>
      <c r="B101" s="2"/>
      <c r="C101" s="132"/>
      <c r="D101" s="132"/>
      <c r="E101" s="132"/>
      <c r="F101" s="132"/>
      <c r="G101" s="6"/>
      <c r="H101" s="6"/>
      <c r="I101" s="6"/>
      <c r="J101" s="188"/>
      <c r="K101" s="131"/>
      <c r="L101" s="131"/>
      <c r="M101" s="131"/>
      <c r="N101" s="131"/>
      <c r="O101" s="131"/>
      <c r="P101" s="131"/>
      <c r="Q101" s="131"/>
      <c r="R101" s="131"/>
      <c r="S101" s="131"/>
      <c r="T101" s="131"/>
      <c r="U101" s="6"/>
      <c r="V101" s="6"/>
      <c r="W101" s="6"/>
      <c r="X101" s="6"/>
      <c r="Y101" s="6"/>
      <c r="Z101" s="6"/>
      <c r="AA101" s="6"/>
      <c r="AB101" s="6"/>
    </row>
    <row r="102" ht="15.75" customHeight="1">
      <c r="A102" s="130"/>
      <c r="B102" s="2"/>
      <c r="C102" s="132"/>
      <c r="D102" s="132"/>
      <c r="E102" s="132"/>
      <c r="F102" s="132"/>
      <c r="G102" s="6"/>
      <c r="H102" s="6"/>
      <c r="I102" s="6"/>
      <c r="J102" s="188"/>
      <c r="K102" s="131"/>
      <c r="L102" s="131"/>
      <c r="M102" s="131"/>
      <c r="N102" s="131"/>
      <c r="O102" s="131"/>
      <c r="P102" s="131"/>
      <c r="Q102" s="131"/>
      <c r="R102" s="131"/>
      <c r="S102" s="131"/>
      <c r="T102" s="131"/>
      <c r="U102" s="6"/>
      <c r="V102" s="6"/>
      <c r="W102" s="6"/>
      <c r="X102" s="6"/>
      <c r="Y102" s="6"/>
      <c r="Z102" s="6"/>
      <c r="AA102" s="6"/>
      <c r="AB102" s="6"/>
    </row>
    <row r="103" ht="15.75" customHeight="1">
      <c r="A103" s="130"/>
      <c r="B103" s="2"/>
      <c r="C103" s="132"/>
      <c r="D103" s="132"/>
      <c r="E103" s="132"/>
      <c r="F103" s="132"/>
      <c r="G103" s="6"/>
      <c r="H103" s="6"/>
      <c r="I103" s="6"/>
      <c r="J103" s="188"/>
      <c r="K103" s="131"/>
      <c r="L103" s="131"/>
      <c r="M103" s="131"/>
      <c r="N103" s="131"/>
      <c r="O103" s="131"/>
      <c r="P103" s="131"/>
      <c r="Q103" s="131"/>
      <c r="R103" s="131"/>
      <c r="S103" s="131"/>
      <c r="T103" s="131"/>
      <c r="U103" s="6"/>
      <c r="V103" s="6"/>
      <c r="W103" s="6"/>
      <c r="X103" s="6"/>
      <c r="Y103" s="6"/>
      <c r="Z103" s="6"/>
      <c r="AA103" s="6"/>
      <c r="AB103" s="6"/>
    </row>
    <row r="104" ht="15.75" customHeight="1">
      <c r="A104" s="130"/>
      <c r="B104" s="2"/>
      <c r="C104" s="132"/>
      <c r="D104" s="132"/>
      <c r="E104" s="132"/>
      <c r="F104" s="132"/>
      <c r="G104" s="6"/>
      <c r="H104" s="6"/>
      <c r="I104" s="6"/>
      <c r="J104" s="188"/>
      <c r="K104" s="131"/>
      <c r="L104" s="131"/>
      <c r="M104" s="131"/>
      <c r="N104" s="131"/>
      <c r="O104" s="131"/>
      <c r="P104" s="131"/>
      <c r="Q104" s="131"/>
      <c r="R104" s="131"/>
      <c r="S104" s="131"/>
      <c r="T104" s="131"/>
      <c r="U104" s="6"/>
      <c r="V104" s="6"/>
      <c r="W104" s="6"/>
      <c r="X104" s="6"/>
      <c r="Y104" s="6"/>
      <c r="Z104" s="6"/>
      <c r="AA104" s="6"/>
      <c r="AB104" s="6"/>
    </row>
    <row r="105" ht="15.75" customHeight="1">
      <c r="A105" s="130"/>
      <c r="B105" s="2"/>
      <c r="C105" s="132"/>
      <c r="D105" s="132"/>
      <c r="E105" s="132"/>
      <c r="F105" s="132"/>
      <c r="G105" s="6"/>
      <c r="H105" s="6"/>
      <c r="I105" s="6"/>
      <c r="J105" s="188"/>
      <c r="K105" s="131"/>
      <c r="L105" s="131"/>
      <c r="M105" s="131"/>
      <c r="N105" s="131"/>
      <c r="O105" s="131"/>
      <c r="P105" s="131"/>
      <c r="Q105" s="131"/>
      <c r="R105" s="131"/>
      <c r="S105" s="131"/>
      <c r="T105" s="131"/>
      <c r="U105" s="6"/>
      <c r="V105" s="6"/>
      <c r="W105" s="6"/>
      <c r="X105" s="6"/>
      <c r="Y105" s="6"/>
      <c r="Z105" s="6"/>
      <c r="AA105" s="6"/>
      <c r="AB105" s="6"/>
    </row>
    <row r="106" ht="15.75" customHeight="1">
      <c r="A106" s="130"/>
      <c r="B106" s="2"/>
      <c r="C106" s="132"/>
      <c r="D106" s="132"/>
      <c r="E106" s="132"/>
      <c r="F106" s="132"/>
      <c r="G106" s="6"/>
      <c r="H106" s="6"/>
      <c r="I106" s="6"/>
      <c r="J106" s="188"/>
      <c r="K106" s="131"/>
      <c r="L106" s="131"/>
      <c r="M106" s="131"/>
      <c r="N106" s="131"/>
      <c r="O106" s="131"/>
      <c r="P106" s="131"/>
      <c r="Q106" s="131"/>
      <c r="R106" s="131"/>
      <c r="S106" s="131"/>
      <c r="T106" s="131"/>
      <c r="U106" s="6"/>
      <c r="V106" s="6"/>
      <c r="W106" s="6"/>
      <c r="X106" s="6"/>
      <c r="Y106" s="6"/>
      <c r="Z106" s="6"/>
      <c r="AA106" s="6"/>
      <c r="AB106" s="6"/>
    </row>
    <row r="107" ht="15.75" customHeight="1">
      <c r="A107" s="130"/>
      <c r="B107" s="2"/>
      <c r="C107" s="132"/>
      <c r="D107" s="132"/>
      <c r="E107" s="132"/>
      <c r="F107" s="132"/>
      <c r="G107" s="6"/>
      <c r="H107" s="6"/>
      <c r="I107" s="6"/>
      <c r="J107" s="188"/>
      <c r="K107" s="131"/>
      <c r="L107" s="131"/>
      <c r="M107" s="131"/>
      <c r="N107" s="131"/>
      <c r="O107" s="131"/>
      <c r="P107" s="131"/>
      <c r="Q107" s="131"/>
      <c r="R107" s="131"/>
      <c r="S107" s="131"/>
      <c r="T107" s="131"/>
      <c r="U107" s="6"/>
      <c r="V107" s="6"/>
      <c r="W107" s="6"/>
      <c r="X107" s="6"/>
      <c r="Y107" s="6"/>
      <c r="Z107" s="6"/>
      <c r="AA107" s="6"/>
      <c r="AB107" s="6"/>
    </row>
    <row r="108" ht="15.75" customHeight="1">
      <c r="A108" s="130"/>
      <c r="B108" s="2"/>
      <c r="C108" s="132"/>
      <c r="D108" s="132"/>
      <c r="E108" s="132"/>
      <c r="F108" s="132"/>
      <c r="G108" s="6"/>
      <c r="H108" s="6"/>
      <c r="I108" s="6"/>
      <c r="J108" s="188"/>
      <c r="K108" s="131"/>
      <c r="L108" s="131"/>
      <c r="M108" s="131"/>
      <c r="N108" s="131"/>
      <c r="O108" s="131"/>
      <c r="P108" s="131"/>
      <c r="Q108" s="131"/>
      <c r="R108" s="131"/>
      <c r="S108" s="131"/>
      <c r="T108" s="131"/>
      <c r="U108" s="6"/>
      <c r="V108" s="6"/>
      <c r="W108" s="6"/>
      <c r="X108" s="6"/>
      <c r="Y108" s="6"/>
      <c r="Z108" s="6"/>
      <c r="AA108" s="6"/>
      <c r="AB108" s="6"/>
    </row>
    <row r="109" ht="15.75" customHeight="1">
      <c r="A109" s="130"/>
      <c r="B109" s="2"/>
      <c r="C109" s="132"/>
      <c r="D109" s="132"/>
      <c r="E109" s="132"/>
      <c r="F109" s="132"/>
      <c r="G109" s="6"/>
      <c r="H109" s="6"/>
      <c r="I109" s="6"/>
      <c r="J109" s="188"/>
      <c r="K109" s="131"/>
      <c r="L109" s="131"/>
      <c r="M109" s="131"/>
      <c r="N109" s="131"/>
      <c r="O109" s="131"/>
      <c r="P109" s="131"/>
      <c r="Q109" s="131"/>
      <c r="R109" s="131"/>
      <c r="S109" s="131"/>
      <c r="T109" s="131"/>
      <c r="U109" s="6"/>
      <c r="V109" s="6"/>
      <c r="W109" s="6"/>
      <c r="X109" s="6"/>
      <c r="Y109" s="6"/>
      <c r="Z109" s="6"/>
      <c r="AA109" s="6"/>
      <c r="AB109" s="6"/>
    </row>
    <row r="110" ht="15.75" customHeight="1">
      <c r="A110" s="130"/>
      <c r="B110" s="2"/>
      <c r="C110" s="132"/>
      <c r="D110" s="132"/>
      <c r="E110" s="132"/>
      <c r="F110" s="132"/>
      <c r="G110" s="6"/>
      <c r="H110" s="6"/>
      <c r="I110" s="6"/>
      <c r="J110" s="188"/>
      <c r="K110" s="131"/>
      <c r="L110" s="131"/>
      <c r="M110" s="131"/>
      <c r="N110" s="131"/>
      <c r="O110" s="131"/>
      <c r="P110" s="131"/>
      <c r="Q110" s="131"/>
      <c r="R110" s="131"/>
      <c r="S110" s="131"/>
      <c r="T110" s="131"/>
      <c r="U110" s="6"/>
      <c r="V110" s="6"/>
      <c r="W110" s="6"/>
      <c r="X110" s="6"/>
      <c r="Y110" s="6"/>
      <c r="Z110" s="6"/>
      <c r="AA110" s="6"/>
      <c r="AB110" s="6"/>
    </row>
    <row r="111" ht="15.75" customHeight="1">
      <c r="A111" s="130"/>
      <c r="B111" s="2"/>
      <c r="C111" s="132"/>
      <c r="D111" s="132"/>
      <c r="E111" s="132"/>
      <c r="F111" s="132"/>
      <c r="G111" s="6"/>
      <c r="H111" s="6"/>
      <c r="I111" s="6"/>
      <c r="J111" s="188"/>
      <c r="K111" s="131"/>
      <c r="L111" s="131"/>
      <c r="M111" s="131"/>
      <c r="N111" s="131"/>
      <c r="O111" s="131"/>
      <c r="P111" s="131"/>
      <c r="Q111" s="131"/>
      <c r="R111" s="131"/>
      <c r="S111" s="131"/>
      <c r="T111" s="131"/>
      <c r="U111" s="6"/>
      <c r="V111" s="6"/>
      <c r="W111" s="6"/>
      <c r="X111" s="6"/>
      <c r="Y111" s="6"/>
      <c r="Z111" s="6"/>
      <c r="AA111" s="6"/>
      <c r="AB111" s="6"/>
    </row>
    <row r="112" ht="15.75" customHeight="1">
      <c r="A112" s="130"/>
      <c r="B112" s="2"/>
      <c r="C112" s="132"/>
      <c r="D112" s="132"/>
      <c r="E112" s="132"/>
      <c r="F112" s="132"/>
      <c r="G112" s="6"/>
      <c r="H112" s="6"/>
      <c r="I112" s="6"/>
      <c r="J112" s="188"/>
      <c r="K112" s="131"/>
      <c r="L112" s="131"/>
      <c r="M112" s="131"/>
      <c r="N112" s="131"/>
      <c r="O112" s="131"/>
      <c r="P112" s="131"/>
      <c r="Q112" s="131"/>
      <c r="R112" s="131"/>
      <c r="S112" s="131"/>
      <c r="T112" s="131"/>
      <c r="U112" s="6"/>
      <c r="V112" s="6"/>
      <c r="W112" s="6"/>
      <c r="X112" s="6"/>
      <c r="Y112" s="6"/>
      <c r="Z112" s="6"/>
      <c r="AA112" s="6"/>
      <c r="AB112" s="6"/>
    </row>
    <row r="113" ht="15.75" customHeight="1">
      <c r="A113" s="130"/>
      <c r="B113" s="2"/>
      <c r="C113" s="132"/>
      <c r="D113" s="132"/>
      <c r="E113" s="132"/>
      <c r="F113" s="132"/>
      <c r="G113" s="6"/>
      <c r="H113" s="6"/>
      <c r="I113" s="6"/>
      <c r="J113" s="188"/>
      <c r="K113" s="131"/>
      <c r="L113" s="131"/>
      <c r="M113" s="131"/>
      <c r="N113" s="131"/>
      <c r="O113" s="131"/>
      <c r="P113" s="131"/>
      <c r="Q113" s="131"/>
      <c r="R113" s="131"/>
      <c r="S113" s="131"/>
      <c r="T113" s="131"/>
      <c r="U113" s="6"/>
      <c r="V113" s="6"/>
      <c r="W113" s="6"/>
      <c r="X113" s="6"/>
      <c r="Y113" s="6"/>
      <c r="Z113" s="6"/>
      <c r="AA113" s="6"/>
      <c r="AB113" s="6"/>
    </row>
    <row r="114" ht="15.75" customHeight="1">
      <c r="A114" s="130"/>
      <c r="B114" s="2"/>
      <c r="C114" s="132"/>
      <c r="D114" s="132"/>
      <c r="E114" s="132"/>
      <c r="F114" s="132"/>
      <c r="G114" s="6"/>
      <c r="H114" s="6"/>
      <c r="I114" s="6"/>
      <c r="J114" s="188"/>
      <c r="K114" s="131"/>
      <c r="L114" s="131"/>
      <c r="M114" s="131"/>
      <c r="N114" s="131"/>
      <c r="O114" s="131"/>
      <c r="P114" s="131"/>
      <c r="Q114" s="131"/>
      <c r="R114" s="131"/>
      <c r="S114" s="131"/>
      <c r="T114" s="131"/>
      <c r="U114" s="6"/>
      <c r="V114" s="6"/>
      <c r="W114" s="6"/>
      <c r="X114" s="6"/>
      <c r="Y114" s="6"/>
      <c r="Z114" s="6"/>
      <c r="AA114" s="6"/>
      <c r="AB114" s="6"/>
    </row>
    <row r="115" ht="15.75" customHeight="1">
      <c r="A115" s="130"/>
      <c r="B115" s="2"/>
      <c r="C115" s="132"/>
      <c r="D115" s="132"/>
      <c r="E115" s="132"/>
      <c r="F115" s="132"/>
      <c r="G115" s="6"/>
      <c r="H115" s="6"/>
      <c r="I115" s="6"/>
      <c r="J115" s="188"/>
      <c r="K115" s="131"/>
      <c r="L115" s="131"/>
      <c r="M115" s="131"/>
      <c r="N115" s="131"/>
      <c r="O115" s="131"/>
      <c r="P115" s="131"/>
      <c r="Q115" s="131"/>
      <c r="R115" s="131"/>
      <c r="S115" s="131"/>
      <c r="T115" s="131"/>
      <c r="U115" s="6"/>
      <c r="V115" s="6"/>
      <c r="W115" s="6"/>
      <c r="X115" s="6"/>
      <c r="Y115" s="6"/>
      <c r="Z115" s="6"/>
      <c r="AA115" s="6"/>
      <c r="AB115" s="6"/>
    </row>
    <row r="116" ht="15.75" customHeight="1">
      <c r="A116" s="130"/>
      <c r="B116" s="2"/>
      <c r="C116" s="132"/>
      <c r="D116" s="132"/>
      <c r="E116" s="132"/>
      <c r="F116" s="132"/>
      <c r="G116" s="6"/>
      <c r="H116" s="6"/>
      <c r="I116" s="6"/>
      <c r="J116" s="188"/>
      <c r="K116" s="131"/>
      <c r="L116" s="131"/>
      <c r="M116" s="131"/>
      <c r="N116" s="131"/>
      <c r="O116" s="131"/>
      <c r="P116" s="131"/>
      <c r="Q116" s="131"/>
      <c r="R116" s="131"/>
      <c r="S116" s="131"/>
      <c r="T116" s="131"/>
      <c r="U116" s="6"/>
      <c r="V116" s="6"/>
      <c r="W116" s="6"/>
      <c r="X116" s="6"/>
      <c r="Y116" s="6"/>
      <c r="Z116" s="6"/>
      <c r="AA116" s="6"/>
      <c r="AB116" s="6"/>
    </row>
    <row r="117" ht="15.75" customHeight="1">
      <c r="A117" s="130"/>
      <c r="B117" s="2"/>
      <c r="C117" s="132"/>
      <c r="D117" s="132"/>
      <c r="E117" s="132"/>
      <c r="F117" s="132"/>
      <c r="G117" s="6"/>
      <c r="H117" s="6"/>
      <c r="I117" s="6"/>
      <c r="J117" s="188"/>
      <c r="K117" s="131"/>
      <c r="L117" s="131"/>
      <c r="M117" s="131"/>
      <c r="N117" s="131"/>
      <c r="O117" s="131"/>
      <c r="P117" s="131"/>
      <c r="Q117" s="131"/>
      <c r="R117" s="131"/>
      <c r="S117" s="131"/>
      <c r="T117" s="131"/>
      <c r="U117" s="6"/>
      <c r="V117" s="6"/>
      <c r="W117" s="6"/>
      <c r="X117" s="6"/>
      <c r="Y117" s="6"/>
      <c r="Z117" s="6"/>
      <c r="AA117" s="6"/>
      <c r="AB117" s="6"/>
    </row>
    <row r="118" ht="15.75" customHeight="1">
      <c r="A118" s="130"/>
      <c r="B118" s="2"/>
      <c r="C118" s="132"/>
      <c r="D118" s="132"/>
      <c r="E118" s="132"/>
      <c r="F118" s="132"/>
      <c r="G118" s="6"/>
      <c r="H118" s="6"/>
      <c r="I118" s="6"/>
      <c r="J118" s="188"/>
      <c r="K118" s="131"/>
      <c r="L118" s="131"/>
      <c r="M118" s="131"/>
      <c r="N118" s="131"/>
      <c r="O118" s="131"/>
      <c r="P118" s="131"/>
      <c r="Q118" s="131"/>
      <c r="R118" s="131"/>
      <c r="S118" s="131"/>
      <c r="T118" s="131"/>
      <c r="U118" s="6"/>
      <c r="V118" s="6"/>
      <c r="W118" s="6"/>
      <c r="X118" s="6"/>
      <c r="Y118" s="6"/>
      <c r="Z118" s="6"/>
      <c r="AA118" s="6"/>
      <c r="AB118" s="6"/>
    </row>
    <row r="119" ht="15.75" customHeight="1">
      <c r="A119" s="130"/>
      <c r="B119" s="2"/>
      <c r="C119" s="132"/>
      <c r="D119" s="132"/>
      <c r="E119" s="132"/>
      <c r="F119" s="132"/>
      <c r="G119" s="6"/>
      <c r="H119" s="6"/>
      <c r="I119" s="6"/>
      <c r="J119" s="188"/>
      <c r="K119" s="131"/>
      <c r="L119" s="131"/>
      <c r="M119" s="131"/>
      <c r="N119" s="131"/>
      <c r="O119" s="131"/>
      <c r="P119" s="131"/>
      <c r="Q119" s="131"/>
      <c r="R119" s="131"/>
      <c r="S119" s="131"/>
      <c r="T119" s="131"/>
      <c r="U119" s="6"/>
      <c r="V119" s="6"/>
      <c r="W119" s="6"/>
      <c r="X119" s="6"/>
      <c r="Y119" s="6"/>
      <c r="Z119" s="6"/>
      <c r="AA119" s="6"/>
      <c r="AB119" s="6"/>
    </row>
    <row r="120" ht="15.75" customHeight="1">
      <c r="A120" s="130"/>
      <c r="B120" s="2"/>
      <c r="C120" s="132"/>
      <c r="D120" s="132"/>
      <c r="E120" s="132"/>
      <c r="F120" s="132"/>
      <c r="G120" s="6"/>
      <c r="H120" s="6"/>
      <c r="I120" s="6"/>
      <c r="J120" s="188"/>
      <c r="K120" s="131"/>
      <c r="L120" s="131"/>
      <c r="M120" s="131"/>
      <c r="N120" s="131"/>
      <c r="O120" s="131"/>
      <c r="P120" s="131"/>
      <c r="Q120" s="131"/>
      <c r="R120" s="131"/>
      <c r="S120" s="131"/>
      <c r="T120" s="131"/>
      <c r="U120" s="6"/>
      <c r="V120" s="6"/>
      <c r="W120" s="6"/>
      <c r="X120" s="6"/>
      <c r="Y120" s="6"/>
      <c r="Z120" s="6"/>
      <c r="AA120" s="6"/>
      <c r="AB120" s="6"/>
    </row>
    <row r="121" ht="15.75" customHeight="1">
      <c r="A121" s="130"/>
      <c r="B121" s="2"/>
      <c r="C121" s="132"/>
      <c r="D121" s="132"/>
      <c r="E121" s="132"/>
      <c r="F121" s="132"/>
      <c r="G121" s="6"/>
      <c r="H121" s="6"/>
      <c r="I121" s="6"/>
      <c r="J121" s="188"/>
      <c r="K121" s="131"/>
      <c r="L121" s="131"/>
      <c r="M121" s="131"/>
      <c r="N121" s="131"/>
      <c r="O121" s="131"/>
      <c r="P121" s="131"/>
      <c r="Q121" s="131"/>
      <c r="R121" s="131"/>
      <c r="S121" s="131"/>
      <c r="T121" s="131"/>
      <c r="U121" s="6"/>
      <c r="V121" s="6"/>
      <c r="W121" s="6"/>
      <c r="X121" s="6"/>
      <c r="Y121" s="6"/>
      <c r="Z121" s="6"/>
      <c r="AA121" s="6"/>
      <c r="AB121" s="6"/>
    </row>
    <row r="122" ht="15.75" customHeight="1">
      <c r="A122" s="130"/>
      <c r="B122" s="2"/>
      <c r="C122" s="132"/>
      <c r="D122" s="132"/>
      <c r="E122" s="132"/>
      <c r="F122" s="132"/>
      <c r="G122" s="6"/>
      <c r="H122" s="6"/>
      <c r="I122" s="6"/>
      <c r="J122" s="188"/>
      <c r="K122" s="131"/>
      <c r="L122" s="131"/>
      <c r="M122" s="131"/>
      <c r="N122" s="131"/>
      <c r="O122" s="131"/>
      <c r="P122" s="131"/>
      <c r="Q122" s="131"/>
      <c r="R122" s="131"/>
      <c r="S122" s="131"/>
      <c r="T122" s="131"/>
      <c r="U122" s="6"/>
      <c r="V122" s="6"/>
      <c r="W122" s="6"/>
      <c r="X122" s="6"/>
      <c r="Y122" s="6"/>
      <c r="Z122" s="6"/>
      <c r="AA122" s="6"/>
      <c r="AB122" s="6"/>
    </row>
    <row r="123" ht="15.75" customHeight="1">
      <c r="A123" s="130"/>
      <c r="B123" s="2"/>
      <c r="C123" s="132"/>
      <c r="D123" s="132"/>
      <c r="E123" s="132"/>
      <c r="F123" s="132"/>
      <c r="G123" s="6"/>
      <c r="H123" s="6"/>
      <c r="I123" s="6"/>
      <c r="J123" s="188"/>
      <c r="K123" s="131"/>
      <c r="L123" s="131"/>
      <c r="M123" s="131"/>
      <c r="N123" s="131"/>
      <c r="O123" s="131"/>
      <c r="P123" s="131"/>
      <c r="Q123" s="131"/>
      <c r="R123" s="131"/>
      <c r="S123" s="131"/>
      <c r="T123" s="131"/>
      <c r="U123" s="6"/>
      <c r="V123" s="6"/>
      <c r="W123" s="6"/>
      <c r="X123" s="6"/>
      <c r="Y123" s="6"/>
      <c r="Z123" s="6"/>
      <c r="AA123" s="6"/>
      <c r="AB123" s="6"/>
    </row>
    <row r="124" ht="15.75" customHeight="1">
      <c r="A124" s="130"/>
      <c r="B124" s="2"/>
      <c r="C124" s="132"/>
      <c r="D124" s="132"/>
      <c r="E124" s="132"/>
      <c r="F124" s="132"/>
      <c r="G124" s="6"/>
      <c r="H124" s="6"/>
      <c r="I124" s="6"/>
      <c r="J124" s="188"/>
      <c r="K124" s="131"/>
      <c r="L124" s="131"/>
      <c r="M124" s="131"/>
      <c r="N124" s="131"/>
      <c r="O124" s="131"/>
      <c r="P124" s="131"/>
      <c r="Q124" s="131"/>
      <c r="R124" s="131"/>
      <c r="S124" s="131"/>
      <c r="T124" s="131"/>
      <c r="U124" s="6"/>
      <c r="V124" s="6"/>
      <c r="W124" s="6"/>
      <c r="X124" s="6"/>
      <c r="Y124" s="6"/>
      <c r="Z124" s="6"/>
      <c r="AA124" s="6"/>
      <c r="AB124" s="6"/>
    </row>
    <row r="125" ht="15.75" customHeight="1">
      <c r="A125" s="130"/>
      <c r="B125" s="2"/>
      <c r="C125" s="132"/>
      <c r="D125" s="132"/>
      <c r="E125" s="132"/>
      <c r="F125" s="132"/>
      <c r="G125" s="6"/>
      <c r="H125" s="6"/>
      <c r="I125" s="6"/>
      <c r="J125" s="188"/>
      <c r="K125" s="131"/>
      <c r="L125" s="131"/>
      <c r="M125" s="131"/>
      <c r="N125" s="131"/>
      <c r="O125" s="131"/>
      <c r="P125" s="131"/>
      <c r="Q125" s="131"/>
      <c r="R125" s="131"/>
      <c r="S125" s="131"/>
      <c r="T125" s="131"/>
      <c r="U125" s="6"/>
      <c r="V125" s="6"/>
      <c r="W125" s="6"/>
      <c r="X125" s="6"/>
      <c r="Y125" s="6"/>
      <c r="Z125" s="6"/>
      <c r="AA125" s="6"/>
      <c r="AB125" s="6"/>
    </row>
    <row r="126" ht="15.75" customHeight="1">
      <c r="A126" s="130"/>
      <c r="B126" s="2"/>
      <c r="C126" s="132"/>
      <c r="D126" s="132"/>
      <c r="E126" s="132"/>
      <c r="F126" s="132"/>
      <c r="G126" s="6"/>
      <c r="H126" s="6"/>
      <c r="I126" s="6"/>
      <c r="J126" s="188"/>
      <c r="K126" s="131"/>
      <c r="L126" s="131"/>
      <c r="M126" s="131"/>
      <c r="N126" s="131"/>
      <c r="O126" s="131"/>
      <c r="P126" s="131"/>
      <c r="Q126" s="131"/>
      <c r="R126" s="131"/>
      <c r="S126" s="131"/>
      <c r="T126" s="131"/>
      <c r="U126" s="6"/>
      <c r="V126" s="6"/>
      <c r="W126" s="6"/>
      <c r="X126" s="6"/>
      <c r="Y126" s="6"/>
      <c r="Z126" s="6"/>
      <c r="AA126" s="6"/>
      <c r="AB126" s="6"/>
    </row>
    <row r="127" ht="15.75" customHeight="1">
      <c r="A127" s="130"/>
      <c r="B127" s="2"/>
      <c r="C127" s="132"/>
      <c r="D127" s="132"/>
      <c r="E127" s="132"/>
      <c r="F127" s="132"/>
      <c r="G127" s="6"/>
      <c r="H127" s="6"/>
      <c r="I127" s="6"/>
      <c r="J127" s="188"/>
      <c r="K127" s="131"/>
      <c r="L127" s="131"/>
      <c r="M127" s="131"/>
      <c r="N127" s="131"/>
      <c r="O127" s="131"/>
      <c r="P127" s="131"/>
      <c r="Q127" s="131"/>
      <c r="R127" s="131"/>
      <c r="S127" s="131"/>
      <c r="T127" s="131"/>
      <c r="U127" s="6"/>
      <c r="V127" s="6"/>
      <c r="W127" s="6"/>
      <c r="X127" s="6"/>
      <c r="Y127" s="6"/>
      <c r="Z127" s="6"/>
      <c r="AA127" s="6"/>
      <c r="AB127" s="6"/>
    </row>
    <row r="128" ht="15.75" customHeight="1">
      <c r="A128" s="130"/>
      <c r="B128" s="2"/>
      <c r="C128" s="132"/>
      <c r="D128" s="132"/>
      <c r="E128" s="132"/>
      <c r="F128" s="132"/>
      <c r="G128" s="6"/>
      <c r="H128" s="6"/>
      <c r="I128" s="6"/>
      <c r="J128" s="188"/>
      <c r="K128" s="131"/>
      <c r="L128" s="131"/>
      <c r="M128" s="131"/>
      <c r="N128" s="131"/>
      <c r="O128" s="131"/>
      <c r="P128" s="131"/>
      <c r="Q128" s="131"/>
      <c r="R128" s="131"/>
      <c r="S128" s="131"/>
      <c r="T128" s="131"/>
      <c r="U128" s="6"/>
      <c r="V128" s="6"/>
      <c r="W128" s="6"/>
      <c r="X128" s="6"/>
      <c r="Y128" s="6"/>
      <c r="Z128" s="6"/>
      <c r="AA128" s="6"/>
      <c r="AB128" s="6"/>
    </row>
    <row r="129" ht="15.75" customHeight="1">
      <c r="A129" s="130"/>
      <c r="B129" s="2"/>
      <c r="C129" s="132"/>
      <c r="D129" s="132"/>
      <c r="E129" s="132"/>
      <c r="F129" s="132"/>
      <c r="G129" s="6"/>
      <c r="H129" s="6"/>
      <c r="I129" s="6"/>
      <c r="J129" s="188"/>
      <c r="K129" s="131"/>
      <c r="L129" s="131"/>
      <c r="M129" s="131"/>
      <c r="N129" s="131"/>
      <c r="O129" s="131"/>
      <c r="P129" s="131"/>
      <c r="Q129" s="131"/>
      <c r="R129" s="131"/>
      <c r="S129" s="131"/>
      <c r="T129" s="131"/>
      <c r="U129" s="6"/>
      <c r="V129" s="6"/>
      <c r="W129" s="6"/>
      <c r="X129" s="6"/>
      <c r="Y129" s="6"/>
      <c r="Z129" s="6"/>
      <c r="AA129" s="6"/>
      <c r="AB129" s="6"/>
    </row>
    <row r="130" ht="15.75" customHeight="1">
      <c r="A130" s="130"/>
      <c r="B130" s="2"/>
      <c r="C130" s="132"/>
      <c r="D130" s="132"/>
      <c r="E130" s="132"/>
      <c r="F130" s="132"/>
      <c r="G130" s="6"/>
      <c r="H130" s="6"/>
      <c r="I130" s="6"/>
      <c r="J130" s="188"/>
      <c r="K130" s="131"/>
      <c r="L130" s="131"/>
      <c r="M130" s="131"/>
      <c r="N130" s="131"/>
      <c r="O130" s="131"/>
      <c r="P130" s="131"/>
      <c r="Q130" s="131"/>
      <c r="R130" s="131"/>
      <c r="S130" s="131"/>
      <c r="T130" s="131"/>
      <c r="U130" s="6"/>
      <c r="V130" s="6"/>
      <c r="W130" s="6"/>
      <c r="X130" s="6"/>
      <c r="Y130" s="6"/>
      <c r="Z130" s="6"/>
      <c r="AA130" s="6"/>
      <c r="AB130" s="6"/>
    </row>
    <row r="131" ht="15.75" customHeight="1">
      <c r="A131" s="130"/>
      <c r="B131" s="2"/>
      <c r="C131" s="132"/>
      <c r="D131" s="132"/>
      <c r="E131" s="132"/>
      <c r="F131" s="132"/>
      <c r="G131" s="6"/>
      <c r="H131" s="6"/>
      <c r="I131" s="6"/>
      <c r="J131" s="188"/>
      <c r="K131" s="131"/>
      <c r="L131" s="131"/>
      <c r="M131" s="131"/>
      <c r="N131" s="131"/>
      <c r="O131" s="131"/>
      <c r="P131" s="131"/>
      <c r="Q131" s="131"/>
      <c r="R131" s="131"/>
      <c r="S131" s="131"/>
      <c r="T131" s="131"/>
      <c r="U131" s="6"/>
      <c r="V131" s="6"/>
      <c r="W131" s="6"/>
      <c r="X131" s="6"/>
      <c r="Y131" s="6"/>
      <c r="Z131" s="6"/>
      <c r="AA131" s="6"/>
      <c r="AB131" s="6"/>
    </row>
    <row r="132" ht="15.75" customHeight="1">
      <c r="A132" s="130"/>
      <c r="B132" s="2"/>
      <c r="C132" s="132"/>
      <c r="D132" s="132"/>
      <c r="E132" s="132"/>
      <c r="F132" s="132"/>
      <c r="G132" s="6"/>
      <c r="H132" s="6"/>
      <c r="I132" s="6"/>
      <c r="J132" s="188"/>
      <c r="K132" s="131"/>
      <c r="L132" s="131"/>
      <c r="M132" s="131"/>
      <c r="N132" s="131"/>
      <c r="O132" s="131"/>
      <c r="P132" s="131"/>
      <c r="Q132" s="131"/>
      <c r="R132" s="131"/>
      <c r="S132" s="131"/>
      <c r="T132" s="131"/>
      <c r="U132" s="6"/>
      <c r="V132" s="6"/>
      <c r="W132" s="6"/>
      <c r="X132" s="6"/>
      <c r="Y132" s="6"/>
      <c r="Z132" s="6"/>
      <c r="AA132" s="6"/>
      <c r="AB132" s="6"/>
    </row>
    <row r="133" ht="15.75" customHeight="1">
      <c r="A133" s="130"/>
      <c r="B133" s="2"/>
      <c r="C133" s="132"/>
      <c r="D133" s="132"/>
      <c r="E133" s="132"/>
      <c r="F133" s="132"/>
      <c r="G133" s="6"/>
      <c r="H133" s="6"/>
      <c r="I133" s="6"/>
      <c r="J133" s="188"/>
      <c r="K133" s="131"/>
      <c r="L133" s="131"/>
      <c r="M133" s="131"/>
      <c r="N133" s="131"/>
      <c r="O133" s="131"/>
      <c r="P133" s="131"/>
      <c r="Q133" s="131"/>
      <c r="R133" s="131"/>
      <c r="S133" s="131"/>
      <c r="T133" s="131"/>
      <c r="U133" s="6"/>
      <c r="V133" s="6"/>
      <c r="W133" s="6"/>
      <c r="X133" s="6"/>
      <c r="Y133" s="6"/>
      <c r="Z133" s="6"/>
      <c r="AA133" s="6"/>
      <c r="AB133" s="6"/>
    </row>
    <row r="134" ht="15.75" customHeight="1">
      <c r="A134" s="130"/>
      <c r="B134" s="2"/>
      <c r="C134" s="132"/>
      <c r="D134" s="132"/>
      <c r="E134" s="132"/>
      <c r="F134" s="132"/>
      <c r="G134" s="6"/>
      <c r="H134" s="6"/>
      <c r="I134" s="6"/>
      <c r="J134" s="188"/>
      <c r="K134" s="131"/>
      <c r="L134" s="131"/>
      <c r="M134" s="131"/>
      <c r="N134" s="131"/>
      <c r="O134" s="131"/>
      <c r="P134" s="131"/>
      <c r="Q134" s="131"/>
      <c r="R134" s="131"/>
      <c r="S134" s="131"/>
      <c r="T134" s="131"/>
      <c r="U134" s="6"/>
      <c r="V134" s="6"/>
      <c r="W134" s="6"/>
      <c r="X134" s="6"/>
      <c r="Y134" s="6"/>
      <c r="Z134" s="6"/>
      <c r="AA134" s="6"/>
      <c r="AB134" s="6"/>
    </row>
    <row r="135" ht="15.75" customHeight="1">
      <c r="A135" s="130"/>
      <c r="B135" s="2"/>
      <c r="C135" s="132"/>
      <c r="D135" s="132"/>
      <c r="E135" s="132"/>
      <c r="F135" s="132"/>
      <c r="G135" s="6"/>
      <c r="H135" s="6"/>
      <c r="I135" s="6"/>
      <c r="J135" s="188"/>
      <c r="K135" s="131"/>
      <c r="L135" s="131"/>
      <c r="M135" s="131"/>
      <c r="N135" s="131"/>
      <c r="O135" s="131"/>
      <c r="P135" s="131"/>
      <c r="Q135" s="131"/>
      <c r="R135" s="131"/>
      <c r="S135" s="131"/>
      <c r="T135" s="131"/>
      <c r="U135" s="6"/>
      <c r="V135" s="6"/>
      <c r="W135" s="6"/>
      <c r="X135" s="6"/>
      <c r="Y135" s="6"/>
      <c r="Z135" s="6"/>
      <c r="AA135" s="6"/>
      <c r="AB135" s="6"/>
    </row>
    <row r="136" ht="15.75" customHeight="1">
      <c r="A136" s="130"/>
      <c r="B136" s="2"/>
      <c r="C136" s="132"/>
      <c r="D136" s="132"/>
      <c r="E136" s="132"/>
      <c r="F136" s="132"/>
      <c r="G136" s="6"/>
      <c r="H136" s="6"/>
      <c r="I136" s="6"/>
      <c r="J136" s="188"/>
      <c r="K136" s="131"/>
      <c r="L136" s="131"/>
      <c r="M136" s="131"/>
      <c r="N136" s="131"/>
      <c r="O136" s="131"/>
      <c r="P136" s="131"/>
      <c r="Q136" s="131"/>
      <c r="R136" s="131"/>
      <c r="S136" s="131"/>
      <c r="T136" s="131"/>
      <c r="U136" s="6"/>
      <c r="V136" s="6"/>
      <c r="W136" s="6"/>
      <c r="X136" s="6"/>
      <c r="Y136" s="6"/>
      <c r="Z136" s="6"/>
      <c r="AA136" s="6"/>
      <c r="AB136" s="6"/>
    </row>
    <row r="137" ht="15.75" customHeight="1">
      <c r="A137" s="130"/>
      <c r="B137" s="2"/>
      <c r="C137" s="132"/>
      <c r="D137" s="132"/>
      <c r="E137" s="132"/>
      <c r="F137" s="132"/>
      <c r="G137" s="6"/>
      <c r="H137" s="6"/>
      <c r="I137" s="6"/>
      <c r="J137" s="188"/>
      <c r="K137" s="131"/>
      <c r="L137" s="131"/>
      <c r="M137" s="131"/>
      <c r="N137" s="131"/>
      <c r="O137" s="131"/>
      <c r="P137" s="131"/>
      <c r="Q137" s="131"/>
      <c r="R137" s="131"/>
      <c r="S137" s="131"/>
      <c r="T137" s="131"/>
      <c r="U137" s="6"/>
      <c r="V137" s="6"/>
      <c r="W137" s="6"/>
      <c r="X137" s="6"/>
      <c r="Y137" s="6"/>
      <c r="Z137" s="6"/>
      <c r="AA137" s="6"/>
      <c r="AB137" s="6"/>
    </row>
    <row r="138" ht="15.75" customHeight="1">
      <c r="A138" s="130"/>
      <c r="B138" s="2"/>
      <c r="C138" s="132"/>
      <c r="D138" s="132"/>
      <c r="E138" s="132"/>
      <c r="F138" s="132"/>
      <c r="G138" s="6"/>
      <c r="H138" s="6"/>
      <c r="I138" s="6"/>
      <c r="J138" s="188"/>
      <c r="K138" s="131"/>
      <c r="L138" s="131"/>
      <c r="M138" s="131"/>
      <c r="N138" s="131"/>
      <c r="O138" s="131"/>
      <c r="P138" s="131"/>
      <c r="Q138" s="131"/>
      <c r="R138" s="131"/>
      <c r="S138" s="131"/>
      <c r="T138" s="131"/>
      <c r="U138" s="6"/>
      <c r="V138" s="6"/>
      <c r="W138" s="6"/>
      <c r="X138" s="6"/>
      <c r="Y138" s="6"/>
      <c r="Z138" s="6"/>
      <c r="AA138" s="6"/>
      <c r="AB138" s="6"/>
    </row>
    <row r="139" ht="15.75" customHeight="1">
      <c r="A139" s="130"/>
      <c r="B139" s="2"/>
      <c r="C139" s="132"/>
      <c r="D139" s="132"/>
      <c r="E139" s="132"/>
      <c r="F139" s="132"/>
      <c r="G139" s="6"/>
      <c r="H139" s="6"/>
      <c r="I139" s="6"/>
      <c r="J139" s="188"/>
      <c r="K139" s="131"/>
      <c r="L139" s="131"/>
      <c r="M139" s="131"/>
      <c r="N139" s="131"/>
      <c r="O139" s="131"/>
      <c r="P139" s="131"/>
      <c r="Q139" s="131"/>
      <c r="R139" s="131"/>
      <c r="S139" s="131"/>
      <c r="T139" s="131"/>
      <c r="U139" s="6"/>
      <c r="V139" s="6"/>
      <c r="W139" s="6"/>
      <c r="X139" s="6"/>
      <c r="Y139" s="6"/>
      <c r="Z139" s="6"/>
      <c r="AA139" s="6"/>
      <c r="AB139" s="6"/>
    </row>
    <row r="140" ht="15.75" customHeight="1">
      <c r="A140" s="130"/>
      <c r="B140" s="2"/>
      <c r="C140" s="132"/>
      <c r="D140" s="132"/>
      <c r="E140" s="132"/>
      <c r="F140" s="132"/>
      <c r="G140" s="6"/>
      <c r="H140" s="6"/>
      <c r="I140" s="6"/>
      <c r="J140" s="188"/>
      <c r="K140" s="131"/>
      <c r="L140" s="131"/>
      <c r="M140" s="131"/>
      <c r="N140" s="131"/>
      <c r="O140" s="131"/>
      <c r="P140" s="131"/>
      <c r="Q140" s="131"/>
      <c r="R140" s="131"/>
      <c r="S140" s="131"/>
      <c r="T140" s="131"/>
      <c r="U140" s="6"/>
      <c r="V140" s="6"/>
      <c r="W140" s="6"/>
      <c r="X140" s="6"/>
      <c r="Y140" s="6"/>
      <c r="Z140" s="6"/>
      <c r="AA140" s="6"/>
      <c r="AB140" s="6"/>
    </row>
    <row r="141" ht="15.75" customHeight="1">
      <c r="A141" s="130"/>
      <c r="B141" s="2"/>
      <c r="C141" s="132"/>
      <c r="D141" s="132"/>
      <c r="E141" s="132"/>
      <c r="F141" s="132"/>
      <c r="G141" s="6"/>
      <c r="H141" s="6"/>
      <c r="I141" s="6"/>
      <c r="J141" s="188"/>
      <c r="K141" s="131"/>
      <c r="L141" s="131"/>
      <c r="M141" s="131"/>
      <c r="N141" s="131"/>
      <c r="O141" s="131"/>
      <c r="P141" s="131"/>
      <c r="Q141" s="131"/>
      <c r="R141" s="131"/>
      <c r="S141" s="131"/>
      <c r="T141" s="131"/>
      <c r="U141" s="6"/>
      <c r="V141" s="6"/>
      <c r="W141" s="6"/>
      <c r="X141" s="6"/>
      <c r="Y141" s="6"/>
      <c r="Z141" s="6"/>
      <c r="AA141" s="6"/>
      <c r="AB141" s="6"/>
    </row>
    <row r="142" ht="15.75" customHeight="1">
      <c r="A142" s="130"/>
      <c r="B142" s="2"/>
      <c r="C142" s="132"/>
      <c r="D142" s="132"/>
      <c r="E142" s="132"/>
      <c r="F142" s="132"/>
      <c r="G142" s="6"/>
      <c r="H142" s="6"/>
      <c r="I142" s="6"/>
      <c r="J142" s="188"/>
      <c r="K142" s="131"/>
      <c r="L142" s="131"/>
      <c r="M142" s="131"/>
      <c r="N142" s="131"/>
      <c r="O142" s="131"/>
      <c r="P142" s="131"/>
      <c r="Q142" s="131"/>
      <c r="R142" s="131"/>
      <c r="S142" s="131"/>
      <c r="T142" s="131"/>
      <c r="U142" s="6"/>
      <c r="V142" s="6"/>
      <c r="W142" s="6"/>
      <c r="X142" s="6"/>
      <c r="Y142" s="6"/>
      <c r="Z142" s="6"/>
      <c r="AA142" s="6"/>
      <c r="AB142" s="6"/>
    </row>
    <row r="143" ht="15.75" customHeight="1">
      <c r="A143" s="130"/>
      <c r="B143" s="2"/>
      <c r="C143" s="132"/>
      <c r="D143" s="132"/>
      <c r="E143" s="132"/>
      <c r="F143" s="132"/>
      <c r="G143" s="6"/>
      <c r="H143" s="6"/>
      <c r="I143" s="6"/>
      <c r="J143" s="188"/>
      <c r="K143" s="131"/>
      <c r="L143" s="131"/>
      <c r="M143" s="131"/>
      <c r="N143" s="131"/>
      <c r="O143" s="131"/>
      <c r="P143" s="131"/>
      <c r="Q143" s="131"/>
      <c r="R143" s="131"/>
      <c r="S143" s="131"/>
      <c r="T143" s="131"/>
      <c r="U143" s="6"/>
      <c r="V143" s="6"/>
      <c r="W143" s="6"/>
      <c r="X143" s="6"/>
      <c r="Y143" s="6"/>
      <c r="Z143" s="6"/>
      <c r="AA143" s="6"/>
      <c r="AB143" s="6"/>
    </row>
    <row r="144" ht="15.75" customHeight="1">
      <c r="A144" s="130"/>
      <c r="B144" s="2"/>
      <c r="C144" s="132"/>
      <c r="D144" s="132"/>
      <c r="E144" s="132"/>
      <c r="F144" s="132"/>
      <c r="G144" s="6"/>
      <c r="H144" s="6"/>
      <c r="I144" s="6"/>
      <c r="J144" s="188"/>
      <c r="K144" s="131"/>
      <c r="L144" s="131"/>
      <c r="M144" s="131"/>
      <c r="N144" s="131"/>
      <c r="O144" s="131"/>
      <c r="P144" s="131"/>
      <c r="Q144" s="131"/>
      <c r="R144" s="131"/>
      <c r="S144" s="131"/>
      <c r="T144" s="131"/>
      <c r="U144" s="6"/>
      <c r="V144" s="6"/>
      <c r="W144" s="6"/>
      <c r="X144" s="6"/>
      <c r="Y144" s="6"/>
      <c r="Z144" s="6"/>
      <c r="AA144" s="6"/>
      <c r="AB144" s="6"/>
    </row>
    <row r="145" ht="15.75" customHeight="1">
      <c r="A145" s="130"/>
      <c r="B145" s="2"/>
      <c r="C145" s="132"/>
      <c r="D145" s="132"/>
      <c r="E145" s="132"/>
      <c r="F145" s="132"/>
      <c r="G145" s="6"/>
      <c r="H145" s="6"/>
      <c r="I145" s="6"/>
      <c r="J145" s="188"/>
      <c r="K145" s="131"/>
      <c r="L145" s="131"/>
      <c r="M145" s="131"/>
      <c r="N145" s="131"/>
      <c r="O145" s="131"/>
      <c r="P145" s="131"/>
      <c r="Q145" s="131"/>
      <c r="R145" s="131"/>
      <c r="S145" s="131"/>
      <c r="T145" s="131"/>
      <c r="U145" s="6"/>
      <c r="V145" s="6"/>
      <c r="W145" s="6"/>
      <c r="X145" s="6"/>
      <c r="Y145" s="6"/>
      <c r="Z145" s="6"/>
      <c r="AA145" s="6"/>
      <c r="AB145" s="6"/>
    </row>
    <row r="146" ht="15.75" customHeight="1">
      <c r="A146" s="130"/>
      <c r="B146" s="2"/>
      <c r="C146" s="132"/>
      <c r="D146" s="132"/>
      <c r="E146" s="132"/>
      <c r="F146" s="132"/>
      <c r="G146" s="6"/>
      <c r="H146" s="6"/>
      <c r="I146" s="6"/>
      <c r="J146" s="188"/>
      <c r="K146" s="131"/>
      <c r="L146" s="131"/>
      <c r="M146" s="131"/>
      <c r="N146" s="131"/>
      <c r="O146" s="131"/>
      <c r="P146" s="131"/>
      <c r="Q146" s="131"/>
      <c r="R146" s="131"/>
      <c r="S146" s="131"/>
      <c r="T146" s="131"/>
      <c r="U146" s="6"/>
      <c r="V146" s="6"/>
      <c r="W146" s="6"/>
      <c r="X146" s="6"/>
      <c r="Y146" s="6"/>
      <c r="Z146" s="6"/>
      <c r="AA146" s="6"/>
      <c r="AB146" s="6"/>
    </row>
    <row r="147" ht="15.75" customHeight="1">
      <c r="A147" s="130"/>
      <c r="B147" s="2"/>
      <c r="C147" s="132"/>
      <c r="D147" s="132"/>
      <c r="E147" s="132"/>
      <c r="F147" s="132"/>
      <c r="G147" s="6"/>
      <c r="H147" s="6"/>
      <c r="I147" s="6"/>
      <c r="J147" s="188"/>
      <c r="K147" s="131"/>
      <c r="L147" s="131"/>
      <c r="M147" s="131"/>
      <c r="N147" s="131"/>
      <c r="O147" s="131"/>
      <c r="P147" s="131"/>
      <c r="Q147" s="131"/>
      <c r="R147" s="131"/>
      <c r="S147" s="131"/>
      <c r="T147" s="131"/>
      <c r="U147" s="6"/>
      <c r="V147" s="6"/>
      <c r="W147" s="6"/>
      <c r="X147" s="6"/>
      <c r="Y147" s="6"/>
      <c r="Z147" s="6"/>
      <c r="AA147" s="6"/>
      <c r="AB147" s="6"/>
    </row>
    <row r="148" ht="15.75" customHeight="1">
      <c r="A148" s="130"/>
      <c r="B148" s="2"/>
      <c r="C148" s="132"/>
      <c r="D148" s="132"/>
      <c r="E148" s="132"/>
      <c r="F148" s="132"/>
      <c r="G148" s="6"/>
      <c r="H148" s="6"/>
      <c r="I148" s="6"/>
      <c r="J148" s="188"/>
      <c r="K148" s="131"/>
      <c r="L148" s="131"/>
      <c r="M148" s="131"/>
      <c r="N148" s="131"/>
      <c r="O148" s="131"/>
      <c r="P148" s="131"/>
      <c r="Q148" s="131"/>
      <c r="R148" s="131"/>
      <c r="S148" s="131"/>
      <c r="T148" s="131"/>
      <c r="U148" s="6"/>
      <c r="V148" s="6"/>
      <c r="W148" s="6"/>
      <c r="X148" s="6"/>
      <c r="Y148" s="6"/>
      <c r="Z148" s="6"/>
      <c r="AA148" s="6"/>
      <c r="AB148" s="6"/>
    </row>
    <row r="149" ht="15.75" customHeight="1">
      <c r="A149" s="130"/>
      <c r="B149" s="2"/>
      <c r="C149" s="132"/>
      <c r="D149" s="132"/>
      <c r="E149" s="132"/>
      <c r="F149" s="132"/>
      <c r="G149" s="6"/>
      <c r="H149" s="6"/>
      <c r="I149" s="6"/>
      <c r="J149" s="188"/>
      <c r="K149" s="131"/>
      <c r="L149" s="131"/>
      <c r="M149" s="131"/>
      <c r="N149" s="131"/>
      <c r="O149" s="131"/>
      <c r="P149" s="131"/>
      <c r="Q149" s="131"/>
      <c r="R149" s="131"/>
      <c r="S149" s="131"/>
      <c r="T149" s="131"/>
      <c r="U149" s="6"/>
      <c r="V149" s="6"/>
      <c r="W149" s="6"/>
      <c r="X149" s="6"/>
      <c r="Y149" s="6"/>
      <c r="Z149" s="6"/>
      <c r="AA149" s="6"/>
      <c r="AB149" s="6"/>
    </row>
    <row r="150" ht="15.75" customHeight="1">
      <c r="A150" s="130"/>
      <c r="B150" s="2"/>
      <c r="C150" s="132"/>
      <c r="D150" s="132"/>
      <c r="E150" s="132"/>
      <c r="F150" s="132"/>
      <c r="G150" s="6"/>
      <c r="H150" s="6"/>
      <c r="I150" s="6"/>
      <c r="J150" s="188"/>
      <c r="K150" s="131"/>
      <c r="L150" s="131"/>
      <c r="M150" s="131"/>
      <c r="N150" s="131"/>
      <c r="O150" s="131"/>
      <c r="P150" s="131"/>
      <c r="Q150" s="131"/>
      <c r="R150" s="131"/>
      <c r="S150" s="131"/>
      <c r="T150" s="131"/>
      <c r="U150" s="6"/>
      <c r="V150" s="6"/>
      <c r="W150" s="6"/>
      <c r="X150" s="6"/>
      <c r="Y150" s="6"/>
      <c r="Z150" s="6"/>
      <c r="AA150" s="6"/>
      <c r="AB150" s="6"/>
    </row>
    <row r="151" ht="15.75" customHeight="1">
      <c r="A151" s="130"/>
      <c r="B151" s="2"/>
      <c r="C151" s="132"/>
      <c r="D151" s="132"/>
      <c r="E151" s="132"/>
      <c r="F151" s="132"/>
      <c r="G151" s="6"/>
      <c r="H151" s="6"/>
      <c r="I151" s="6"/>
      <c r="J151" s="188"/>
      <c r="K151" s="131"/>
      <c r="L151" s="131"/>
      <c r="M151" s="131"/>
      <c r="N151" s="131"/>
      <c r="O151" s="131"/>
      <c r="P151" s="131"/>
      <c r="Q151" s="131"/>
      <c r="R151" s="131"/>
      <c r="S151" s="131"/>
      <c r="T151" s="131"/>
      <c r="U151" s="6"/>
      <c r="V151" s="6"/>
      <c r="W151" s="6"/>
      <c r="X151" s="6"/>
      <c r="Y151" s="6"/>
      <c r="Z151" s="6"/>
      <c r="AA151" s="6"/>
      <c r="AB151" s="6"/>
    </row>
    <row r="152" ht="15.75" customHeight="1">
      <c r="A152" s="130"/>
      <c r="B152" s="2"/>
      <c r="C152" s="132"/>
      <c r="D152" s="132"/>
      <c r="E152" s="132"/>
      <c r="F152" s="132"/>
      <c r="G152" s="6"/>
      <c r="H152" s="6"/>
      <c r="I152" s="6"/>
      <c r="J152" s="188"/>
      <c r="K152" s="131"/>
      <c r="L152" s="131"/>
      <c r="M152" s="131"/>
      <c r="N152" s="131"/>
      <c r="O152" s="131"/>
      <c r="P152" s="131"/>
      <c r="Q152" s="131"/>
      <c r="R152" s="131"/>
      <c r="S152" s="131"/>
      <c r="T152" s="131"/>
      <c r="U152" s="6"/>
      <c r="V152" s="6"/>
      <c r="W152" s="6"/>
      <c r="X152" s="6"/>
      <c r="Y152" s="6"/>
      <c r="Z152" s="6"/>
      <c r="AA152" s="6"/>
      <c r="AB152" s="6"/>
    </row>
    <row r="153" ht="15.75" customHeight="1">
      <c r="A153" s="130"/>
      <c r="B153" s="2"/>
      <c r="C153" s="132"/>
      <c r="D153" s="132"/>
      <c r="E153" s="132"/>
      <c r="F153" s="132"/>
      <c r="G153" s="6"/>
      <c r="H153" s="6"/>
      <c r="I153" s="6"/>
      <c r="J153" s="188"/>
      <c r="K153" s="131"/>
      <c r="L153" s="131"/>
      <c r="M153" s="131"/>
      <c r="N153" s="131"/>
      <c r="O153" s="131"/>
      <c r="P153" s="131"/>
      <c r="Q153" s="131"/>
      <c r="R153" s="131"/>
      <c r="S153" s="131"/>
      <c r="T153" s="131"/>
      <c r="U153" s="6"/>
      <c r="V153" s="6"/>
      <c r="W153" s="6"/>
      <c r="X153" s="6"/>
      <c r="Y153" s="6"/>
      <c r="Z153" s="6"/>
      <c r="AA153" s="6"/>
      <c r="AB153" s="6"/>
    </row>
    <row r="154" ht="15.75" customHeight="1">
      <c r="A154" s="130"/>
      <c r="B154" s="2"/>
      <c r="C154" s="132"/>
      <c r="D154" s="132"/>
      <c r="E154" s="132"/>
      <c r="F154" s="132"/>
      <c r="G154" s="6"/>
      <c r="H154" s="6"/>
      <c r="I154" s="6"/>
      <c r="J154" s="188"/>
      <c r="K154" s="131"/>
      <c r="L154" s="131"/>
      <c r="M154" s="131"/>
      <c r="N154" s="131"/>
      <c r="O154" s="131"/>
      <c r="P154" s="131"/>
      <c r="Q154" s="131"/>
      <c r="R154" s="131"/>
      <c r="S154" s="131"/>
      <c r="T154" s="131"/>
      <c r="U154" s="6"/>
      <c r="V154" s="6"/>
      <c r="W154" s="6"/>
      <c r="X154" s="6"/>
      <c r="Y154" s="6"/>
      <c r="Z154" s="6"/>
      <c r="AA154" s="6"/>
      <c r="AB154" s="6"/>
    </row>
    <row r="155" ht="15.75" customHeight="1">
      <c r="A155" s="130"/>
      <c r="B155" s="2"/>
      <c r="C155" s="132"/>
      <c r="D155" s="132"/>
      <c r="E155" s="132"/>
      <c r="F155" s="132"/>
      <c r="G155" s="6"/>
      <c r="H155" s="6"/>
      <c r="I155" s="6"/>
      <c r="J155" s="188"/>
      <c r="K155" s="131"/>
      <c r="L155" s="131"/>
      <c r="M155" s="131"/>
      <c r="N155" s="131"/>
      <c r="O155" s="131"/>
      <c r="P155" s="131"/>
      <c r="Q155" s="131"/>
      <c r="R155" s="131"/>
      <c r="S155" s="131"/>
      <c r="T155" s="131"/>
      <c r="U155" s="6"/>
      <c r="V155" s="6"/>
      <c r="W155" s="6"/>
      <c r="X155" s="6"/>
      <c r="Y155" s="6"/>
      <c r="Z155" s="6"/>
      <c r="AA155" s="6"/>
      <c r="AB155" s="6"/>
    </row>
    <row r="156" ht="15.75" customHeight="1">
      <c r="A156" s="130"/>
      <c r="B156" s="2"/>
      <c r="C156" s="132"/>
      <c r="D156" s="132"/>
      <c r="E156" s="132"/>
      <c r="F156" s="132"/>
      <c r="G156" s="6"/>
      <c r="H156" s="6"/>
      <c r="I156" s="6"/>
      <c r="J156" s="188"/>
      <c r="K156" s="131"/>
      <c r="L156" s="131"/>
      <c r="M156" s="131"/>
      <c r="N156" s="131"/>
      <c r="O156" s="131"/>
      <c r="P156" s="131"/>
      <c r="Q156" s="131"/>
      <c r="R156" s="131"/>
      <c r="S156" s="131"/>
      <c r="T156" s="131"/>
      <c r="U156" s="6"/>
      <c r="V156" s="6"/>
      <c r="W156" s="6"/>
      <c r="X156" s="6"/>
      <c r="Y156" s="6"/>
      <c r="Z156" s="6"/>
      <c r="AA156" s="6"/>
      <c r="AB156" s="6"/>
    </row>
    <row r="157" ht="15.75" customHeight="1">
      <c r="A157" s="130"/>
      <c r="B157" s="2"/>
      <c r="C157" s="132"/>
      <c r="D157" s="132"/>
      <c r="E157" s="132"/>
      <c r="F157" s="132"/>
      <c r="G157" s="6"/>
      <c r="H157" s="6"/>
      <c r="I157" s="6"/>
      <c r="J157" s="188"/>
      <c r="K157" s="131"/>
      <c r="L157" s="131"/>
      <c r="M157" s="131"/>
      <c r="N157" s="131"/>
      <c r="O157" s="131"/>
      <c r="P157" s="131"/>
      <c r="Q157" s="131"/>
      <c r="R157" s="131"/>
      <c r="S157" s="131"/>
      <c r="T157" s="131"/>
      <c r="U157" s="6"/>
      <c r="V157" s="6"/>
      <c r="W157" s="6"/>
      <c r="X157" s="6"/>
      <c r="Y157" s="6"/>
      <c r="Z157" s="6"/>
      <c r="AA157" s="6"/>
      <c r="AB157" s="6"/>
    </row>
    <row r="158" ht="15.75" customHeight="1">
      <c r="A158" s="130"/>
      <c r="B158" s="2"/>
      <c r="C158" s="132"/>
      <c r="D158" s="132"/>
      <c r="E158" s="132"/>
      <c r="F158" s="132"/>
      <c r="G158" s="131"/>
      <c r="H158" s="131"/>
      <c r="I158" s="131"/>
      <c r="J158" s="146"/>
      <c r="K158" s="131"/>
      <c r="L158" s="131"/>
      <c r="M158" s="131"/>
      <c r="N158" s="131"/>
      <c r="O158" s="131"/>
      <c r="P158" s="131"/>
      <c r="Q158" s="131"/>
      <c r="R158" s="131"/>
      <c r="S158" s="131"/>
      <c r="T158" s="131"/>
      <c r="U158" s="6"/>
      <c r="V158" s="6"/>
      <c r="W158" s="6"/>
      <c r="X158" s="6"/>
      <c r="Y158" s="6"/>
      <c r="Z158" s="6"/>
      <c r="AA158" s="6"/>
      <c r="AB158" s="6"/>
    </row>
    <row r="159" ht="15.75" customHeight="1">
      <c r="A159" s="130"/>
      <c r="B159" s="2"/>
      <c r="C159" s="132"/>
      <c r="D159" s="132"/>
      <c r="E159" s="132"/>
      <c r="F159" s="132"/>
      <c r="G159" s="131"/>
      <c r="H159" s="131"/>
      <c r="I159" s="131"/>
      <c r="J159" s="146"/>
      <c r="K159" s="131"/>
      <c r="L159" s="131"/>
      <c r="M159" s="131"/>
      <c r="N159" s="131"/>
      <c r="O159" s="131"/>
      <c r="P159" s="131"/>
      <c r="Q159" s="131"/>
      <c r="R159" s="131"/>
      <c r="S159" s="131"/>
      <c r="T159" s="131"/>
      <c r="U159" s="6"/>
      <c r="V159" s="6"/>
      <c r="W159" s="6"/>
      <c r="X159" s="6"/>
      <c r="Y159" s="6"/>
      <c r="Z159" s="6"/>
      <c r="AA159" s="6"/>
      <c r="AB159" s="6"/>
    </row>
    <row r="160" ht="15.75" customHeight="1">
      <c r="A160" s="130"/>
      <c r="B160" s="2"/>
      <c r="C160" s="132"/>
      <c r="D160" s="132"/>
      <c r="E160" s="132"/>
      <c r="F160" s="132"/>
      <c r="G160" s="131"/>
      <c r="H160" s="131"/>
      <c r="I160" s="131"/>
      <c r="J160" s="146"/>
      <c r="K160" s="131"/>
      <c r="L160" s="131"/>
      <c r="M160" s="131"/>
      <c r="N160" s="131"/>
      <c r="O160" s="131"/>
      <c r="P160" s="131"/>
      <c r="Q160" s="131"/>
      <c r="R160" s="131"/>
      <c r="S160" s="131"/>
      <c r="T160" s="131"/>
      <c r="U160" s="6"/>
      <c r="V160" s="6"/>
      <c r="W160" s="6"/>
      <c r="X160" s="6"/>
      <c r="Y160" s="6"/>
      <c r="Z160" s="6"/>
      <c r="AA160" s="6"/>
      <c r="AB160" s="6"/>
    </row>
    <row r="161" ht="15.75" customHeight="1">
      <c r="A161" s="130"/>
      <c r="B161" s="2"/>
      <c r="C161" s="132"/>
      <c r="D161" s="132"/>
      <c r="E161" s="132"/>
      <c r="F161" s="132"/>
      <c r="G161" s="131"/>
      <c r="H161" s="131"/>
      <c r="I161" s="131"/>
      <c r="J161" s="146"/>
      <c r="K161" s="131"/>
      <c r="L161" s="131"/>
      <c r="M161" s="131"/>
      <c r="N161" s="131"/>
      <c r="O161" s="131"/>
      <c r="P161" s="131"/>
      <c r="Q161" s="131"/>
      <c r="R161" s="131"/>
      <c r="S161" s="131"/>
      <c r="T161" s="131"/>
      <c r="U161" s="6"/>
      <c r="V161" s="6"/>
      <c r="W161" s="6"/>
      <c r="X161" s="6"/>
      <c r="Y161" s="6"/>
      <c r="Z161" s="6"/>
      <c r="AA161" s="6"/>
      <c r="AB161" s="6"/>
    </row>
    <row r="162" ht="15.75" customHeight="1">
      <c r="A162" s="130"/>
      <c r="B162" s="2"/>
      <c r="C162" s="132"/>
      <c r="D162" s="132"/>
      <c r="E162" s="132"/>
      <c r="F162" s="132"/>
      <c r="G162" s="131"/>
      <c r="H162" s="131"/>
      <c r="I162" s="131"/>
      <c r="J162" s="146"/>
      <c r="K162" s="131"/>
      <c r="L162" s="131"/>
      <c r="M162" s="131"/>
      <c r="N162" s="131"/>
      <c r="O162" s="131"/>
      <c r="P162" s="131"/>
      <c r="Q162" s="131"/>
      <c r="R162" s="131"/>
      <c r="S162" s="131"/>
      <c r="T162" s="131"/>
      <c r="U162" s="6"/>
      <c r="V162" s="6"/>
      <c r="W162" s="6"/>
      <c r="X162" s="6"/>
      <c r="Y162" s="6"/>
      <c r="Z162" s="6"/>
      <c r="AA162" s="6"/>
      <c r="AB162" s="6"/>
    </row>
    <row r="163" ht="15.75" customHeight="1">
      <c r="A163" s="130"/>
      <c r="B163" s="2"/>
      <c r="C163" s="132"/>
      <c r="D163" s="132"/>
      <c r="E163" s="132"/>
      <c r="F163" s="132"/>
      <c r="G163" s="13"/>
      <c r="H163" s="13"/>
      <c r="I163" s="13"/>
      <c r="J163" s="187"/>
      <c r="K163" s="131"/>
      <c r="L163" s="131"/>
      <c r="M163" s="131"/>
      <c r="N163" s="131"/>
      <c r="O163" s="131"/>
      <c r="P163" s="131"/>
      <c r="Q163" s="131"/>
      <c r="R163" s="131"/>
      <c r="S163" s="131"/>
      <c r="T163" s="131"/>
      <c r="U163" s="6"/>
      <c r="V163" s="6"/>
      <c r="W163" s="6"/>
      <c r="X163" s="6"/>
      <c r="Y163" s="6"/>
      <c r="Z163" s="6"/>
      <c r="AA163" s="6"/>
      <c r="AB163" s="6"/>
    </row>
    <row r="164" ht="15.75" customHeight="1">
      <c r="A164" s="130"/>
      <c r="B164" s="2"/>
      <c r="C164" s="132"/>
      <c r="D164" s="132"/>
      <c r="E164" s="132"/>
      <c r="F164" s="132"/>
      <c r="G164" s="13"/>
      <c r="H164" s="13"/>
      <c r="I164" s="13"/>
      <c r="J164" s="187"/>
      <c r="K164" s="131"/>
      <c r="L164" s="131"/>
      <c r="M164" s="131"/>
      <c r="N164" s="131"/>
      <c r="O164" s="131"/>
      <c r="P164" s="131"/>
      <c r="Q164" s="131"/>
      <c r="R164" s="131"/>
      <c r="S164" s="131"/>
      <c r="T164" s="131"/>
      <c r="U164" s="6"/>
      <c r="V164" s="6"/>
      <c r="W164" s="6"/>
      <c r="X164" s="6"/>
      <c r="Y164" s="6"/>
      <c r="Z164" s="6"/>
      <c r="AA164" s="6"/>
      <c r="AB164" s="6"/>
    </row>
    <row r="165" ht="15.75" customHeight="1">
      <c r="A165" s="130"/>
      <c r="B165" s="2"/>
      <c r="C165" s="132"/>
      <c r="D165" s="132"/>
      <c r="E165" s="132"/>
      <c r="F165" s="132"/>
      <c r="G165" s="13"/>
      <c r="H165" s="13"/>
      <c r="I165" s="13"/>
      <c r="J165" s="187"/>
      <c r="K165" s="131"/>
      <c r="L165" s="131"/>
      <c r="M165" s="131"/>
      <c r="N165" s="131"/>
      <c r="O165" s="131"/>
      <c r="P165" s="131"/>
      <c r="Q165" s="131"/>
      <c r="R165" s="131"/>
      <c r="S165" s="131"/>
      <c r="T165" s="131"/>
      <c r="U165" s="6"/>
      <c r="V165" s="6"/>
      <c r="W165" s="6"/>
      <c r="X165" s="6"/>
      <c r="Y165" s="6"/>
      <c r="Z165" s="6"/>
      <c r="AA165" s="6"/>
      <c r="AB165" s="6"/>
    </row>
    <row r="166" ht="15.75" customHeight="1">
      <c r="A166" s="130"/>
      <c r="B166" s="2"/>
      <c r="C166" s="132"/>
      <c r="D166" s="132"/>
      <c r="E166" s="132"/>
      <c r="F166" s="132"/>
      <c r="G166" s="131"/>
      <c r="H166" s="131"/>
      <c r="I166" s="131"/>
      <c r="J166" s="146"/>
      <c r="K166" s="131"/>
      <c r="L166" s="131"/>
      <c r="M166" s="131"/>
      <c r="N166" s="131"/>
      <c r="O166" s="131"/>
      <c r="P166" s="131"/>
      <c r="Q166" s="131"/>
      <c r="R166" s="131"/>
      <c r="S166" s="131"/>
      <c r="T166" s="131"/>
      <c r="U166" s="6"/>
      <c r="V166" s="6"/>
      <c r="W166" s="6"/>
      <c r="X166" s="6"/>
      <c r="Y166" s="6"/>
      <c r="Z166" s="6"/>
      <c r="AA166" s="6"/>
      <c r="AB166" s="6"/>
    </row>
    <row r="167" ht="15.75" customHeight="1">
      <c r="A167" s="130"/>
      <c r="B167" s="2"/>
      <c r="C167" s="132"/>
      <c r="D167" s="132"/>
      <c r="E167" s="132"/>
      <c r="F167" s="132"/>
      <c r="G167" s="131"/>
      <c r="H167" s="131"/>
      <c r="I167" s="131"/>
      <c r="J167" s="146"/>
      <c r="K167" s="131"/>
      <c r="L167" s="131"/>
      <c r="M167" s="131"/>
      <c r="N167" s="131"/>
      <c r="O167" s="131"/>
      <c r="P167" s="131"/>
      <c r="Q167" s="131"/>
      <c r="R167" s="131"/>
      <c r="S167" s="131"/>
      <c r="T167" s="131"/>
      <c r="U167" s="6"/>
      <c r="V167" s="6"/>
      <c r="W167" s="6"/>
      <c r="X167" s="6"/>
      <c r="Y167" s="6"/>
      <c r="Z167" s="6"/>
      <c r="AA167" s="6"/>
      <c r="AB167" s="6"/>
    </row>
    <row r="168" ht="15.75" customHeight="1">
      <c r="A168" s="130"/>
      <c r="B168" s="2"/>
      <c r="C168" s="132"/>
      <c r="D168" s="132"/>
      <c r="E168" s="132"/>
      <c r="F168" s="132"/>
      <c r="G168" s="131"/>
      <c r="H168" s="131"/>
      <c r="I168" s="131"/>
      <c r="J168" s="146"/>
      <c r="K168" s="131"/>
      <c r="L168" s="131"/>
      <c r="M168" s="131"/>
      <c r="N168" s="131"/>
      <c r="O168" s="131"/>
      <c r="P168" s="131"/>
      <c r="Q168" s="131"/>
      <c r="R168" s="131"/>
      <c r="S168" s="131"/>
      <c r="T168" s="131"/>
      <c r="U168" s="6"/>
      <c r="V168" s="6"/>
      <c r="W168" s="6"/>
      <c r="X168" s="6"/>
      <c r="Y168" s="6"/>
      <c r="Z168" s="6"/>
      <c r="AA168" s="6"/>
      <c r="AB168" s="6"/>
    </row>
    <row r="169" ht="15.75" customHeight="1">
      <c r="A169" s="130"/>
      <c r="B169" s="2"/>
      <c r="C169" s="132"/>
      <c r="D169" s="132"/>
      <c r="E169" s="132"/>
      <c r="F169" s="132"/>
      <c r="G169" s="131"/>
      <c r="H169" s="131"/>
      <c r="I169" s="131"/>
      <c r="J169" s="146"/>
      <c r="K169" s="131"/>
      <c r="L169" s="131"/>
      <c r="M169" s="131"/>
      <c r="N169" s="131"/>
      <c r="O169" s="131"/>
      <c r="P169" s="131"/>
      <c r="Q169" s="131"/>
      <c r="R169" s="131"/>
      <c r="S169" s="131"/>
      <c r="T169" s="131"/>
      <c r="U169" s="6"/>
      <c r="V169" s="6"/>
      <c r="W169" s="6"/>
      <c r="X169" s="6"/>
      <c r="Y169" s="6"/>
      <c r="Z169" s="6"/>
      <c r="AA169" s="6"/>
      <c r="AB169" s="6"/>
    </row>
    <row r="170" ht="15.75" customHeight="1">
      <c r="A170" s="130"/>
      <c r="B170" s="2"/>
      <c r="C170" s="132"/>
      <c r="D170" s="132"/>
      <c r="E170" s="132"/>
      <c r="F170" s="132"/>
      <c r="G170" s="131"/>
      <c r="H170" s="131"/>
      <c r="I170" s="131"/>
      <c r="J170" s="146"/>
      <c r="K170" s="131"/>
      <c r="L170" s="131"/>
      <c r="M170" s="131"/>
      <c r="N170" s="131"/>
      <c r="O170" s="131"/>
      <c r="P170" s="131"/>
      <c r="Q170" s="131"/>
      <c r="R170" s="131"/>
      <c r="S170" s="131"/>
      <c r="T170" s="131"/>
      <c r="U170" s="6"/>
      <c r="V170" s="6"/>
      <c r="W170" s="6"/>
      <c r="X170" s="6"/>
      <c r="Y170" s="6"/>
      <c r="Z170" s="6"/>
      <c r="AA170" s="6"/>
      <c r="AB170" s="6"/>
    </row>
    <row r="171" ht="15.75" customHeight="1">
      <c r="A171" s="130"/>
      <c r="B171" s="2"/>
      <c r="C171" s="132"/>
      <c r="D171" s="132"/>
      <c r="E171" s="132"/>
      <c r="F171" s="132"/>
      <c r="G171" s="6"/>
      <c r="H171" s="6"/>
      <c r="I171" s="6"/>
      <c r="J171" s="188"/>
      <c r="K171" s="131"/>
      <c r="L171" s="131"/>
      <c r="M171" s="131"/>
      <c r="N171" s="131"/>
      <c r="O171" s="131"/>
      <c r="P171" s="131"/>
      <c r="Q171" s="131"/>
      <c r="R171" s="131"/>
      <c r="S171" s="131"/>
      <c r="T171" s="131"/>
      <c r="U171" s="6"/>
      <c r="V171" s="6"/>
      <c r="W171" s="6"/>
      <c r="X171" s="6"/>
      <c r="Y171" s="6"/>
      <c r="Z171" s="6"/>
      <c r="AA171" s="6"/>
      <c r="AB171" s="6"/>
    </row>
    <row r="172" ht="15.75" customHeight="1">
      <c r="A172" s="130"/>
      <c r="B172" s="2"/>
      <c r="C172" s="132"/>
      <c r="D172" s="132"/>
      <c r="E172" s="132"/>
      <c r="F172" s="132"/>
      <c r="G172" s="6"/>
      <c r="H172" s="6"/>
      <c r="I172" s="6"/>
      <c r="J172" s="188"/>
      <c r="K172" s="131"/>
      <c r="L172" s="131"/>
      <c r="M172" s="131"/>
      <c r="N172" s="131"/>
      <c r="O172" s="131"/>
      <c r="P172" s="131"/>
      <c r="Q172" s="131"/>
      <c r="R172" s="131"/>
      <c r="S172" s="131"/>
      <c r="T172" s="131"/>
      <c r="U172" s="6"/>
      <c r="V172" s="6"/>
      <c r="W172" s="6"/>
      <c r="X172" s="6"/>
      <c r="Y172" s="6"/>
      <c r="Z172" s="6"/>
      <c r="AA172" s="6"/>
      <c r="AB172" s="6"/>
    </row>
    <row r="173" ht="15.75" customHeight="1">
      <c r="A173" s="130"/>
      <c r="B173" s="2"/>
      <c r="C173" s="132"/>
      <c r="D173" s="132"/>
      <c r="E173" s="132"/>
      <c r="F173" s="132"/>
      <c r="G173" s="6"/>
      <c r="H173" s="6"/>
      <c r="I173" s="6"/>
      <c r="J173" s="188"/>
      <c r="K173" s="131"/>
      <c r="L173" s="131"/>
      <c r="M173" s="131"/>
      <c r="N173" s="131"/>
      <c r="O173" s="131"/>
      <c r="P173" s="131"/>
      <c r="Q173" s="131"/>
      <c r="R173" s="131"/>
      <c r="S173" s="131"/>
      <c r="T173" s="131"/>
      <c r="U173" s="6"/>
      <c r="V173" s="6"/>
      <c r="W173" s="6"/>
      <c r="X173" s="6"/>
      <c r="Y173" s="6"/>
      <c r="Z173" s="6"/>
      <c r="AA173" s="6"/>
      <c r="AB173" s="6"/>
    </row>
    <row r="174" ht="15.75" customHeight="1">
      <c r="A174" s="130"/>
      <c r="B174" s="2"/>
      <c r="C174" s="132"/>
      <c r="D174" s="132"/>
      <c r="E174" s="132"/>
      <c r="F174" s="132"/>
      <c r="G174" s="6"/>
      <c r="H174" s="6"/>
      <c r="I174" s="6"/>
      <c r="J174" s="188"/>
      <c r="K174" s="131"/>
      <c r="L174" s="131"/>
      <c r="M174" s="131"/>
      <c r="N174" s="131"/>
      <c r="O174" s="131"/>
      <c r="P174" s="131"/>
      <c r="Q174" s="131"/>
      <c r="R174" s="131"/>
      <c r="S174" s="131"/>
      <c r="T174" s="131"/>
      <c r="U174" s="6"/>
      <c r="V174" s="6"/>
      <c r="W174" s="6"/>
      <c r="X174" s="6"/>
      <c r="Y174" s="6"/>
      <c r="Z174" s="6"/>
      <c r="AA174" s="6"/>
      <c r="AB174" s="6"/>
    </row>
    <row r="175" ht="15.75" customHeight="1">
      <c r="A175" s="130"/>
      <c r="B175" s="2"/>
      <c r="C175" s="132"/>
      <c r="D175" s="132"/>
      <c r="E175" s="132"/>
      <c r="F175" s="132"/>
      <c r="G175" s="6"/>
      <c r="H175" s="6"/>
      <c r="I175" s="6"/>
      <c r="J175" s="188"/>
      <c r="K175" s="131"/>
      <c r="L175" s="131"/>
      <c r="M175" s="131"/>
      <c r="N175" s="131"/>
      <c r="O175" s="131"/>
      <c r="P175" s="131"/>
      <c r="Q175" s="131"/>
      <c r="R175" s="131"/>
      <c r="S175" s="131"/>
      <c r="T175" s="131"/>
      <c r="U175" s="6"/>
      <c r="V175" s="6"/>
      <c r="W175" s="6"/>
      <c r="X175" s="6"/>
      <c r="Y175" s="6"/>
      <c r="Z175" s="6"/>
      <c r="AA175" s="6"/>
      <c r="AB175" s="6"/>
    </row>
    <row r="176" ht="15.75" customHeight="1">
      <c r="A176" s="130"/>
      <c r="B176" s="2"/>
      <c r="C176" s="132"/>
      <c r="D176" s="132"/>
      <c r="E176" s="132"/>
      <c r="F176" s="132"/>
      <c r="G176" s="6"/>
      <c r="H176" s="6"/>
      <c r="I176" s="6"/>
      <c r="J176" s="188"/>
      <c r="K176" s="131"/>
      <c r="L176" s="131"/>
      <c r="M176" s="131"/>
      <c r="N176" s="131"/>
      <c r="O176" s="131"/>
      <c r="P176" s="131"/>
      <c r="Q176" s="131"/>
      <c r="R176" s="131"/>
      <c r="S176" s="131"/>
      <c r="T176" s="131"/>
      <c r="U176" s="6"/>
      <c r="V176" s="6"/>
      <c r="W176" s="6"/>
      <c r="X176" s="6"/>
      <c r="Y176" s="6"/>
      <c r="Z176" s="6"/>
      <c r="AA176" s="6"/>
      <c r="AB176" s="6"/>
    </row>
    <row r="177" ht="15.75" customHeight="1">
      <c r="A177" s="130"/>
      <c r="B177" s="2"/>
      <c r="C177" s="132"/>
      <c r="D177" s="132"/>
      <c r="E177" s="132"/>
      <c r="F177" s="132"/>
      <c r="G177" s="6"/>
      <c r="H177" s="6"/>
      <c r="I177" s="6"/>
      <c r="J177" s="188"/>
      <c r="K177" s="131"/>
      <c r="L177" s="131"/>
      <c r="M177" s="131"/>
      <c r="N177" s="131"/>
      <c r="O177" s="131"/>
      <c r="P177" s="131"/>
      <c r="Q177" s="131"/>
      <c r="R177" s="131"/>
      <c r="S177" s="131"/>
      <c r="T177" s="131"/>
      <c r="U177" s="6"/>
      <c r="V177" s="6"/>
      <c r="W177" s="6"/>
      <c r="X177" s="6"/>
      <c r="Y177" s="6"/>
      <c r="Z177" s="6"/>
      <c r="AA177" s="6"/>
      <c r="AB177" s="6"/>
    </row>
    <row r="178" ht="15.75" customHeight="1">
      <c r="A178" s="130"/>
      <c r="B178" s="2"/>
      <c r="C178" s="132"/>
      <c r="D178" s="132"/>
      <c r="E178" s="132"/>
      <c r="F178" s="132"/>
      <c r="G178" s="6"/>
      <c r="H178" s="6"/>
      <c r="I178" s="6"/>
      <c r="J178" s="188"/>
      <c r="K178" s="131"/>
      <c r="L178" s="131"/>
      <c r="M178" s="131"/>
      <c r="N178" s="131"/>
      <c r="O178" s="131"/>
      <c r="P178" s="131"/>
      <c r="Q178" s="131"/>
      <c r="R178" s="131"/>
      <c r="S178" s="131"/>
      <c r="T178" s="131"/>
      <c r="U178" s="6"/>
      <c r="V178" s="6"/>
      <c r="W178" s="6"/>
      <c r="X178" s="6"/>
      <c r="Y178" s="6"/>
      <c r="Z178" s="6"/>
      <c r="AA178" s="6"/>
      <c r="AB178" s="6"/>
    </row>
    <row r="179" ht="15.75" customHeight="1">
      <c r="A179" s="130"/>
      <c r="B179" s="2"/>
      <c r="C179" s="132"/>
      <c r="D179" s="132"/>
      <c r="E179" s="132"/>
      <c r="F179" s="132"/>
      <c r="G179" s="6"/>
      <c r="H179" s="6"/>
      <c r="I179" s="6"/>
      <c r="J179" s="188"/>
      <c r="K179" s="131"/>
      <c r="L179" s="131"/>
      <c r="M179" s="131"/>
      <c r="N179" s="131"/>
      <c r="O179" s="131"/>
      <c r="P179" s="131"/>
      <c r="Q179" s="131"/>
      <c r="R179" s="131"/>
      <c r="S179" s="131"/>
      <c r="T179" s="131"/>
      <c r="U179" s="6"/>
      <c r="V179" s="6"/>
      <c r="W179" s="6"/>
      <c r="X179" s="6"/>
      <c r="Y179" s="6"/>
      <c r="Z179" s="6"/>
      <c r="AA179" s="6"/>
      <c r="AB179" s="6"/>
    </row>
    <row r="180" ht="15.75" customHeight="1">
      <c r="A180" s="130"/>
      <c r="B180" s="2"/>
      <c r="C180" s="132"/>
      <c r="D180" s="132"/>
      <c r="E180" s="132"/>
      <c r="F180" s="132"/>
      <c r="G180" s="6"/>
      <c r="H180" s="6"/>
      <c r="I180" s="6"/>
      <c r="J180" s="188"/>
      <c r="K180" s="131"/>
      <c r="L180" s="131"/>
      <c r="M180" s="131"/>
      <c r="N180" s="131"/>
      <c r="O180" s="131"/>
      <c r="P180" s="131"/>
      <c r="Q180" s="131"/>
      <c r="R180" s="131"/>
      <c r="S180" s="131"/>
      <c r="T180" s="131"/>
      <c r="U180" s="6"/>
      <c r="V180" s="6"/>
      <c r="W180" s="6"/>
      <c r="X180" s="6"/>
      <c r="Y180" s="6"/>
      <c r="Z180" s="6"/>
      <c r="AA180" s="6"/>
      <c r="AB180" s="6"/>
    </row>
    <row r="181" ht="15.75" customHeight="1">
      <c r="A181" s="130"/>
      <c r="B181" s="2"/>
      <c r="C181" s="132"/>
      <c r="D181" s="132"/>
      <c r="E181" s="132"/>
      <c r="F181" s="132"/>
      <c r="G181" s="6"/>
      <c r="H181" s="6"/>
      <c r="I181" s="6"/>
      <c r="J181" s="188"/>
      <c r="K181" s="131"/>
      <c r="L181" s="131"/>
      <c r="M181" s="131"/>
      <c r="N181" s="131"/>
      <c r="O181" s="131"/>
      <c r="P181" s="131"/>
      <c r="Q181" s="131"/>
      <c r="R181" s="131"/>
      <c r="S181" s="131"/>
      <c r="T181" s="131"/>
      <c r="U181" s="6"/>
      <c r="V181" s="6"/>
      <c r="W181" s="6"/>
      <c r="X181" s="6"/>
      <c r="Y181" s="6"/>
      <c r="Z181" s="6"/>
      <c r="AA181" s="6"/>
      <c r="AB181" s="6"/>
    </row>
    <row r="182" ht="15.75" customHeight="1">
      <c r="A182" s="130"/>
      <c r="B182" s="2"/>
      <c r="C182" s="132"/>
      <c r="D182" s="132"/>
      <c r="E182" s="132"/>
      <c r="F182" s="132"/>
      <c r="G182" s="6"/>
      <c r="H182" s="6"/>
      <c r="I182" s="6"/>
      <c r="J182" s="188"/>
      <c r="K182" s="131"/>
      <c r="L182" s="131"/>
      <c r="M182" s="131"/>
      <c r="N182" s="131"/>
      <c r="O182" s="131"/>
      <c r="P182" s="131"/>
      <c r="Q182" s="131"/>
      <c r="R182" s="131"/>
      <c r="S182" s="131"/>
      <c r="T182" s="131"/>
      <c r="U182" s="6"/>
      <c r="V182" s="6"/>
      <c r="W182" s="6"/>
      <c r="X182" s="6"/>
      <c r="Y182" s="6"/>
      <c r="Z182" s="6"/>
      <c r="AA182" s="6"/>
      <c r="AB182" s="6"/>
    </row>
    <row r="183" ht="15.75" customHeight="1">
      <c r="A183" s="130"/>
      <c r="B183" s="2"/>
      <c r="C183" s="132"/>
      <c r="D183" s="132"/>
      <c r="E183" s="132"/>
      <c r="F183" s="132"/>
      <c r="G183" s="6"/>
      <c r="H183" s="6"/>
      <c r="I183" s="6"/>
      <c r="J183" s="188"/>
      <c r="K183" s="131"/>
      <c r="L183" s="131"/>
      <c r="M183" s="131"/>
      <c r="N183" s="131"/>
      <c r="O183" s="131"/>
      <c r="P183" s="131"/>
      <c r="Q183" s="131"/>
      <c r="R183" s="131"/>
      <c r="S183" s="131"/>
      <c r="T183" s="131"/>
      <c r="U183" s="6"/>
      <c r="V183" s="6"/>
      <c r="W183" s="6"/>
      <c r="X183" s="6"/>
      <c r="Y183" s="6"/>
      <c r="Z183" s="6"/>
      <c r="AA183" s="6"/>
      <c r="AB183" s="6"/>
    </row>
    <row r="184" ht="15.75" customHeight="1">
      <c r="A184" s="130"/>
      <c r="B184" s="2"/>
      <c r="C184" s="132"/>
      <c r="D184" s="132"/>
      <c r="E184" s="132"/>
      <c r="F184" s="132"/>
      <c r="G184" s="6"/>
      <c r="H184" s="6"/>
      <c r="I184" s="6"/>
      <c r="J184" s="188"/>
      <c r="K184" s="131"/>
      <c r="L184" s="131"/>
      <c r="M184" s="131"/>
      <c r="N184" s="131"/>
      <c r="O184" s="131"/>
      <c r="P184" s="131"/>
      <c r="Q184" s="131"/>
      <c r="R184" s="131"/>
      <c r="S184" s="131"/>
      <c r="T184" s="131"/>
      <c r="U184" s="6"/>
      <c r="V184" s="6"/>
      <c r="W184" s="6"/>
      <c r="X184" s="6"/>
      <c r="Y184" s="6"/>
      <c r="Z184" s="6"/>
      <c r="AA184" s="6"/>
      <c r="AB184" s="6"/>
    </row>
    <row r="185" ht="15.75" customHeight="1">
      <c r="A185" s="130"/>
      <c r="B185" s="2"/>
      <c r="C185" s="132"/>
      <c r="D185" s="132"/>
      <c r="E185" s="132"/>
      <c r="F185" s="132"/>
      <c r="G185" s="6"/>
      <c r="H185" s="6"/>
      <c r="I185" s="6"/>
      <c r="J185" s="188"/>
      <c r="K185" s="131"/>
      <c r="L185" s="131"/>
      <c r="M185" s="131"/>
      <c r="N185" s="131"/>
      <c r="O185" s="131"/>
      <c r="P185" s="131"/>
      <c r="Q185" s="131"/>
      <c r="R185" s="131"/>
      <c r="S185" s="131"/>
      <c r="T185" s="131"/>
      <c r="U185" s="6"/>
      <c r="V185" s="6"/>
      <c r="W185" s="6"/>
      <c r="X185" s="6"/>
      <c r="Y185" s="6"/>
      <c r="Z185" s="6"/>
      <c r="AA185" s="6"/>
      <c r="AB185" s="6"/>
    </row>
    <row r="186" ht="15.75" customHeight="1">
      <c r="A186" s="130"/>
      <c r="B186" s="2"/>
      <c r="C186" s="132"/>
      <c r="D186" s="132"/>
      <c r="E186" s="132"/>
      <c r="F186" s="132"/>
      <c r="G186" s="6"/>
      <c r="H186" s="6"/>
      <c r="I186" s="6"/>
      <c r="J186" s="188"/>
      <c r="K186" s="131"/>
      <c r="L186" s="131"/>
      <c r="M186" s="131"/>
      <c r="N186" s="131"/>
      <c r="O186" s="131"/>
      <c r="P186" s="131"/>
      <c r="Q186" s="131"/>
      <c r="R186" s="131"/>
      <c r="S186" s="131"/>
      <c r="T186" s="131"/>
      <c r="U186" s="6"/>
      <c r="V186" s="6"/>
      <c r="W186" s="6"/>
      <c r="X186" s="6"/>
      <c r="Y186" s="6"/>
      <c r="Z186" s="6"/>
      <c r="AA186" s="6"/>
      <c r="AB186" s="6"/>
    </row>
    <row r="187" ht="15.75" customHeight="1">
      <c r="A187" s="130"/>
      <c r="B187" s="2"/>
      <c r="C187" s="132"/>
      <c r="D187" s="132"/>
      <c r="E187" s="132"/>
      <c r="F187" s="132"/>
      <c r="G187" s="6"/>
      <c r="H187" s="6"/>
      <c r="I187" s="6"/>
      <c r="J187" s="188"/>
      <c r="K187" s="131"/>
      <c r="L187" s="131"/>
      <c r="M187" s="131"/>
      <c r="N187" s="131"/>
      <c r="O187" s="131"/>
      <c r="P187" s="131"/>
      <c r="Q187" s="131"/>
      <c r="R187" s="131"/>
      <c r="S187" s="131"/>
      <c r="T187" s="131"/>
      <c r="U187" s="6"/>
      <c r="V187" s="6"/>
      <c r="W187" s="6"/>
      <c r="X187" s="6"/>
      <c r="Y187" s="6"/>
      <c r="Z187" s="6"/>
      <c r="AA187" s="6"/>
      <c r="AB187" s="6"/>
    </row>
    <row r="188" ht="15.75" customHeight="1">
      <c r="A188" s="130"/>
      <c r="B188" s="2"/>
      <c r="C188" s="132"/>
      <c r="D188" s="132"/>
      <c r="E188" s="132"/>
      <c r="F188" s="132"/>
      <c r="G188" s="6"/>
      <c r="H188" s="6"/>
      <c r="I188" s="6"/>
      <c r="J188" s="188"/>
      <c r="K188" s="131"/>
      <c r="L188" s="131"/>
      <c r="M188" s="131"/>
      <c r="N188" s="131"/>
      <c r="O188" s="131"/>
      <c r="P188" s="131"/>
      <c r="Q188" s="131"/>
      <c r="R188" s="131"/>
      <c r="S188" s="131"/>
      <c r="T188" s="131"/>
      <c r="U188" s="6"/>
      <c r="V188" s="6"/>
      <c r="W188" s="6"/>
      <c r="X188" s="6"/>
      <c r="Y188" s="6"/>
      <c r="Z188" s="6"/>
      <c r="AA188" s="6"/>
      <c r="AB188" s="6"/>
    </row>
    <row r="189" ht="15.75" customHeight="1">
      <c r="A189" s="130"/>
      <c r="B189" s="2"/>
      <c r="C189" s="132"/>
      <c r="D189" s="132"/>
      <c r="E189" s="132"/>
      <c r="F189" s="132"/>
      <c r="G189" s="6"/>
      <c r="H189" s="6"/>
      <c r="I189" s="6"/>
      <c r="J189" s="188"/>
      <c r="K189" s="131"/>
      <c r="L189" s="131"/>
      <c r="M189" s="131"/>
      <c r="N189" s="131"/>
      <c r="O189" s="131"/>
      <c r="P189" s="131"/>
      <c r="Q189" s="131"/>
      <c r="R189" s="131"/>
      <c r="S189" s="131"/>
      <c r="T189" s="131"/>
      <c r="U189" s="6"/>
      <c r="V189" s="6"/>
      <c r="W189" s="6"/>
      <c r="X189" s="6"/>
      <c r="Y189" s="6"/>
      <c r="Z189" s="6"/>
      <c r="AA189" s="6"/>
      <c r="AB189" s="6"/>
    </row>
    <row r="190" ht="15.75" customHeight="1">
      <c r="A190" s="130"/>
      <c r="B190" s="2"/>
      <c r="C190" s="132"/>
      <c r="D190" s="132"/>
      <c r="E190" s="132"/>
      <c r="F190" s="132"/>
      <c r="G190" s="6"/>
      <c r="H190" s="6"/>
      <c r="I190" s="6"/>
      <c r="J190" s="188"/>
      <c r="K190" s="131"/>
      <c r="L190" s="131"/>
      <c r="M190" s="131"/>
      <c r="N190" s="131"/>
      <c r="O190" s="131"/>
      <c r="P190" s="131"/>
      <c r="Q190" s="131"/>
      <c r="R190" s="131"/>
      <c r="S190" s="131"/>
      <c r="T190" s="131"/>
      <c r="U190" s="6"/>
      <c r="V190" s="6"/>
      <c r="W190" s="6"/>
      <c r="X190" s="6"/>
      <c r="Y190" s="6"/>
      <c r="Z190" s="6"/>
      <c r="AA190" s="6"/>
      <c r="AB190" s="6"/>
    </row>
    <row r="191" ht="15.75" customHeight="1">
      <c r="A191" s="130"/>
      <c r="B191" s="2"/>
      <c r="C191" s="132"/>
      <c r="D191" s="132"/>
      <c r="E191" s="132"/>
      <c r="F191" s="132"/>
      <c r="G191" s="6"/>
      <c r="H191" s="6"/>
      <c r="I191" s="6"/>
      <c r="J191" s="188"/>
      <c r="K191" s="131"/>
      <c r="L191" s="131"/>
      <c r="M191" s="131"/>
      <c r="N191" s="131"/>
      <c r="O191" s="131"/>
      <c r="P191" s="131"/>
      <c r="Q191" s="131"/>
      <c r="R191" s="131"/>
      <c r="S191" s="131"/>
      <c r="T191" s="131"/>
      <c r="U191" s="6"/>
      <c r="V191" s="6"/>
      <c r="W191" s="6"/>
      <c r="X191" s="6"/>
      <c r="Y191" s="6"/>
      <c r="Z191" s="6"/>
      <c r="AA191" s="6"/>
      <c r="AB191" s="6"/>
    </row>
    <row r="192" ht="15.75" customHeight="1">
      <c r="A192" s="130"/>
      <c r="B192" s="2"/>
      <c r="C192" s="132"/>
      <c r="D192" s="132"/>
      <c r="E192" s="132"/>
      <c r="F192" s="132"/>
      <c r="G192" s="6"/>
      <c r="H192" s="6"/>
      <c r="I192" s="6"/>
      <c r="J192" s="188"/>
      <c r="K192" s="131"/>
      <c r="L192" s="131"/>
      <c r="M192" s="131"/>
      <c r="N192" s="131"/>
      <c r="O192" s="131"/>
      <c r="P192" s="131"/>
      <c r="Q192" s="131"/>
      <c r="R192" s="131"/>
      <c r="S192" s="131"/>
      <c r="T192" s="131"/>
      <c r="U192" s="6"/>
      <c r="V192" s="6"/>
      <c r="W192" s="6"/>
      <c r="X192" s="6"/>
      <c r="Y192" s="6"/>
      <c r="Z192" s="6"/>
      <c r="AA192" s="6"/>
      <c r="AB192" s="6"/>
    </row>
    <row r="193" ht="15.75" customHeight="1">
      <c r="A193" s="130"/>
      <c r="B193" s="2"/>
      <c r="C193" s="132"/>
      <c r="D193" s="132"/>
      <c r="E193" s="132"/>
      <c r="F193" s="132"/>
      <c r="G193" s="6"/>
      <c r="H193" s="6"/>
      <c r="I193" s="6"/>
      <c r="J193" s="188"/>
      <c r="K193" s="131"/>
      <c r="L193" s="131"/>
      <c r="M193" s="131"/>
      <c r="N193" s="131"/>
      <c r="O193" s="131"/>
      <c r="P193" s="131"/>
      <c r="Q193" s="131"/>
      <c r="R193" s="131"/>
      <c r="S193" s="131"/>
      <c r="T193" s="131"/>
      <c r="U193" s="6"/>
      <c r="V193" s="6"/>
      <c r="W193" s="6"/>
      <c r="X193" s="6"/>
      <c r="Y193" s="6"/>
      <c r="Z193" s="6"/>
      <c r="AA193" s="6"/>
      <c r="AB193" s="6"/>
    </row>
    <row r="194" ht="15.75" customHeight="1">
      <c r="A194" s="130"/>
      <c r="B194" s="2"/>
      <c r="C194" s="132"/>
      <c r="D194" s="132"/>
      <c r="E194" s="132"/>
      <c r="F194" s="132"/>
      <c r="G194" s="6"/>
      <c r="H194" s="6"/>
      <c r="I194" s="6"/>
      <c r="J194" s="188"/>
      <c r="K194" s="131"/>
      <c r="L194" s="131"/>
      <c r="M194" s="131"/>
      <c r="N194" s="131"/>
      <c r="O194" s="131"/>
      <c r="P194" s="131"/>
      <c r="Q194" s="131"/>
      <c r="R194" s="131"/>
      <c r="S194" s="131"/>
      <c r="T194" s="131"/>
      <c r="U194" s="6"/>
      <c r="V194" s="6"/>
      <c r="W194" s="6"/>
      <c r="X194" s="6"/>
      <c r="Y194" s="6"/>
      <c r="Z194" s="6"/>
      <c r="AA194" s="6"/>
      <c r="AB194" s="6"/>
    </row>
    <row r="195" ht="15.75" customHeight="1">
      <c r="A195" s="130"/>
      <c r="B195" s="2"/>
      <c r="C195" s="132"/>
      <c r="D195" s="132"/>
      <c r="E195" s="132"/>
      <c r="F195" s="132"/>
      <c r="G195" s="6"/>
      <c r="H195" s="6"/>
      <c r="I195" s="6"/>
      <c r="J195" s="188"/>
      <c r="K195" s="131"/>
      <c r="L195" s="131"/>
      <c r="M195" s="131"/>
      <c r="N195" s="131"/>
      <c r="O195" s="131"/>
      <c r="P195" s="131"/>
      <c r="Q195" s="131"/>
      <c r="R195" s="131"/>
      <c r="S195" s="131"/>
      <c r="T195" s="131"/>
      <c r="U195" s="6"/>
      <c r="V195" s="6"/>
      <c r="W195" s="6"/>
      <c r="X195" s="6"/>
      <c r="Y195" s="6"/>
      <c r="Z195" s="6"/>
      <c r="AA195" s="6"/>
      <c r="AB195" s="6"/>
    </row>
    <row r="196" ht="15.75" customHeight="1">
      <c r="A196" s="130"/>
      <c r="B196" s="2"/>
      <c r="C196" s="132"/>
      <c r="D196" s="132"/>
      <c r="E196" s="132"/>
      <c r="F196" s="132"/>
      <c r="G196" s="6"/>
      <c r="H196" s="6"/>
      <c r="I196" s="6"/>
      <c r="J196" s="188"/>
      <c r="K196" s="131"/>
      <c r="L196" s="131"/>
      <c r="M196" s="131"/>
      <c r="N196" s="131"/>
      <c r="O196" s="131"/>
      <c r="P196" s="131"/>
      <c r="Q196" s="131"/>
      <c r="R196" s="131"/>
      <c r="S196" s="131"/>
      <c r="T196" s="131"/>
      <c r="U196" s="6"/>
      <c r="V196" s="6"/>
      <c r="W196" s="6"/>
      <c r="X196" s="6"/>
      <c r="Y196" s="6"/>
      <c r="Z196" s="6"/>
      <c r="AA196" s="6"/>
      <c r="AB196" s="6"/>
    </row>
    <row r="197" ht="15.75" customHeight="1">
      <c r="A197" s="130"/>
      <c r="B197" s="2"/>
      <c r="C197" s="132"/>
      <c r="D197" s="132"/>
      <c r="E197" s="132"/>
      <c r="F197" s="132"/>
      <c r="G197" s="6"/>
      <c r="H197" s="6"/>
      <c r="I197" s="6"/>
      <c r="J197" s="188"/>
      <c r="K197" s="131"/>
      <c r="L197" s="131"/>
      <c r="M197" s="131"/>
      <c r="N197" s="131"/>
      <c r="O197" s="131"/>
      <c r="P197" s="131"/>
      <c r="Q197" s="131"/>
      <c r="R197" s="131"/>
      <c r="S197" s="131"/>
      <c r="T197" s="131"/>
      <c r="U197" s="6"/>
      <c r="V197" s="6"/>
      <c r="W197" s="6"/>
      <c r="X197" s="6"/>
      <c r="Y197" s="6"/>
      <c r="Z197" s="6"/>
      <c r="AA197" s="6"/>
      <c r="AB197" s="6"/>
    </row>
    <row r="198" ht="15.75" customHeight="1">
      <c r="A198" s="130"/>
      <c r="B198" s="2"/>
      <c r="C198" s="132"/>
      <c r="D198" s="132"/>
      <c r="E198" s="132"/>
      <c r="F198" s="132"/>
      <c r="G198" s="6"/>
      <c r="H198" s="6"/>
      <c r="I198" s="6"/>
      <c r="J198" s="188"/>
      <c r="K198" s="131"/>
      <c r="L198" s="131"/>
      <c r="M198" s="131"/>
      <c r="N198" s="131"/>
      <c r="O198" s="131"/>
      <c r="P198" s="131"/>
      <c r="Q198" s="131"/>
      <c r="R198" s="131"/>
      <c r="S198" s="131"/>
      <c r="T198" s="131"/>
      <c r="U198" s="6"/>
      <c r="V198" s="6"/>
      <c r="W198" s="6"/>
      <c r="X198" s="6"/>
      <c r="Y198" s="6"/>
      <c r="Z198" s="6"/>
      <c r="AA198" s="6"/>
      <c r="AB198" s="6"/>
    </row>
    <row r="199" ht="15.75" customHeight="1">
      <c r="A199" s="130"/>
      <c r="B199" s="2"/>
      <c r="C199" s="132"/>
      <c r="D199" s="132"/>
      <c r="E199" s="132"/>
      <c r="F199" s="132"/>
      <c r="G199" s="6"/>
      <c r="H199" s="6"/>
      <c r="I199" s="6"/>
      <c r="J199" s="188"/>
      <c r="K199" s="131"/>
      <c r="L199" s="131"/>
      <c r="M199" s="131"/>
      <c r="N199" s="131"/>
      <c r="O199" s="131"/>
      <c r="P199" s="131"/>
      <c r="Q199" s="131"/>
      <c r="R199" s="131"/>
      <c r="S199" s="131"/>
      <c r="T199" s="131"/>
      <c r="U199" s="6"/>
      <c r="V199" s="6"/>
      <c r="W199" s="6"/>
      <c r="X199" s="6"/>
      <c r="Y199" s="6"/>
      <c r="Z199" s="6"/>
      <c r="AA199" s="6"/>
      <c r="AB199" s="6"/>
    </row>
    <row r="200" ht="15.75" customHeight="1">
      <c r="A200" s="130"/>
      <c r="B200" s="2"/>
      <c r="C200" s="132"/>
      <c r="D200" s="132"/>
      <c r="E200" s="132"/>
      <c r="F200" s="132"/>
      <c r="G200" s="6"/>
      <c r="H200" s="6"/>
      <c r="I200" s="6"/>
      <c r="J200" s="188"/>
      <c r="K200" s="131"/>
      <c r="L200" s="131"/>
      <c r="M200" s="131"/>
      <c r="N200" s="131"/>
      <c r="O200" s="131"/>
      <c r="P200" s="131"/>
      <c r="Q200" s="131"/>
      <c r="R200" s="131"/>
      <c r="S200" s="131"/>
      <c r="T200" s="131"/>
      <c r="U200" s="6"/>
      <c r="V200" s="6"/>
      <c r="W200" s="6"/>
      <c r="X200" s="6"/>
      <c r="Y200" s="6"/>
      <c r="Z200" s="6"/>
      <c r="AA200" s="6"/>
      <c r="AB200" s="6"/>
    </row>
    <row r="201" ht="15.75" customHeight="1">
      <c r="A201" s="130"/>
      <c r="B201" s="2"/>
      <c r="C201" s="132"/>
      <c r="D201" s="132"/>
      <c r="E201" s="132"/>
      <c r="F201" s="132"/>
      <c r="G201" s="6"/>
      <c r="H201" s="6"/>
      <c r="I201" s="6"/>
      <c r="J201" s="188"/>
      <c r="K201" s="131"/>
      <c r="L201" s="131"/>
      <c r="M201" s="131"/>
      <c r="N201" s="131"/>
      <c r="O201" s="131"/>
      <c r="P201" s="131"/>
      <c r="Q201" s="131"/>
      <c r="R201" s="131"/>
      <c r="S201" s="131"/>
      <c r="T201" s="131"/>
      <c r="U201" s="6"/>
      <c r="V201" s="6"/>
      <c r="W201" s="6"/>
      <c r="X201" s="6"/>
      <c r="Y201" s="6"/>
      <c r="Z201" s="6"/>
      <c r="AA201" s="6"/>
      <c r="AB201" s="6"/>
    </row>
    <row r="202" ht="15.75" customHeight="1">
      <c r="A202" s="130"/>
      <c r="B202" s="2"/>
      <c r="C202" s="132"/>
      <c r="D202" s="132"/>
      <c r="E202" s="132"/>
      <c r="F202" s="132"/>
      <c r="G202" s="6"/>
      <c r="H202" s="6"/>
      <c r="I202" s="6"/>
      <c r="J202" s="188"/>
      <c r="K202" s="131"/>
      <c r="L202" s="131"/>
      <c r="M202" s="131"/>
      <c r="N202" s="131"/>
      <c r="O202" s="131"/>
      <c r="P202" s="131"/>
      <c r="Q202" s="131"/>
      <c r="R202" s="131"/>
      <c r="S202" s="131"/>
      <c r="T202" s="131"/>
      <c r="U202" s="6"/>
      <c r="V202" s="6"/>
      <c r="W202" s="6"/>
      <c r="X202" s="6"/>
      <c r="Y202" s="6"/>
      <c r="Z202" s="6"/>
      <c r="AA202" s="6"/>
      <c r="AB202" s="6"/>
    </row>
    <row r="203" ht="15.75" customHeight="1">
      <c r="A203" s="130"/>
      <c r="B203" s="2"/>
      <c r="C203" s="132"/>
      <c r="D203" s="132"/>
      <c r="E203" s="132"/>
      <c r="F203" s="132"/>
      <c r="G203" s="6"/>
      <c r="H203" s="6"/>
      <c r="I203" s="6"/>
      <c r="J203" s="188"/>
      <c r="K203" s="131"/>
      <c r="L203" s="131"/>
      <c r="M203" s="131"/>
      <c r="N203" s="131"/>
      <c r="O203" s="131"/>
      <c r="P203" s="131"/>
      <c r="Q203" s="131"/>
      <c r="R203" s="131"/>
      <c r="S203" s="131"/>
      <c r="T203" s="131"/>
      <c r="U203" s="6"/>
      <c r="V203" s="6"/>
      <c r="W203" s="6"/>
      <c r="X203" s="6"/>
      <c r="Y203" s="6"/>
      <c r="Z203" s="6"/>
      <c r="AA203" s="6"/>
      <c r="AB203" s="6"/>
    </row>
    <row r="204" ht="15.75" customHeight="1">
      <c r="A204" s="130"/>
      <c r="B204" s="2"/>
      <c r="C204" s="132"/>
      <c r="D204" s="132"/>
      <c r="E204" s="132"/>
      <c r="F204" s="132"/>
      <c r="G204" s="6"/>
      <c r="H204" s="6"/>
      <c r="I204" s="6"/>
      <c r="J204" s="188"/>
      <c r="K204" s="131"/>
      <c r="L204" s="131"/>
      <c r="M204" s="131"/>
      <c r="N204" s="131"/>
      <c r="O204" s="131"/>
      <c r="P204" s="131"/>
      <c r="Q204" s="131"/>
      <c r="R204" s="131"/>
      <c r="S204" s="131"/>
      <c r="T204" s="131"/>
      <c r="U204" s="6"/>
      <c r="V204" s="6"/>
      <c r="W204" s="6"/>
      <c r="X204" s="6"/>
      <c r="Y204" s="6"/>
      <c r="Z204" s="6"/>
      <c r="AA204" s="6"/>
      <c r="AB204" s="6"/>
    </row>
    <row r="205" ht="15.75" customHeight="1">
      <c r="A205" s="130"/>
      <c r="B205" s="2"/>
      <c r="C205" s="132"/>
      <c r="D205" s="132"/>
      <c r="E205" s="132"/>
      <c r="F205" s="132"/>
      <c r="G205" s="6"/>
      <c r="H205" s="6"/>
      <c r="I205" s="6"/>
      <c r="J205" s="188"/>
      <c r="K205" s="131"/>
      <c r="L205" s="131"/>
      <c r="M205" s="131"/>
      <c r="N205" s="131"/>
      <c r="O205" s="131"/>
      <c r="P205" s="131"/>
      <c r="Q205" s="131"/>
      <c r="R205" s="131"/>
      <c r="S205" s="131"/>
      <c r="T205" s="131"/>
      <c r="U205" s="6"/>
      <c r="V205" s="6"/>
      <c r="W205" s="6"/>
      <c r="X205" s="6"/>
      <c r="Y205" s="6"/>
      <c r="Z205" s="6"/>
      <c r="AA205" s="6"/>
      <c r="AB205" s="6"/>
    </row>
    <row r="206" ht="15.75" customHeight="1">
      <c r="A206" s="130"/>
      <c r="B206" s="2"/>
      <c r="C206" s="132"/>
      <c r="D206" s="132"/>
      <c r="E206" s="132"/>
      <c r="F206" s="132"/>
      <c r="G206" s="6"/>
      <c r="H206" s="6"/>
      <c r="I206" s="6"/>
      <c r="J206" s="188"/>
      <c r="K206" s="131"/>
      <c r="L206" s="131"/>
      <c r="M206" s="131"/>
      <c r="N206" s="131"/>
      <c r="O206" s="131"/>
      <c r="P206" s="131"/>
      <c r="Q206" s="131"/>
      <c r="R206" s="131"/>
      <c r="S206" s="131"/>
      <c r="T206" s="131"/>
      <c r="U206" s="6"/>
      <c r="V206" s="6"/>
      <c r="W206" s="6"/>
      <c r="X206" s="6"/>
      <c r="Y206" s="6"/>
      <c r="Z206" s="6"/>
      <c r="AA206" s="6"/>
      <c r="AB206" s="6"/>
    </row>
    <row r="207" ht="15.75" customHeight="1">
      <c r="A207" s="130"/>
      <c r="B207" s="2"/>
      <c r="C207" s="132"/>
      <c r="D207" s="132"/>
      <c r="E207" s="132"/>
      <c r="F207" s="132"/>
      <c r="G207" s="6"/>
      <c r="H207" s="6"/>
      <c r="I207" s="6"/>
      <c r="J207" s="188"/>
      <c r="K207" s="131"/>
      <c r="L207" s="131"/>
      <c r="M207" s="131"/>
      <c r="N207" s="131"/>
      <c r="O207" s="131"/>
      <c r="P207" s="131"/>
      <c r="Q207" s="131"/>
      <c r="R207" s="131"/>
      <c r="S207" s="131"/>
      <c r="T207" s="131"/>
      <c r="U207" s="6"/>
      <c r="V207" s="6"/>
      <c r="W207" s="6"/>
      <c r="X207" s="6"/>
      <c r="Y207" s="6"/>
      <c r="Z207" s="6"/>
      <c r="AA207" s="6"/>
      <c r="AB207" s="6"/>
    </row>
    <row r="208" ht="15.75" customHeight="1">
      <c r="A208" s="130"/>
      <c r="B208" s="2"/>
      <c r="C208" s="132"/>
      <c r="D208" s="132"/>
      <c r="E208" s="132"/>
      <c r="F208" s="132"/>
      <c r="G208" s="6"/>
      <c r="H208" s="6"/>
      <c r="I208" s="6"/>
      <c r="J208" s="188"/>
      <c r="K208" s="131"/>
      <c r="L208" s="131"/>
      <c r="M208" s="131"/>
      <c r="N208" s="131"/>
      <c r="O208" s="131"/>
      <c r="P208" s="131"/>
      <c r="Q208" s="131"/>
      <c r="R208" s="131"/>
      <c r="S208" s="131"/>
      <c r="T208" s="131"/>
      <c r="U208" s="6"/>
      <c r="V208" s="6"/>
      <c r="W208" s="6"/>
      <c r="X208" s="6"/>
      <c r="Y208" s="6"/>
      <c r="Z208" s="6"/>
      <c r="AA208" s="6"/>
      <c r="AB208" s="6"/>
    </row>
    <row r="209" ht="15.75" customHeight="1">
      <c r="A209" s="130"/>
      <c r="B209" s="2"/>
      <c r="C209" s="132"/>
      <c r="D209" s="132"/>
      <c r="E209" s="132"/>
      <c r="F209" s="132"/>
      <c r="G209" s="6"/>
      <c r="H209" s="6"/>
      <c r="I209" s="6"/>
      <c r="J209" s="188"/>
      <c r="K209" s="131"/>
      <c r="L209" s="131"/>
      <c r="M209" s="131"/>
      <c r="N209" s="131"/>
      <c r="O209" s="131"/>
      <c r="P209" s="131"/>
      <c r="Q209" s="131"/>
      <c r="R209" s="131"/>
      <c r="S209" s="131"/>
      <c r="T209" s="131"/>
      <c r="U209" s="6"/>
      <c r="V209" s="6"/>
      <c r="W209" s="6"/>
      <c r="X209" s="6"/>
      <c r="Y209" s="6"/>
      <c r="Z209" s="6"/>
      <c r="AA209" s="6"/>
      <c r="AB209" s="6"/>
    </row>
    <row r="210" ht="15.75" customHeight="1">
      <c r="A210" s="130"/>
      <c r="B210" s="2"/>
      <c r="C210" s="132"/>
      <c r="D210" s="132"/>
      <c r="E210" s="132"/>
      <c r="F210" s="132"/>
      <c r="G210" s="6"/>
      <c r="H210" s="6"/>
      <c r="I210" s="6"/>
      <c r="J210" s="188"/>
      <c r="K210" s="131"/>
      <c r="L210" s="131"/>
      <c r="M210" s="131"/>
      <c r="N210" s="131"/>
      <c r="O210" s="131"/>
      <c r="P210" s="131"/>
      <c r="Q210" s="131"/>
      <c r="R210" s="131"/>
      <c r="S210" s="131"/>
      <c r="T210" s="131"/>
      <c r="U210" s="6"/>
      <c r="V210" s="6"/>
      <c r="W210" s="6"/>
      <c r="X210" s="6"/>
      <c r="Y210" s="6"/>
      <c r="Z210" s="6"/>
      <c r="AA210" s="6"/>
      <c r="AB210" s="6"/>
    </row>
    <row r="211" ht="15.75" customHeight="1">
      <c r="A211" s="130"/>
      <c r="B211" s="2"/>
      <c r="C211" s="132"/>
      <c r="D211" s="132"/>
      <c r="E211" s="132"/>
      <c r="F211" s="132"/>
      <c r="G211" s="6"/>
      <c r="H211" s="6"/>
      <c r="I211" s="6"/>
      <c r="J211" s="188"/>
      <c r="K211" s="131"/>
      <c r="L211" s="131"/>
      <c r="M211" s="131"/>
      <c r="N211" s="131"/>
      <c r="O211" s="131"/>
      <c r="P211" s="131"/>
      <c r="Q211" s="131"/>
      <c r="R211" s="131"/>
      <c r="S211" s="131"/>
      <c r="T211" s="131"/>
      <c r="U211" s="6"/>
      <c r="V211" s="6"/>
      <c r="W211" s="6"/>
      <c r="X211" s="6"/>
      <c r="Y211" s="6"/>
      <c r="Z211" s="6"/>
      <c r="AA211" s="6"/>
      <c r="AB211" s="6"/>
    </row>
    <row r="212" ht="15.75" customHeight="1">
      <c r="A212" s="130"/>
      <c r="B212" s="2"/>
      <c r="C212" s="132"/>
      <c r="D212" s="132"/>
      <c r="E212" s="132"/>
      <c r="F212" s="132"/>
      <c r="G212" s="6"/>
      <c r="H212" s="6"/>
      <c r="I212" s="6"/>
      <c r="J212" s="188"/>
      <c r="K212" s="131"/>
      <c r="L212" s="131"/>
      <c r="M212" s="131"/>
      <c r="N212" s="131"/>
      <c r="O212" s="131"/>
      <c r="P212" s="131"/>
      <c r="Q212" s="131"/>
      <c r="R212" s="131"/>
      <c r="S212" s="131"/>
      <c r="T212" s="131"/>
      <c r="U212" s="6"/>
      <c r="V212" s="6"/>
      <c r="W212" s="6"/>
      <c r="X212" s="6"/>
      <c r="Y212" s="6"/>
      <c r="Z212" s="6"/>
      <c r="AA212" s="6"/>
      <c r="AB212" s="6"/>
    </row>
    <row r="213" ht="15.75" customHeight="1">
      <c r="A213" s="130"/>
      <c r="B213" s="2"/>
      <c r="C213" s="132"/>
      <c r="D213" s="132"/>
      <c r="E213" s="132"/>
      <c r="F213" s="132"/>
      <c r="G213" s="6"/>
      <c r="H213" s="6"/>
      <c r="I213" s="6"/>
      <c r="J213" s="188"/>
      <c r="K213" s="131"/>
      <c r="L213" s="131"/>
      <c r="M213" s="131"/>
      <c r="N213" s="131"/>
      <c r="O213" s="131"/>
      <c r="P213" s="131"/>
      <c r="Q213" s="131"/>
      <c r="R213" s="131"/>
      <c r="S213" s="131"/>
      <c r="T213" s="131"/>
      <c r="U213" s="6"/>
      <c r="V213" s="6"/>
      <c r="W213" s="6"/>
      <c r="X213" s="6"/>
      <c r="Y213" s="6"/>
      <c r="Z213" s="6"/>
      <c r="AA213" s="6"/>
      <c r="AB213" s="6"/>
    </row>
    <row r="214" ht="15.75" customHeight="1">
      <c r="A214" s="130"/>
      <c r="B214" s="2"/>
      <c r="C214" s="132"/>
      <c r="D214" s="132"/>
      <c r="E214" s="132"/>
      <c r="F214" s="132"/>
      <c r="G214" s="6"/>
      <c r="H214" s="6"/>
      <c r="I214" s="6"/>
      <c r="J214" s="188"/>
      <c r="K214" s="131"/>
      <c r="L214" s="131"/>
      <c r="M214" s="131"/>
      <c r="N214" s="131"/>
      <c r="O214" s="131"/>
      <c r="P214" s="131"/>
      <c r="Q214" s="131"/>
      <c r="R214" s="131"/>
      <c r="S214" s="131"/>
      <c r="T214" s="131"/>
      <c r="U214" s="6"/>
      <c r="V214" s="6"/>
      <c r="W214" s="6"/>
      <c r="X214" s="6"/>
      <c r="Y214" s="6"/>
      <c r="Z214" s="6"/>
      <c r="AA214" s="6"/>
      <c r="AB214" s="6"/>
    </row>
    <row r="215" ht="15.75" customHeight="1">
      <c r="A215" s="130"/>
      <c r="B215" s="2"/>
      <c r="C215" s="132"/>
      <c r="D215" s="132"/>
      <c r="E215" s="132"/>
      <c r="F215" s="132"/>
      <c r="G215" s="6"/>
      <c r="H215" s="6"/>
      <c r="I215" s="6"/>
      <c r="J215" s="188"/>
      <c r="K215" s="131"/>
      <c r="L215" s="131"/>
      <c r="M215" s="131"/>
      <c r="N215" s="131"/>
      <c r="O215" s="131"/>
      <c r="P215" s="131"/>
      <c r="Q215" s="131"/>
      <c r="R215" s="131"/>
      <c r="S215" s="131"/>
      <c r="T215" s="131"/>
      <c r="U215" s="6"/>
      <c r="V215" s="6"/>
      <c r="W215" s="6"/>
      <c r="X215" s="6"/>
      <c r="Y215" s="6"/>
      <c r="Z215" s="6"/>
      <c r="AA215" s="6"/>
      <c r="AB215" s="6"/>
    </row>
    <row r="216" ht="15.75" customHeight="1">
      <c r="A216" s="130"/>
      <c r="B216" s="2"/>
      <c r="C216" s="132"/>
      <c r="D216" s="132"/>
      <c r="E216" s="132"/>
      <c r="F216" s="132"/>
      <c r="G216" s="6"/>
      <c r="H216" s="6"/>
      <c r="I216" s="6"/>
      <c r="J216" s="188"/>
      <c r="K216" s="131"/>
      <c r="L216" s="131"/>
      <c r="M216" s="131"/>
      <c r="N216" s="131"/>
      <c r="O216" s="131"/>
      <c r="P216" s="131"/>
      <c r="Q216" s="131"/>
      <c r="R216" s="131"/>
      <c r="S216" s="131"/>
      <c r="T216" s="131"/>
      <c r="U216" s="6"/>
      <c r="V216" s="6"/>
      <c r="W216" s="6"/>
      <c r="X216" s="6"/>
      <c r="Y216" s="6"/>
      <c r="Z216" s="6"/>
      <c r="AA216" s="6"/>
      <c r="AB216" s="6"/>
    </row>
    <row r="217" ht="15.75" customHeight="1">
      <c r="A217" s="130"/>
      <c r="B217" s="2"/>
      <c r="C217" s="132"/>
      <c r="D217" s="132"/>
      <c r="E217" s="132"/>
      <c r="F217" s="132"/>
      <c r="G217" s="6"/>
      <c r="H217" s="6"/>
      <c r="I217" s="6"/>
      <c r="J217" s="188"/>
      <c r="K217" s="131"/>
      <c r="L217" s="131"/>
      <c r="M217" s="131"/>
      <c r="N217" s="131"/>
      <c r="O217" s="131"/>
      <c r="P217" s="131"/>
      <c r="Q217" s="131"/>
      <c r="R217" s="131"/>
      <c r="S217" s="131"/>
      <c r="T217" s="131"/>
      <c r="U217" s="6"/>
      <c r="V217" s="6"/>
      <c r="W217" s="6"/>
      <c r="X217" s="6"/>
      <c r="Y217" s="6"/>
      <c r="Z217" s="6"/>
      <c r="AA217" s="6"/>
      <c r="AB217" s="6"/>
    </row>
    <row r="218" ht="15.75" customHeight="1">
      <c r="A218" s="130"/>
      <c r="B218" s="2"/>
      <c r="C218" s="132"/>
      <c r="D218" s="132"/>
      <c r="E218" s="132"/>
      <c r="F218" s="132"/>
      <c r="G218" s="6"/>
      <c r="H218" s="6"/>
      <c r="I218" s="6"/>
      <c r="J218" s="188"/>
      <c r="K218" s="131"/>
      <c r="L218" s="131"/>
      <c r="M218" s="131"/>
      <c r="N218" s="131"/>
      <c r="O218" s="131"/>
      <c r="P218" s="131"/>
      <c r="Q218" s="131"/>
      <c r="R218" s="131"/>
      <c r="S218" s="131"/>
      <c r="T218" s="131"/>
      <c r="U218" s="6"/>
      <c r="V218" s="6"/>
      <c r="W218" s="6"/>
      <c r="X218" s="6"/>
      <c r="Y218" s="6"/>
      <c r="Z218" s="6"/>
      <c r="AA218" s="6"/>
      <c r="AB218" s="6"/>
    </row>
    <row r="219" ht="15.75" customHeight="1">
      <c r="A219" s="130"/>
      <c r="B219" s="2"/>
      <c r="C219" s="132"/>
      <c r="D219" s="132"/>
      <c r="E219" s="132"/>
      <c r="F219" s="132"/>
      <c r="G219" s="6"/>
      <c r="H219" s="6"/>
      <c r="I219" s="6"/>
      <c r="J219" s="188"/>
      <c r="K219" s="131"/>
      <c r="L219" s="131"/>
      <c r="M219" s="131"/>
      <c r="N219" s="131"/>
      <c r="O219" s="131"/>
      <c r="P219" s="131"/>
      <c r="Q219" s="131"/>
      <c r="R219" s="131"/>
      <c r="S219" s="131"/>
      <c r="T219" s="131"/>
      <c r="U219" s="6"/>
      <c r="V219" s="6"/>
      <c r="W219" s="6"/>
      <c r="X219" s="6"/>
      <c r="Y219" s="6"/>
      <c r="Z219" s="6"/>
      <c r="AA219" s="6"/>
      <c r="AB219" s="6"/>
    </row>
    <row r="220" ht="15.75" customHeight="1">
      <c r="A220" s="130"/>
      <c r="B220" s="2"/>
      <c r="C220" s="132"/>
      <c r="D220" s="132"/>
      <c r="E220" s="132"/>
      <c r="F220" s="132"/>
      <c r="G220" s="6"/>
      <c r="H220" s="6"/>
      <c r="I220" s="6"/>
      <c r="J220" s="188"/>
      <c r="K220" s="131"/>
      <c r="L220" s="131"/>
      <c r="M220" s="131"/>
      <c r="N220" s="131"/>
      <c r="O220" s="131"/>
      <c r="P220" s="131"/>
      <c r="Q220" s="131"/>
      <c r="R220" s="131"/>
      <c r="S220" s="131"/>
      <c r="T220" s="131"/>
      <c r="U220" s="6"/>
      <c r="V220" s="6"/>
      <c r="W220" s="6"/>
      <c r="X220" s="6"/>
      <c r="Y220" s="6"/>
      <c r="Z220" s="6"/>
      <c r="AA220" s="6"/>
      <c r="AB220" s="6"/>
    </row>
    <row r="221" ht="15.75" customHeight="1">
      <c r="A221" s="130"/>
      <c r="B221" s="2"/>
      <c r="C221" s="132"/>
      <c r="D221" s="132"/>
      <c r="E221" s="132"/>
      <c r="F221" s="132"/>
      <c r="G221" s="6"/>
      <c r="H221" s="6"/>
      <c r="I221" s="6"/>
      <c r="J221" s="188"/>
      <c r="K221" s="131"/>
      <c r="L221" s="131"/>
      <c r="M221" s="131"/>
      <c r="N221" s="131"/>
      <c r="O221" s="131"/>
      <c r="P221" s="131"/>
      <c r="Q221" s="131"/>
      <c r="R221" s="131"/>
      <c r="S221" s="131"/>
      <c r="T221" s="131"/>
      <c r="U221" s="6"/>
      <c r="V221" s="6"/>
      <c r="W221" s="6"/>
      <c r="X221" s="6"/>
      <c r="Y221" s="6"/>
      <c r="Z221" s="6"/>
      <c r="AA221" s="6"/>
      <c r="AB221" s="6"/>
    </row>
    <row r="222" ht="15.75" customHeight="1">
      <c r="A222" s="130"/>
      <c r="B222" s="2"/>
      <c r="C222" s="132"/>
      <c r="D222" s="132"/>
      <c r="E222" s="132"/>
      <c r="F222" s="132"/>
      <c r="G222" s="6"/>
      <c r="H222" s="6"/>
      <c r="I222" s="6"/>
      <c r="J222" s="188"/>
      <c r="K222" s="131"/>
      <c r="L222" s="131"/>
      <c r="M222" s="131"/>
      <c r="N222" s="131"/>
      <c r="O222" s="131"/>
      <c r="P222" s="131"/>
      <c r="Q222" s="131"/>
      <c r="R222" s="131"/>
      <c r="S222" s="131"/>
      <c r="T222" s="131"/>
      <c r="U222" s="6"/>
      <c r="V222" s="6"/>
      <c r="W222" s="6"/>
      <c r="X222" s="6"/>
      <c r="Y222" s="6"/>
      <c r="Z222" s="6"/>
      <c r="AA222" s="6"/>
      <c r="AB222" s="6"/>
    </row>
    <row r="223" ht="15.75" customHeight="1">
      <c r="A223" s="130"/>
      <c r="B223" s="2"/>
      <c r="C223" s="132"/>
      <c r="D223" s="132"/>
      <c r="E223" s="132"/>
      <c r="F223" s="132"/>
      <c r="G223" s="6"/>
      <c r="H223" s="6"/>
      <c r="I223" s="6"/>
      <c r="J223" s="188"/>
      <c r="K223" s="131"/>
      <c r="L223" s="131"/>
      <c r="M223" s="131"/>
      <c r="N223" s="131"/>
      <c r="O223" s="131"/>
      <c r="P223" s="131"/>
      <c r="Q223" s="131"/>
      <c r="R223" s="131"/>
      <c r="S223" s="131"/>
      <c r="T223" s="131"/>
      <c r="U223" s="6"/>
      <c r="V223" s="6"/>
      <c r="W223" s="6"/>
      <c r="X223" s="6"/>
      <c r="Y223" s="6"/>
      <c r="Z223" s="6"/>
      <c r="AA223" s="6"/>
      <c r="AB223" s="6"/>
    </row>
    <row r="224" ht="15.75" customHeight="1">
      <c r="A224" s="130"/>
      <c r="B224" s="2"/>
      <c r="C224" s="132"/>
      <c r="D224" s="132"/>
      <c r="E224" s="132"/>
      <c r="F224" s="132"/>
      <c r="G224" s="6"/>
      <c r="H224" s="6"/>
      <c r="I224" s="6"/>
      <c r="J224" s="188"/>
      <c r="K224" s="131"/>
      <c r="L224" s="131"/>
      <c r="M224" s="131"/>
      <c r="N224" s="131"/>
      <c r="O224" s="131"/>
      <c r="P224" s="131"/>
      <c r="Q224" s="131"/>
      <c r="R224" s="131"/>
      <c r="S224" s="131"/>
      <c r="T224" s="131"/>
      <c r="U224" s="6"/>
      <c r="V224" s="6"/>
      <c r="W224" s="6"/>
      <c r="X224" s="6"/>
      <c r="Y224" s="6"/>
      <c r="Z224" s="6"/>
      <c r="AA224" s="6"/>
      <c r="AB224" s="6"/>
    </row>
    <row r="225" ht="15.75" customHeight="1">
      <c r="A225" s="130"/>
      <c r="B225" s="2"/>
      <c r="C225" s="132"/>
      <c r="D225" s="132"/>
      <c r="E225" s="132"/>
      <c r="F225" s="132"/>
      <c r="G225" s="6"/>
      <c r="H225" s="6"/>
      <c r="I225" s="6"/>
      <c r="J225" s="188"/>
      <c r="K225" s="131"/>
      <c r="L225" s="131"/>
      <c r="M225" s="131"/>
      <c r="N225" s="131"/>
      <c r="O225" s="131"/>
      <c r="P225" s="131"/>
      <c r="Q225" s="131"/>
      <c r="R225" s="131"/>
      <c r="S225" s="131"/>
      <c r="T225" s="131"/>
      <c r="U225" s="6"/>
      <c r="V225" s="6"/>
      <c r="W225" s="6"/>
      <c r="X225" s="6"/>
      <c r="Y225" s="6"/>
      <c r="Z225" s="6"/>
      <c r="AA225" s="6"/>
      <c r="AB225" s="6"/>
    </row>
    <row r="226" ht="15.75" customHeight="1">
      <c r="A226" s="130"/>
      <c r="B226" s="2"/>
      <c r="C226" s="132"/>
      <c r="D226" s="132"/>
      <c r="E226" s="132"/>
      <c r="F226" s="132"/>
      <c r="G226" s="6"/>
      <c r="H226" s="6"/>
      <c r="I226" s="6"/>
      <c r="J226" s="188"/>
      <c r="K226" s="131"/>
      <c r="L226" s="131"/>
      <c r="M226" s="131"/>
      <c r="N226" s="131"/>
      <c r="O226" s="131"/>
      <c r="P226" s="131"/>
      <c r="Q226" s="131"/>
      <c r="R226" s="131"/>
      <c r="S226" s="131"/>
      <c r="T226" s="131"/>
      <c r="U226" s="6"/>
      <c r="V226" s="6"/>
      <c r="W226" s="6"/>
      <c r="X226" s="6"/>
      <c r="Y226" s="6"/>
      <c r="Z226" s="6"/>
      <c r="AA226" s="6"/>
      <c r="AB226" s="6"/>
    </row>
    <row r="227" ht="15.75" customHeight="1">
      <c r="A227" s="130"/>
      <c r="B227" s="2"/>
      <c r="C227" s="132"/>
      <c r="D227" s="132"/>
      <c r="E227" s="132"/>
      <c r="F227" s="132"/>
      <c r="G227" s="6"/>
      <c r="H227" s="6"/>
      <c r="I227" s="6"/>
      <c r="J227" s="188"/>
      <c r="K227" s="131"/>
      <c r="L227" s="131"/>
      <c r="M227" s="131"/>
      <c r="N227" s="131"/>
      <c r="O227" s="131"/>
      <c r="P227" s="131"/>
      <c r="Q227" s="131"/>
      <c r="R227" s="131"/>
      <c r="S227" s="131"/>
      <c r="T227" s="131"/>
      <c r="U227" s="6"/>
      <c r="V227" s="6"/>
      <c r="W227" s="6"/>
      <c r="X227" s="6"/>
      <c r="Y227" s="6"/>
      <c r="Z227" s="6"/>
      <c r="AA227" s="6"/>
      <c r="AB227" s="6"/>
    </row>
    <row r="228" ht="15.75" customHeight="1">
      <c r="A228" s="130"/>
      <c r="B228" s="2"/>
      <c r="C228" s="132"/>
      <c r="D228" s="132"/>
      <c r="E228" s="132"/>
      <c r="F228" s="132"/>
      <c r="G228" s="6"/>
      <c r="H228" s="6"/>
      <c r="I228" s="6"/>
      <c r="J228" s="188"/>
      <c r="K228" s="131"/>
      <c r="L228" s="131"/>
      <c r="M228" s="131"/>
      <c r="N228" s="131"/>
      <c r="O228" s="131"/>
      <c r="P228" s="131"/>
      <c r="Q228" s="131"/>
      <c r="R228" s="131"/>
      <c r="S228" s="131"/>
      <c r="T228" s="131"/>
      <c r="U228" s="6"/>
      <c r="V228" s="6"/>
      <c r="W228" s="6"/>
      <c r="X228" s="6"/>
      <c r="Y228" s="6"/>
      <c r="Z228" s="6"/>
      <c r="AA228" s="6"/>
      <c r="AB228" s="6"/>
    </row>
    <row r="229" ht="15.75" customHeight="1">
      <c r="A229" s="130"/>
      <c r="B229" s="2"/>
      <c r="C229" s="132"/>
      <c r="D229" s="132"/>
      <c r="E229" s="132"/>
      <c r="F229" s="132"/>
      <c r="G229" s="6"/>
      <c r="H229" s="6"/>
      <c r="I229" s="6"/>
      <c r="J229" s="188"/>
      <c r="K229" s="131"/>
      <c r="L229" s="131"/>
      <c r="M229" s="131"/>
      <c r="N229" s="131"/>
      <c r="O229" s="131"/>
      <c r="P229" s="131"/>
      <c r="Q229" s="131"/>
      <c r="R229" s="131"/>
      <c r="S229" s="131"/>
      <c r="T229" s="131"/>
      <c r="U229" s="6"/>
      <c r="V229" s="6"/>
      <c r="W229" s="6"/>
      <c r="X229" s="6"/>
      <c r="Y229" s="6"/>
      <c r="Z229" s="6"/>
      <c r="AA229" s="6"/>
      <c r="AB229" s="6"/>
    </row>
    <row r="230" ht="15.75" customHeight="1">
      <c r="A230" s="130"/>
      <c r="B230" s="2"/>
      <c r="C230" s="132"/>
      <c r="D230" s="132"/>
      <c r="E230" s="132"/>
      <c r="F230" s="132"/>
      <c r="G230" s="6"/>
      <c r="H230" s="6"/>
      <c r="I230" s="6"/>
      <c r="J230" s="188"/>
      <c r="K230" s="131"/>
      <c r="L230" s="131"/>
      <c r="M230" s="131"/>
      <c r="N230" s="131"/>
      <c r="O230" s="131"/>
      <c r="P230" s="131"/>
      <c r="Q230" s="131"/>
      <c r="R230" s="131"/>
      <c r="S230" s="131"/>
      <c r="T230" s="131"/>
      <c r="U230" s="6"/>
      <c r="V230" s="6"/>
      <c r="W230" s="6"/>
      <c r="X230" s="6"/>
      <c r="Y230" s="6"/>
      <c r="Z230" s="6"/>
      <c r="AA230" s="6"/>
      <c r="AB230" s="6"/>
    </row>
    <row r="231" ht="15.75" customHeight="1">
      <c r="A231" s="130"/>
      <c r="B231" s="2"/>
      <c r="C231" s="132"/>
      <c r="D231" s="132"/>
      <c r="E231" s="132"/>
      <c r="F231" s="132"/>
      <c r="G231" s="6"/>
      <c r="H231" s="6"/>
      <c r="I231" s="6"/>
      <c r="J231" s="188"/>
      <c r="K231" s="131"/>
      <c r="L231" s="131"/>
      <c r="M231" s="131"/>
      <c r="N231" s="131"/>
      <c r="O231" s="131"/>
      <c r="P231" s="131"/>
      <c r="Q231" s="131"/>
      <c r="R231" s="131"/>
      <c r="S231" s="131"/>
      <c r="T231" s="131"/>
      <c r="U231" s="6"/>
      <c r="V231" s="6"/>
      <c r="W231" s="6"/>
      <c r="X231" s="6"/>
      <c r="Y231" s="6"/>
      <c r="Z231" s="6"/>
      <c r="AA231" s="6"/>
      <c r="AB231" s="6"/>
    </row>
    <row r="232" ht="15.75" customHeight="1">
      <c r="A232" s="130"/>
      <c r="B232" s="2"/>
      <c r="C232" s="132"/>
      <c r="D232" s="132"/>
      <c r="E232" s="132"/>
      <c r="F232" s="132"/>
      <c r="G232" s="6"/>
      <c r="H232" s="6"/>
      <c r="I232" s="6"/>
      <c r="J232" s="188"/>
      <c r="K232" s="131"/>
      <c r="L232" s="131"/>
      <c r="M232" s="131"/>
      <c r="N232" s="131"/>
      <c r="O232" s="131"/>
      <c r="P232" s="131"/>
      <c r="Q232" s="131"/>
      <c r="R232" s="131"/>
      <c r="S232" s="131"/>
      <c r="T232" s="131"/>
      <c r="U232" s="6"/>
      <c r="V232" s="6"/>
      <c r="W232" s="6"/>
      <c r="X232" s="6"/>
      <c r="Y232" s="6"/>
      <c r="Z232" s="6"/>
      <c r="AA232" s="6"/>
      <c r="AB232" s="6"/>
    </row>
    <row r="233" ht="15.75" customHeight="1">
      <c r="A233" s="130"/>
      <c r="B233" s="2"/>
      <c r="C233" s="132"/>
      <c r="D233" s="132"/>
      <c r="E233" s="132"/>
      <c r="F233" s="132"/>
      <c r="G233" s="6"/>
      <c r="H233" s="6"/>
      <c r="I233" s="6"/>
      <c r="J233" s="188"/>
      <c r="K233" s="131"/>
      <c r="L233" s="131"/>
      <c r="M233" s="131"/>
      <c r="N233" s="131"/>
      <c r="O233" s="131"/>
      <c r="P233" s="131"/>
      <c r="Q233" s="131"/>
      <c r="R233" s="131"/>
      <c r="S233" s="131"/>
      <c r="T233" s="131"/>
      <c r="U233" s="6"/>
      <c r="V233" s="6"/>
      <c r="W233" s="6"/>
      <c r="X233" s="6"/>
      <c r="Y233" s="6"/>
      <c r="Z233" s="6"/>
      <c r="AA233" s="6"/>
      <c r="AB233" s="6"/>
    </row>
    <row r="234" ht="15.75" customHeight="1">
      <c r="A234" s="130"/>
      <c r="B234" s="2"/>
      <c r="C234" s="132"/>
      <c r="D234" s="132"/>
      <c r="E234" s="132"/>
      <c r="F234" s="132"/>
      <c r="G234" s="6"/>
      <c r="H234" s="6"/>
      <c r="I234" s="6"/>
      <c r="J234" s="188"/>
      <c r="K234" s="131"/>
      <c r="L234" s="131"/>
      <c r="M234" s="131"/>
      <c r="N234" s="131"/>
      <c r="O234" s="131"/>
      <c r="P234" s="131"/>
      <c r="Q234" s="131"/>
      <c r="R234" s="131"/>
      <c r="S234" s="131"/>
      <c r="T234" s="131"/>
      <c r="U234" s="6"/>
      <c r="V234" s="6"/>
      <c r="W234" s="6"/>
      <c r="X234" s="6"/>
      <c r="Y234" s="6"/>
      <c r="Z234" s="6"/>
      <c r="AA234" s="6"/>
      <c r="AB234" s="6"/>
    </row>
    <row r="235" ht="15.75" customHeight="1">
      <c r="A235" s="130"/>
      <c r="B235" s="2"/>
      <c r="C235" s="132"/>
      <c r="D235" s="132"/>
      <c r="E235" s="132"/>
      <c r="F235" s="132"/>
      <c r="G235" s="6"/>
      <c r="H235" s="6"/>
      <c r="I235" s="6"/>
      <c r="J235" s="188"/>
      <c r="K235" s="131"/>
      <c r="L235" s="131"/>
      <c r="M235" s="131"/>
      <c r="N235" s="131"/>
      <c r="O235" s="131"/>
      <c r="P235" s="131"/>
      <c r="Q235" s="131"/>
      <c r="R235" s="131"/>
      <c r="S235" s="131"/>
      <c r="T235" s="131"/>
      <c r="U235" s="6"/>
      <c r="V235" s="6"/>
      <c r="W235" s="6"/>
      <c r="X235" s="6"/>
      <c r="Y235" s="6"/>
      <c r="Z235" s="6"/>
      <c r="AA235" s="6"/>
      <c r="AB235" s="6"/>
    </row>
    <row r="236" ht="15.75" customHeight="1">
      <c r="A236" s="130"/>
      <c r="B236" s="2"/>
      <c r="C236" s="132"/>
      <c r="D236" s="132"/>
      <c r="E236" s="132"/>
      <c r="F236" s="132"/>
      <c r="G236" s="6"/>
      <c r="H236" s="6"/>
      <c r="I236" s="6"/>
      <c r="J236" s="188"/>
      <c r="K236" s="131"/>
      <c r="L236" s="131"/>
      <c r="M236" s="131"/>
      <c r="N236" s="131"/>
      <c r="O236" s="131"/>
      <c r="P236" s="131"/>
      <c r="Q236" s="131"/>
      <c r="R236" s="131"/>
      <c r="S236" s="131"/>
      <c r="T236" s="131"/>
      <c r="U236" s="6"/>
      <c r="V236" s="6"/>
      <c r="W236" s="6"/>
      <c r="X236" s="6"/>
      <c r="Y236" s="6"/>
      <c r="Z236" s="6"/>
      <c r="AA236" s="6"/>
      <c r="AB236" s="6"/>
    </row>
    <row r="237" ht="15.75" customHeight="1">
      <c r="A237" s="130"/>
      <c r="B237" s="2"/>
      <c r="C237" s="132"/>
      <c r="D237" s="132"/>
      <c r="E237" s="132"/>
      <c r="F237" s="132"/>
      <c r="G237" s="6"/>
      <c r="H237" s="6"/>
      <c r="I237" s="6"/>
      <c r="J237" s="188"/>
      <c r="K237" s="131"/>
      <c r="L237" s="131"/>
      <c r="M237" s="131"/>
      <c r="N237" s="131"/>
      <c r="O237" s="131"/>
      <c r="P237" s="131"/>
      <c r="Q237" s="131"/>
      <c r="R237" s="131"/>
      <c r="S237" s="131"/>
      <c r="T237" s="131"/>
      <c r="U237" s="6"/>
      <c r="V237" s="6"/>
      <c r="W237" s="6"/>
      <c r="X237" s="6"/>
      <c r="Y237" s="6"/>
      <c r="Z237" s="6"/>
      <c r="AA237" s="6"/>
      <c r="AB237" s="6"/>
    </row>
    <row r="238" ht="15.75" customHeight="1">
      <c r="A238" s="130"/>
      <c r="B238" s="2"/>
      <c r="C238" s="132"/>
      <c r="D238" s="132"/>
      <c r="E238" s="132"/>
      <c r="F238" s="132"/>
      <c r="G238" s="6"/>
      <c r="H238" s="6"/>
      <c r="I238" s="6"/>
      <c r="J238" s="188"/>
      <c r="K238" s="131"/>
      <c r="L238" s="131"/>
      <c r="M238" s="131"/>
      <c r="N238" s="131"/>
      <c r="O238" s="131"/>
      <c r="P238" s="131"/>
      <c r="Q238" s="131"/>
      <c r="R238" s="131"/>
      <c r="S238" s="131"/>
      <c r="T238" s="131"/>
      <c r="U238" s="6"/>
      <c r="V238" s="6"/>
      <c r="W238" s="6"/>
      <c r="X238" s="6"/>
      <c r="Y238" s="6"/>
      <c r="Z238" s="6"/>
      <c r="AA238" s="6"/>
      <c r="AB238" s="6"/>
    </row>
    <row r="239" ht="15.75" customHeight="1">
      <c r="A239" s="130"/>
      <c r="B239" s="2"/>
      <c r="C239" s="132"/>
      <c r="D239" s="132"/>
      <c r="E239" s="132"/>
      <c r="F239" s="132"/>
      <c r="G239" s="6"/>
      <c r="H239" s="6"/>
      <c r="I239" s="6"/>
      <c r="J239" s="188"/>
      <c r="K239" s="131"/>
      <c r="L239" s="131"/>
      <c r="M239" s="131"/>
      <c r="N239" s="131"/>
      <c r="O239" s="131"/>
      <c r="P239" s="131"/>
      <c r="Q239" s="131"/>
      <c r="R239" s="131"/>
      <c r="S239" s="131"/>
      <c r="T239" s="131"/>
      <c r="U239" s="6"/>
      <c r="V239" s="6"/>
      <c r="W239" s="6"/>
      <c r="X239" s="6"/>
      <c r="Y239" s="6"/>
      <c r="Z239" s="6"/>
      <c r="AA239" s="6"/>
      <c r="AB239" s="6"/>
    </row>
    <row r="240" ht="15.75" customHeight="1">
      <c r="A240" s="130"/>
      <c r="B240" s="2"/>
      <c r="C240" s="132"/>
      <c r="D240" s="132"/>
      <c r="E240" s="132"/>
      <c r="F240" s="132"/>
      <c r="G240" s="6"/>
      <c r="H240" s="6"/>
      <c r="I240" s="6"/>
      <c r="J240" s="188"/>
      <c r="K240" s="131"/>
      <c r="L240" s="131"/>
      <c r="M240" s="131"/>
      <c r="N240" s="131"/>
      <c r="O240" s="131"/>
      <c r="P240" s="131"/>
      <c r="Q240" s="131"/>
      <c r="R240" s="131"/>
      <c r="S240" s="131"/>
      <c r="T240" s="131"/>
      <c r="U240" s="6"/>
      <c r="V240" s="6"/>
      <c r="W240" s="6"/>
      <c r="X240" s="6"/>
      <c r="Y240" s="6"/>
      <c r="Z240" s="6"/>
      <c r="AA240" s="6"/>
      <c r="AB240" s="6"/>
    </row>
    <row r="241" ht="15.75" customHeight="1">
      <c r="A241" s="130"/>
      <c r="B241" s="2"/>
      <c r="C241" s="132"/>
      <c r="D241" s="132"/>
      <c r="E241" s="132"/>
      <c r="F241" s="132"/>
      <c r="G241" s="6"/>
      <c r="H241" s="6"/>
      <c r="I241" s="6"/>
      <c r="J241" s="188"/>
      <c r="K241" s="131"/>
      <c r="L241" s="131"/>
      <c r="M241" s="131"/>
      <c r="N241" s="131"/>
      <c r="O241" s="131"/>
      <c r="P241" s="131"/>
      <c r="Q241" s="131"/>
      <c r="R241" s="131"/>
      <c r="S241" s="131"/>
      <c r="T241" s="131"/>
      <c r="U241" s="6"/>
      <c r="V241" s="6"/>
      <c r="W241" s="6"/>
      <c r="X241" s="6"/>
      <c r="Y241" s="6"/>
      <c r="Z241" s="6"/>
      <c r="AA241" s="6"/>
      <c r="AB241" s="6"/>
    </row>
    <row r="242" ht="15.75" customHeight="1">
      <c r="A242" s="130"/>
      <c r="B242" s="2"/>
      <c r="C242" s="132"/>
      <c r="D242" s="132"/>
      <c r="E242" s="132"/>
      <c r="F242" s="132"/>
      <c r="G242" s="6"/>
      <c r="H242" s="6"/>
      <c r="I242" s="6"/>
      <c r="J242" s="188"/>
      <c r="K242" s="131"/>
      <c r="L242" s="131"/>
      <c r="M242" s="131"/>
      <c r="N242" s="131"/>
      <c r="O242" s="131"/>
      <c r="P242" s="131"/>
      <c r="Q242" s="131"/>
      <c r="R242" s="131"/>
      <c r="S242" s="131"/>
      <c r="T242" s="131"/>
      <c r="U242" s="6"/>
      <c r="V242" s="6"/>
      <c r="W242" s="6"/>
      <c r="X242" s="6"/>
      <c r="Y242" s="6"/>
      <c r="Z242" s="6"/>
      <c r="AA242" s="6"/>
      <c r="AB242" s="6"/>
    </row>
    <row r="243" ht="15.75" customHeight="1">
      <c r="A243" s="130"/>
      <c r="B243" s="2"/>
      <c r="C243" s="132"/>
      <c r="D243" s="132"/>
      <c r="E243" s="132"/>
      <c r="F243" s="132"/>
      <c r="G243" s="6"/>
      <c r="H243" s="6"/>
      <c r="I243" s="6"/>
      <c r="J243" s="188"/>
      <c r="K243" s="131"/>
      <c r="L243" s="131"/>
      <c r="M243" s="131"/>
      <c r="N243" s="131"/>
      <c r="O243" s="131"/>
      <c r="P243" s="131"/>
      <c r="Q243" s="131"/>
      <c r="R243" s="131"/>
      <c r="S243" s="131"/>
      <c r="T243" s="131"/>
      <c r="U243" s="6"/>
      <c r="V243" s="6"/>
      <c r="W243" s="6"/>
      <c r="X243" s="6"/>
      <c r="Y243" s="6"/>
      <c r="Z243" s="6"/>
      <c r="AA243" s="6"/>
      <c r="AB243" s="6"/>
    </row>
    <row r="244" ht="15.75" customHeight="1">
      <c r="A244" s="130"/>
      <c r="B244" s="2"/>
      <c r="C244" s="132"/>
      <c r="D244" s="132"/>
      <c r="E244" s="132"/>
      <c r="F244" s="132"/>
      <c r="G244" s="6"/>
      <c r="H244" s="6"/>
      <c r="I244" s="6"/>
      <c r="J244" s="188"/>
      <c r="K244" s="131"/>
      <c r="L244" s="131"/>
      <c r="M244" s="131"/>
      <c r="N244" s="131"/>
      <c r="O244" s="131"/>
      <c r="P244" s="131"/>
      <c r="Q244" s="131"/>
      <c r="R244" s="131"/>
      <c r="S244" s="131"/>
      <c r="T244" s="131"/>
      <c r="U244" s="6"/>
      <c r="V244" s="6"/>
      <c r="W244" s="6"/>
      <c r="X244" s="6"/>
      <c r="Y244" s="6"/>
      <c r="Z244" s="6"/>
      <c r="AA244" s="6"/>
      <c r="AB244" s="6"/>
    </row>
    <row r="245" ht="15.75" customHeight="1">
      <c r="A245" s="130"/>
      <c r="B245" s="2"/>
      <c r="C245" s="132"/>
      <c r="D245" s="132"/>
      <c r="E245" s="132"/>
      <c r="F245" s="132"/>
      <c r="G245" s="6"/>
      <c r="H245" s="6"/>
      <c r="I245" s="6"/>
      <c r="J245" s="188"/>
      <c r="K245" s="131"/>
      <c r="L245" s="131"/>
      <c r="M245" s="131"/>
      <c r="N245" s="131"/>
      <c r="O245" s="131"/>
      <c r="P245" s="131"/>
      <c r="Q245" s="131"/>
      <c r="R245" s="131"/>
      <c r="S245" s="131"/>
      <c r="T245" s="131"/>
      <c r="U245" s="6"/>
      <c r="V245" s="6"/>
      <c r="W245" s="6"/>
      <c r="X245" s="6"/>
      <c r="Y245" s="6"/>
      <c r="Z245" s="6"/>
      <c r="AA245" s="6"/>
      <c r="AB245" s="6"/>
    </row>
    <row r="246" ht="15.75" customHeight="1">
      <c r="A246" s="130"/>
      <c r="B246" s="2"/>
      <c r="C246" s="132"/>
      <c r="D246" s="132"/>
      <c r="E246" s="132"/>
      <c r="F246" s="132"/>
      <c r="G246" s="6"/>
      <c r="H246" s="6"/>
      <c r="I246" s="6"/>
      <c r="J246" s="188"/>
      <c r="K246" s="131"/>
      <c r="L246" s="131"/>
      <c r="M246" s="131"/>
      <c r="N246" s="131"/>
      <c r="O246" s="131"/>
      <c r="P246" s="131"/>
      <c r="Q246" s="131"/>
      <c r="R246" s="131"/>
      <c r="S246" s="131"/>
      <c r="T246" s="131"/>
      <c r="U246" s="6"/>
      <c r="V246" s="6"/>
      <c r="W246" s="6"/>
      <c r="X246" s="6"/>
      <c r="Y246" s="6"/>
      <c r="Z246" s="6"/>
      <c r="AA246" s="6"/>
      <c r="AB246" s="6"/>
    </row>
    <row r="247" ht="15.75" customHeight="1">
      <c r="A247" s="130"/>
      <c r="B247" s="2"/>
      <c r="C247" s="132"/>
      <c r="D247" s="132"/>
      <c r="E247" s="132"/>
      <c r="F247" s="132"/>
      <c r="G247" s="6"/>
      <c r="H247" s="6"/>
      <c r="I247" s="6"/>
      <c r="J247" s="188"/>
      <c r="K247" s="131"/>
      <c r="L247" s="131"/>
      <c r="M247" s="131"/>
      <c r="N247" s="131"/>
      <c r="O247" s="131"/>
      <c r="P247" s="131"/>
      <c r="Q247" s="131"/>
      <c r="R247" s="131"/>
      <c r="S247" s="131"/>
      <c r="T247" s="131"/>
      <c r="U247" s="6"/>
      <c r="V247" s="6"/>
      <c r="W247" s="6"/>
      <c r="X247" s="6"/>
      <c r="Y247" s="6"/>
      <c r="Z247" s="6"/>
      <c r="AA247" s="6"/>
      <c r="AB247" s="6"/>
    </row>
    <row r="248" ht="15.75" customHeight="1">
      <c r="A248" s="130"/>
      <c r="B248" s="2"/>
      <c r="C248" s="132"/>
      <c r="D248" s="132"/>
      <c r="E248" s="132"/>
      <c r="F248" s="132"/>
      <c r="G248" s="6"/>
      <c r="H248" s="6"/>
      <c r="I248" s="6"/>
      <c r="J248" s="188"/>
      <c r="K248" s="131"/>
      <c r="L248" s="131"/>
      <c r="M248" s="131"/>
      <c r="N248" s="131"/>
      <c r="O248" s="131"/>
      <c r="P248" s="131"/>
      <c r="Q248" s="131"/>
      <c r="R248" s="131"/>
      <c r="S248" s="131"/>
      <c r="T248" s="131"/>
      <c r="U248" s="6"/>
      <c r="V248" s="6"/>
      <c r="W248" s="6"/>
      <c r="X248" s="6"/>
      <c r="Y248" s="6"/>
      <c r="Z248" s="6"/>
      <c r="AA248" s="6"/>
      <c r="AB248" s="6"/>
    </row>
    <row r="249" ht="15.75" customHeight="1">
      <c r="A249" s="130"/>
      <c r="B249" s="2"/>
      <c r="C249" s="132"/>
      <c r="D249" s="132"/>
      <c r="E249" s="132"/>
      <c r="F249" s="132"/>
      <c r="G249" s="6"/>
      <c r="H249" s="6"/>
      <c r="I249" s="6"/>
      <c r="J249" s="188"/>
      <c r="K249" s="131"/>
      <c r="L249" s="131"/>
      <c r="M249" s="131"/>
      <c r="N249" s="131"/>
      <c r="O249" s="131"/>
      <c r="P249" s="131"/>
      <c r="Q249" s="131"/>
      <c r="R249" s="131"/>
      <c r="S249" s="131"/>
      <c r="T249" s="131"/>
      <c r="U249" s="6"/>
      <c r="V249" s="6"/>
      <c r="W249" s="6"/>
      <c r="X249" s="6"/>
      <c r="Y249" s="6"/>
      <c r="Z249" s="6"/>
      <c r="AA249" s="6"/>
      <c r="AB249" s="6"/>
    </row>
    <row r="250" ht="15.75" customHeight="1">
      <c r="A250" s="130"/>
      <c r="B250" s="2"/>
      <c r="C250" s="132"/>
      <c r="D250" s="132"/>
      <c r="E250" s="132"/>
      <c r="F250" s="132"/>
      <c r="G250" s="6"/>
      <c r="H250" s="6"/>
      <c r="I250" s="6"/>
      <c r="J250" s="188"/>
      <c r="K250" s="131"/>
      <c r="L250" s="131"/>
      <c r="M250" s="131"/>
      <c r="N250" s="131"/>
      <c r="O250" s="131"/>
      <c r="P250" s="131"/>
      <c r="Q250" s="131"/>
      <c r="R250" s="131"/>
      <c r="S250" s="131"/>
      <c r="T250" s="131"/>
      <c r="U250" s="6"/>
      <c r="V250" s="6"/>
      <c r="W250" s="6"/>
      <c r="X250" s="6"/>
      <c r="Y250" s="6"/>
      <c r="Z250" s="6"/>
      <c r="AA250" s="6"/>
      <c r="AB250" s="6"/>
    </row>
    <row r="251" ht="15.75" customHeight="1">
      <c r="A251" s="130"/>
      <c r="B251" s="2"/>
      <c r="C251" s="132"/>
      <c r="D251" s="132"/>
      <c r="E251" s="132"/>
      <c r="F251" s="132"/>
      <c r="G251" s="6"/>
      <c r="H251" s="6"/>
      <c r="I251" s="6"/>
      <c r="J251" s="188"/>
      <c r="K251" s="131"/>
      <c r="L251" s="131"/>
      <c r="M251" s="131"/>
      <c r="N251" s="131"/>
      <c r="O251" s="131"/>
      <c r="P251" s="131"/>
      <c r="Q251" s="131"/>
      <c r="R251" s="131"/>
      <c r="S251" s="131"/>
      <c r="T251" s="131"/>
      <c r="U251" s="6"/>
      <c r="V251" s="6"/>
      <c r="W251" s="6"/>
      <c r="X251" s="6"/>
      <c r="Y251" s="6"/>
      <c r="Z251" s="6"/>
      <c r="AA251" s="6"/>
      <c r="AB251" s="6"/>
    </row>
    <row r="252" ht="15.75" customHeight="1">
      <c r="A252" s="130"/>
      <c r="B252" s="2"/>
      <c r="C252" s="132"/>
      <c r="D252" s="132"/>
      <c r="E252" s="132"/>
      <c r="F252" s="132"/>
      <c r="G252" s="6"/>
      <c r="H252" s="6"/>
      <c r="I252" s="6"/>
      <c r="J252" s="188"/>
      <c r="K252" s="131"/>
      <c r="L252" s="131"/>
      <c r="M252" s="131"/>
      <c r="N252" s="131"/>
      <c r="O252" s="131"/>
      <c r="P252" s="131"/>
      <c r="Q252" s="131"/>
      <c r="R252" s="131"/>
      <c r="S252" s="131"/>
      <c r="T252" s="131"/>
      <c r="U252" s="6"/>
      <c r="V252" s="6"/>
      <c r="W252" s="6"/>
      <c r="X252" s="6"/>
      <c r="Y252" s="6"/>
      <c r="Z252" s="6"/>
      <c r="AA252" s="6"/>
      <c r="AB252" s="6"/>
    </row>
    <row r="253" ht="15.75" customHeight="1">
      <c r="A253" s="130"/>
      <c r="B253" s="2"/>
      <c r="C253" s="132"/>
      <c r="D253" s="132"/>
      <c r="E253" s="132"/>
      <c r="F253" s="132"/>
      <c r="G253" s="6"/>
      <c r="H253" s="6"/>
      <c r="I253" s="6"/>
      <c r="J253" s="188"/>
      <c r="K253" s="131"/>
      <c r="L253" s="131"/>
      <c r="M253" s="131"/>
      <c r="N253" s="131"/>
      <c r="O253" s="131"/>
      <c r="P253" s="131"/>
      <c r="Q253" s="131"/>
      <c r="R253" s="131"/>
      <c r="S253" s="131"/>
      <c r="T253" s="131"/>
      <c r="U253" s="6"/>
      <c r="V253" s="6"/>
      <c r="W253" s="6"/>
      <c r="X253" s="6"/>
      <c r="Y253" s="6"/>
      <c r="Z253" s="6"/>
      <c r="AA253" s="6"/>
      <c r="AB253" s="6"/>
    </row>
    <row r="254" ht="15.75" customHeight="1">
      <c r="A254" s="130"/>
      <c r="B254" s="2"/>
      <c r="C254" s="132"/>
      <c r="D254" s="132"/>
      <c r="E254" s="132"/>
      <c r="F254" s="132"/>
      <c r="G254" s="6"/>
      <c r="H254" s="6"/>
      <c r="I254" s="6"/>
      <c r="J254" s="188"/>
      <c r="K254" s="131"/>
      <c r="L254" s="131"/>
      <c r="M254" s="131"/>
      <c r="N254" s="131"/>
      <c r="O254" s="131"/>
      <c r="P254" s="131"/>
      <c r="Q254" s="131"/>
      <c r="R254" s="131"/>
      <c r="S254" s="131"/>
      <c r="T254" s="131"/>
      <c r="U254" s="6"/>
      <c r="V254" s="6"/>
      <c r="W254" s="6"/>
      <c r="X254" s="6"/>
      <c r="Y254" s="6"/>
      <c r="Z254" s="6"/>
      <c r="AA254" s="6"/>
      <c r="AB254" s="6"/>
    </row>
    <row r="255" ht="15.75" customHeight="1">
      <c r="A255" s="130"/>
      <c r="B255" s="2"/>
      <c r="C255" s="132"/>
      <c r="D255" s="132"/>
      <c r="E255" s="132"/>
      <c r="F255" s="132"/>
      <c r="G255" s="6"/>
      <c r="H255" s="6"/>
      <c r="I255" s="6"/>
      <c r="J255" s="188"/>
      <c r="K255" s="131"/>
      <c r="L255" s="131"/>
      <c r="M255" s="131"/>
      <c r="N255" s="131"/>
      <c r="O255" s="131"/>
      <c r="P255" s="131"/>
      <c r="Q255" s="131"/>
      <c r="R255" s="131"/>
      <c r="S255" s="131"/>
      <c r="T255" s="131"/>
      <c r="U255" s="6"/>
      <c r="V255" s="6"/>
      <c r="W255" s="6"/>
      <c r="X255" s="6"/>
      <c r="Y255" s="6"/>
      <c r="Z255" s="6"/>
      <c r="AA255" s="6"/>
      <c r="AB255" s="6"/>
    </row>
    <row r="256" ht="15.75" customHeight="1">
      <c r="A256" s="130"/>
      <c r="B256" s="2"/>
      <c r="C256" s="132"/>
      <c r="D256" s="132"/>
      <c r="E256" s="132"/>
      <c r="F256" s="132"/>
      <c r="G256" s="6"/>
      <c r="H256" s="6"/>
      <c r="I256" s="6"/>
      <c r="J256" s="188"/>
      <c r="K256" s="131"/>
      <c r="L256" s="131"/>
      <c r="M256" s="131"/>
      <c r="N256" s="131"/>
      <c r="O256" s="131"/>
      <c r="P256" s="131"/>
      <c r="Q256" s="131"/>
      <c r="R256" s="131"/>
      <c r="S256" s="131"/>
      <c r="T256" s="131"/>
      <c r="U256" s="6"/>
      <c r="V256" s="6"/>
      <c r="W256" s="6"/>
      <c r="X256" s="6"/>
      <c r="Y256" s="6"/>
      <c r="Z256" s="6"/>
      <c r="AA256" s="6"/>
      <c r="AB256" s="6"/>
    </row>
    <row r="257" ht="15.75" customHeight="1">
      <c r="A257" s="130"/>
      <c r="B257" s="2"/>
      <c r="C257" s="132"/>
      <c r="D257" s="132"/>
      <c r="E257" s="132"/>
      <c r="F257" s="132"/>
      <c r="G257" s="6"/>
      <c r="H257" s="6"/>
      <c r="I257" s="6"/>
      <c r="J257" s="188"/>
      <c r="K257" s="131"/>
      <c r="L257" s="131"/>
      <c r="M257" s="131"/>
      <c r="N257" s="131"/>
      <c r="O257" s="131"/>
      <c r="P257" s="131"/>
      <c r="Q257" s="131"/>
      <c r="R257" s="131"/>
      <c r="S257" s="131"/>
      <c r="T257" s="131"/>
      <c r="U257" s="6"/>
      <c r="V257" s="6"/>
      <c r="W257" s="6"/>
      <c r="X257" s="6"/>
      <c r="Y257" s="6"/>
      <c r="Z257" s="6"/>
      <c r="AA257" s="6"/>
      <c r="AB257" s="6"/>
    </row>
    <row r="258" ht="15.75" customHeight="1">
      <c r="A258" s="130"/>
      <c r="B258" s="2"/>
      <c r="C258" s="132"/>
      <c r="D258" s="132"/>
      <c r="E258" s="132"/>
      <c r="F258" s="132"/>
      <c r="G258" s="6"/>
      <c r="H258" s="6"/>
      <c r="I258" s="6"/>
      <c r="J258" s="188"/>
      <c r="K258" s="131"/>
      <c r="L258" s="131"/>
      <c r="M258" s="131"/>
      <c r="N258" s="131"/>
      <c r="O258" s="131"/>
      <c r="P258" s="131"/>
      <c r="Q258" s="131"/>
      <c r="R258" s="131"/>
      <c r="S258" s="131"/>
      <c r="T258" s="131"/>
      <c r="U258" s="6"/>
      <c r="V258" s="6"/>
      <c r="W258" s="6"/>
      <c r="X258" s="6"/>
      <c r="Y258" s="6"/>
      <c r="Z258" s="6"/>
      <c r="AA258" s="6"/>
      <c r="AB258" s="6"/>
    </row>
    <row r="259" ht="15.75" customHeight="1">
      <c r="A259" s="130"/>
      <c r="B259" s="2"/>
      <c r="C259" s="132"/>
      <c r="D259" s="132"/>
      <c r="E259" s="132"/>
      <c r="F259" s="132"/>
      <c r="G259" s="6"/>
      <c r="H259" s="6"/>
      <c r="I259" s="6"/>
      <c r="J259" s="188"/>
      <c r="K259" s="131"/>
      <c r="L259" s="131"/>
      <c r="M259" s="131"/>
      <c r="N259" s="131"/>
      <c r="O259" s="131"/>
      <c r="P259" s="131"/>
      <c r="Q259" s="131"/>
      <c r="R259" s="131"/>
      <c r="S259" s="131"/>
      <c r="T259" s="131"/>
      <c r="U259" s="6"/>
      <c r="V259" s="6"/>
      <c r="W259" s="6"/>
      <c r="X259" s="6"/>
      <c r="Y259" s="6"/>
      <c r="Z259" s="6"/>
      <c r="AA259" s="6"/>
      <c r="AB259" s="6"/>
    </row>
    <row r="260" ht="15.75" customHeight="1">
      <c r="A260" s="130"/>
      <c r="B260" s="2"/>
      <c r="C260" s="132"/>
      <c r="D260" s="132"/>
      <c r="E260" s="132"/>
      <c r="F260" s="132"/>
      <c r="G260" s="6"/>
      <c r="H260" s="6"/>
      <c r="I260" s="6"/>
      <c r="J260" s="188"/>
      <c r="K260" s="131"/>
      <c r="L260" s="131"/>
      <c r="M260" s="131"/>
      <c r="N260" s="131"/>
      <c r="O260" s="131"/>
      <c r="P260" s="131"/>
      <c r="Q260" s="131"/>
      <c r="R260" s="131"/>
      <c r="S260" s="131"/>
      <c r="T260" s="131"/>
      <c r="U260" s="6"/>
      <c r="V260" s="6"/>
      <c r="W260" s="6"/>
      <c r="X260" s="6"/>
      <c r="Y260" s="6"/>
      <c r="Z260" s="6"/>
      <c r="AA260" s="6"/>
      <c r="AB260" s="6"/>
    </row>
    <row r="261" ht="15.75" customHeight="1">
      <c r="A261" s="130"/>
      <c r="B261" s="2"/>
      <c r="C261" s="132"/>
      <c r="D261" s="132"/>
      <c r="E261" s="132"/>
      <c r="F261" s="132"/>
      <c r="G261" s="6"/>
      <c r="H261" s="6"/>
      <c r="I261" s="6"/>
      <c r="J261" s="188"/>
      <c r="K261" s="131"/>
      <c r="L261" s="131"/>
      <c r="M261" s="131"/>
      <c r="N261" s="131"/>
      <c r="O261" s="131"/>
      <c r="P261" s="131"/>
      <c r="Q261" s="131"/>
      <c r="R261" s="131"/>
      <c r="S261" s="131"/>
      <c r="T261" s="131"/>
      <c r="U261" s="6"/>
      <c r="V261" s="6"/>
      <c r="W261" s="6"/>
      <c r="X261" s="6"/>
      <c r="Y261" s="6"/>
      <c r="Z261" s="6"/>
      <c r="AA261" s="6"/>
      <c r="AB261" s="6"/>
    </row>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5">
    <mergeCell ref="I35:I38"/>
    <mergeCell ref="J35:J38"/>
    <mergeCell ref="H43:H45"/>
    <mergeCell ref="I43:I45"/>
    <mergeCell ref="J43:J45"/>
    <mergeCell ref="H27:H29"/>
    <mergeCell ref="I27:I29"/>
    <mergeCell ref="J27:J29"/>
    <mergeCell ref="H30:H34"/>
    <mergeCell ref="I30:I34"/>
    <mergeCell ref="J30:J34"/>
    <mergeCell ref="H35:H38"/>
    <mergeCell ref="I50:I54"/>
    <mergeCell ref="J50:J54"/>
    <mergeCell ref="I55:I56"/>
    <mergeCell ref="J55:J56"/>
    <mergeCell ref="H39:H42"/>
    <mergeCell ref="I39:I42"/>
    <mergeCell ref="J39:J42"/>
    <mergeCell ref="H46:H49"/>
    <mergeCell ref="I46:I49"/>
    <mergeCell ref="J46:J49"/>
    <mergeCell ref="H50:H54"/>
    <mergeCell ref="A9:A11"/>
    <mergeCell ref="B9:C9"/>
    <mergeCell ref="H9:H11"/>
    <mergeCell ref="I9:I11"/>
    <mergeCell ref="J9:J11"/>
    <mergeCell ref="B12:C12"/>
    <mergeCell ref="J12:J14"/>
    <mergeCell ref="B15:C15"/>
    <mergeCell ref="H12:H14"/>
    <mergeCell ref="I12:I14"/>
    <mergeCell ref="H15:H17"/>
    <mergeCell ref="I15:I17"/>
    <mergeCell ref="J15:J17"/>
    <mergeCell ref="I18:I20"/>
    <mergeCell ref="J18:J20"/>
    <mergeCell ref="B24:C24"/>
    <mergeCell ref="B27:C27"/>
    <mergeCell ref="H18:H20"/>
    <mergeCell ref="H21:H23"/>
    <mergeCell ref="I21:I23"/>
    <mergeCell ref="J21:J23"/>
    <mergeCell ref="H24:H26"/>
    <mergeCell ref="I24:I26"/>
    <mergeCell ref="J24:J26"/>
    <mergeCell ref="A12:A14"/>
    <mergeCell ref="A15:A17"/>
    <mergeCell ref="A18:A20"/>
    <mergeCell ref="B18:C18"/>
    <mergeCell ref="A21:A23"/>
    <mergeCell ref="B21:C21"/>
    <mergeCell ref="A24:A26"/>
    <mergeCell ref="A46:A49"/>
    <mergeCell ref="A50:A54"/>
    <mergeCell ref="B50:C50"/>
    <mergeCell ref="B55:C55"/>
    <mergeCell ref="A30:A34"/>
    <mergeCell ref="B30:C30"/>
    <mergeCell ref="A35:A38"/>
    <mergeCell ref="B35:C35"/>
    <mergeCell ref="A39:A42"/>
    <mergeCell ref="B39:C39"/>
    <mergeCell ref="B46:C46"/>
  </mergeCells>
  <hyperlinks>
    <hyperlink r:id="rId1" ref="E10"/>
    <hyperlink r:id="rId2" ref="E11"/>
    <hyperlink r:id="rId3" ref="E13"/>
    <hyperlink r:id="rId4" ref="E14"/>
    <hyperlink r:id="rId5" ref="E15"/>
    <hyperlink r:id="rId6" ref="E16"/>
    <hyperlink r:id="rId7" ref="D17"/>
    <hyperlink r:id="rId8" ref="E17"/>
    <hyperlink r:id="rId9" ref="E19"/>
    <hyperlink r:id="rId10" ref="E20"/>
    <hyperlink r:id="rId11" ref="E21"/>
    <hyperlink r:id="rId12" ref="E22"/>
    <hyperlink r:id="rId13" ref="E23"/>
    <hyperlink r:id="rId14" ref="E24"/>
    <hyperlink r:id="rId15" ref="E25"/>
    <hyperlink r:id="rId16" ref="E26"/>
    <hyperlink r:id="rId17" ref="E27"/>
    <hyperlink r:id="rId18" ref="E28"/>
    <hyperlink r:id="rId19" ref="E29"/>
    <hyperlink r:id="rId20" ref="E31"/>
    <hyperlink r:id="rId21" ref="E32"/>
    <hyperlink r:id="rId22" ref="E33"/>
    <hyperlink r:id="rId23" ref="E35"/>
    <hyperlink r:id="rId24" ref="E36"/>
    <hyperlink r:id="rId25" ref="E37"/>
    <hyperlink r:id="rId26" ref="E39"/>
    <hyperlink r:id="rId27" ref="E40"/>
    <hyperlink r:id="rId28" ref="E41"/>
    <hyperlink r:id="rId29" ref="E43"/>
    <hyperlink r:id="rId30" ref="E44"/>
    <hyperlink r:id="rId31" ref="D45"/>
    <hyperlink r:id="rId32" ref="E45"/>
    <hyperlink r:id="rId33" ref="E47"/>
    <hyperlink r:id="rId34" ref="E48"/>
    <hyperlink r:id="rId35" ref="D49"/>
    <hyperlink r:id="rId36" ref="E49"/>
    <hyperlink r:id="rId37" ref="E51"/>
    <hyperlink r:id="rId38" ref="E52"/>
    <hyperlink r:id="rId39" ref="E53"/>
    <hyperlink r:id="rId40" ref="E54"/>
    <hyperlink r:id="rId41" ref="E55"/>
    <hyperlink r:id="rId42" ref="E56"/>
    <hyperlink r:id="rId43" ref="E57"/>
    <hyperlink r:id="rId44" ref="E58"/>
    <hyperlink r:id="rId45" ref="E59"/>
  </hyperlinks>
  <printOptions/>
  <pageMargins bottom="0.75" footer="0.0" header="0.0" left="1.25" right="0.25" top="0.75"/>
  <pageSetup paperSize="5" orientation="landscape"/>
  <rowBreaks count="2" manualBreakCount="2">
    <brk id="26" man="1"/>
    <brk id="47" man="1"/>
  </rowBreaks>
  <drawing r:id="rId4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showGridLines="0" workbookViewId="0">
      <pane xSplit="3.0" ySplit="8.0" topLeftCell="D9" activePane="bottomRight" state="frozen"/>
      <selection activeCell="D1" sqref="D1" pane="topRight"/>
      <selection activeCell="A9" sqref="A9" pane="bottomLeft"/>
      <selection activeCell="D9" sqref="D9" pane="bottomRight"/>
    </sheetView>
  </sheetViews>
  <sheetFormatPr customHeight="1" defaultColWidth="12.63" defaultRowHeight="15.0"/>
  <cols>
    <col customWidth="1" min="1" max="1" width="4.88"/>
    <col customWidth="1" min="2" max="2" width="59.25"/>
    <col customWidth="1" min="3" max="3" width="10.0"/>
    <col customWidth="1" min="4" max="4" width="16.63"/>
    <col customWidth="1" min="5" max="5" width="73.88"/>
    <col customWidth="1" min="6" max="6" width="25.13"/>
    <col customWidth="1" min="7" max="8" width="65.38"/>
    <col customWidth="1" min="9" max="9" width="36.75"/>
    <col customWidth="1" min="10" max="10" width="34.25"/>
    <col customWidth="1" min="11" max="11" width="52.75"/>
    <col customWidth="1" min="12" max="29" width="8.13"/>
  </cols>
  <sheetData>
    <row r="1" ht="9.0" customHeight="1">
      <c r="A1" s="130"/>
      <c r="B1" s="2"/>
      <c r="C1" s="2"/>
      <c r="D1" s="2"/>
      <c r="E1" s="2"/>
      <c r="F1" s="2"/>
      <c r="G1" s="6"/>
      <c r="H1" s="6"/>
      <c r="I1" s="6"/>
      <c r="J1" s="6"/>
      <c r="K1" s="131"/>
      <c r="L1" s="131"/>
      <c r="M1" s="131"/>
      <c r="N1" s="131"/>
      <c r="O1" s="131"/>
      <c r="P1" s="131"/>
      <c r="Q1" s="131"/>
      <c r="R1" s="131"/>
      <c r="S1" s="131"/>
      <c r="T1" s="131"/>
      <c r="U1" s="131"/>
      <c r="V1" s="131"/>
      <c r="W1" s="131"/>
      <c r="X1" s="131"/>
      <c r="Y1" s="131"/>
      <c r="Z1" s="131"/>
      <c r="AA1" s="131"/>
      <c r="AB1" s="131"/>
      <c r="AC1" s="131"/>
    </row>
    <row r="2" ht="15.75" customHeight="1">
      <c r="A2" s="130"/>
      <c r="B2" s="2"/>
      <c r="C2" s="2"/>
      <c r="D2" s="2"/>
      <c r="E2" s="2"/>
      <c r="F2" s="2"/>
      <c r="G2" s="6"/>
      <c r="H2" s="6"/>
      <c r="I2" s="6"/>
      <c r="J2" s="6"/>
      <c r="K2" s="131"/>
      <c r="L2" s="131"/>
      <c r="M2" s="131"/>
      <c r="N2" s="131"/>
      <c r="O2" s="131"/>
      <c r="P2" s="131"/>
      <c r="Q2" s="131"/>
      <c r="R2" s="131"/>
      <c r="S2" s="131"/>
      <c r="T2" s="131"/>
      <c r="U2" s="131"/>
      <c r="V2" s="131"/>
      <c r="W2" s="131"/>
      <c r="X2" s="131"/>
      <c r="Y2" s="131"/>
      <c r="Z2" s="131"/>
      <c r="AA2" s="131"/>
      <c r="AB2" s="131"/>
      <c r="AC2" s="131"/>
    </row>
    <row r="3" ht="15.75" customHeight="1">
      <c r="A3" s="130"/>
      <c r="B3" s="2"/>
      <c r="C3" s="2"/>
      <c r="D3" s="2"/>
      <c r="E3" s="2"/>
      <c r="F3" s="2"/>
      <c r="G3" s="6"/>
      <c r="H3" s="6"/>
      <c r="I3" s="6"/>
      <c r="J3" s="6"/>
      <c r="K3" s="131"/>
      <c r="L3" s="131"/>
      <c r="M3" s="131"/>
      <c r="N3" s="131"/>
      <c r="O3" s="131"/>
      <c r="P3" s="131"/>
      <c r="Q3" s="131"/>
      <c r="R3" s="131"/>
      <c r="S3" s="131"/>
      <c r="T3" s="131"/>
      <c r="U3" s="131"/>
      <c r="V3" s="131"/>
      <c r="W3" s="131"/>
      <c r="X3" s="131"/>
      <c r="Y3" s="131"/>
      <c r="Z3" s="131"/>
      <c r="AA3" s="131"/>
      <c r="AB3" s="131"/>
      <c r="AC3" s="131"/>
    </row>
    <row r="4" ht="15.75" customHeight="1">
      <c r="A4" s="130"/>
      <c r="B4" s="2"/>
      <c r="C4" s="2"/>
      <c r="D4" s="2"/>
      <c r="E4" s="2"/>
      <c r="F4" s="2"/>
      <c r="G4" s="6"/>
      <c r="H4" s="6"/>
      <c r="I4" s="6"/>
      <c r="J4" s="6"/>
      <c r="K4" s="131"/>
      <c r="L4" s="131"/>
      <c r="M4" s="131"/>
      <c r="N4" s="131"/>
      <c r="O4" s="131"/>
      <c r="P4" s="131"/>
      <c r="Q4" s="131"/>
      <c r="R4" s="131"/>
      <c r="S4" s="131"/>
      <c r="T4" s="131"/>
      <c r="U4" s="131"/>
      <c r="V4" s="131"/>
      <c r="W4" s="131"/>
      <c r="X4" s="131"/>
      <c r="Y4" s="131"/>
      <c r="Z4" s="131"/>
      <c r="AA4" s="131"/>
      <c r="AB4" s="131"/>
      <c r="AC4" s="131"/>
    </row>
    <row r="5" ht="15.75" customHeight="1">
      <c r="A5" s="130"/>
      <c r="B5" s="2"/>
      <c r="C5" s="2"/>
      <c r="D5" s="2"/>
      <c r="E5" s="2"/>
      <c r="F5" s="2"/>
      <c r="G5" s="6"/>
      <c r="H5" s="6"/>
      <c r="I5" s="6"/>
      <c r="J5" s="6"/>
      <c r="K5" s="131"/>
      <c r="L5" s="131"/>
      <c r="M5" s="131"/>
      <c r="N5" s="131"/>
      <c r="O5" s="131"/>
      <c r="P5" s="131"/>
      <c r="Q5" s="131"/>
      <c r="R5" s="131"/>
      <c r="S5" s="131"/>
      <c r="T5" s="131"/>
      <c r="U5" s="131"/>
      <c r="V5" s="131"/>
      <c r="W5" s="131"/>
      <c r="X5" s="131"/>
      <c r="Y5" s="131"/>
      <c r="Z5" s="131"/>
      <c r="AA5" s="131"/>
      <c r="AB5" s="131"/>
      <c r="AC5" s="131"/>
    </row>
    <row r="6" ht="15.75" customHeight="1">
      <c r="A6" s="130"/>
      <c r="B6" s="2"/>
      <c r="C6" s="2"/>
      <c r="D6" s="2"/>
      <c r="E6" s="2"/>
      <c r="F6" s="2"/>
      <c r="G6" s="6"/>
      <c r="H6" s="6"/>
      <c r="I6" s="6"/>
      <c r="J6" s="6"/>
      <c r="K6" s="131"/>
      <c r="L6" s="131"/>
      <c r="M6" s="131"/>
      <c r="N6" s="131"/>
      <c r="O6" s="131"/>
      <c r="P6" s="131"/>
      <c r="Q6" s="131"/>
      <c r="R6" s="131"/>
      <c r="S6" s="131"/>
      <c r="T6" s="131"/>
      <c r="U6" s="131"/>
      <c r="V6" s="131"/>
      <c r="W6" s="131"/>
      <c r="X6" s="131"/>
      <c r="Y6" s="131"/>
      <c r="Z6" s="131"/>
      <c r="AA6" s="131"/>
      <c r="AB6" s="131"/>
      <c r="AC6" s="131"/>
    </row>
    <row r="7" ht="17.25" customHeight="1">
      <c r="A7" s="130"/>
      <c r="B7" s="7"/>
      <c r="C7" s="7"/>
      <c r="D7" s="7"/>
      <c r="E7" s="7"/>
      <c r="F7" s="7"/>
      <c r="G7" s="6"/>
      <c r="H7" s="6"/>
      <c r="I7" s="6"/>
      <c r="J7" s="6"/>
      <c r="K7" s="131"/>
      <c r="L7" s="131"/>
      <c r="M7" s="131"/>
      <c r="N7" s="131"/>
      <c r="O7" s="131"/>
      <c r="P7" s="131"/>
      <c r="Q7" s="131"/>
      <c r="R7" s="131"/>
      <c r="S7" s="131"/>
      <c r="T7" s="131"/>
      <c r="U7" s="131"/>
      <c r="V7" s="131"/>
      <c r="W7" s="131"/>
      <c r="X7" s="131"/>
      <c r="Y7" s="131"/>
      <c r="Z7" s="131"/>
      <c r="AA7" s="131"/>
      <c r="AB7" s="131"/>
      <c r="AC7" s="131"/>
    </row>
    <row r="8" ht="33.0" customHeight="1">
      <c r="A8" s="253" t="s">
        <v>0</v>
      </c>
      <c r="B8" s="255" t="s">
        <v>963</v>
      </c>
      <c r="C8" s="255" t="s">
        <v>2</v>
      </c>
      <c r="D8" s="12" t="s">
        <v>3</v>
      </c>
      <c r="E8" s="12" t="s">
        <v>4</v>
      </c>
      <c r="F8" s="12" t="s">
        <v>5</v>
      </c>
      <c r="G8" s="12" t="s">
        <v>6</v>
      </c>
      <c r="H8" s="12" t="s">
        <v>7</v>
      </c>
      <c r="I8" s="315" t="s">
        <v>8</v>
      </c>
      <c r="J8" s="316" t="s">
        <v>9</v>
      </c>
      <c r="K8" s="136"/>
      <c r="L8" s="136"/>
      <c r="M8" s="136"/>
      <c r="N8" s="136"/>
      <c r="O8" s="136"/>
      <c r="P8" s="136"/>
      <c r="Q8" s="136"/>
      <c r="R8" s="136"/>
      <c r="S8" s="136"/>
      <c r="T8" s="136"/>
      <c r="U8" s="136"/>
      <c r="V8" s="136"/>
      <c r="W8" s="136"/>
      <c r="X8" s="136"/>
      <c r="Y8" s="136"/>
      <c r="Z8" s="136"/>
      <c r="AA8" s="136"/>
      <c r="AB8" s="136"/>
      <c r="AC8" s="136"/>
    </row>
    <row r="9" ht="63.0" customHeight="1">
      <c r="A9" s="317">
        <v>1.0</v>
      </c>
      <c r="B9" s="318" t="s">
        <v>964</v>
      </c>
      <c r="C9" s="16"/>
      <c r="D9" s="258"/>
      <c r="E9" s="93" t="s">
        <v>965</v>
      </c>
      <c r="F9" s="258"/>
      <c r="G9" s="319"/>
      <c r="H9" s="320" t="s">
        <v>966</v>
      </c>
      <c r="I9" s="320" t="s">
        <v>967</v>
      </c>
      <c r="J9" s="320" t="s">
        <v>968</v>
      </c>
      <c r="K9" s="131"/>
      <c r="L9" s="131"/>
      <c r="M9" s="131"/>
      <c r="N9" s="131"/>
      <c r="O9" s="131"/>
      <c r="P9" s="131"/>
      <c r="Q9" s="131"/>
      <c r="R9" s="131"/>
      <c r="S9" s="131"/>
      <c r="T9" s="131"/>
      <c r="U9" s="131"/>
      <c r="V9" s="131"/>
      <c r="W9" s="131"/>
      <c r="X9" s="131"/>
      <c r="Y9" s="131"/>
      <c r="Z9" s="131"/>
      <c r="AA9" s="131"/>
      <c r="AB9" s="131"/>
      <c r="AC9" s="131"/>
    </row>
    <row r="10" ht="21.0" customHeight="1">
      <c r="A10" s="267"/>
      <c r="B10" s="278" t="s">
        <v>558</v>
      </c>
      <c r="C10" s="321">
        <v>100.0</v>
      </c>
      <c r="D10" s="223">
        <v>100.0</v>
      </c>
      <c r="E10" s="93" t="s">
        <v>969</v>
      </c>
      <c r="F10" s="268">
        <v>100.0</v>
      </c>
      <c r="G10" s="263" t="s">
        <v>608</v>
      </c>
      <c r="H10" s="267"/>
      <c r="I10" s="267"/>
      <c r="J10" s="267"/>
      <c r="K10" s="131"/>
      <c r="L10" s="131"/>
      <c r="M10" s="131"/>
      <c r="N10" s="131"/>
      <c r="O10" s="131"/>
      <c r="P10" s="131"/>
      <c r="Q10" s="131"/>
      <c r="R10" s="131"/>
      <c r="S10" s="131"/>
      <c r="T10" s="131"/>
      <c r="U10" s="131"/>
      <c r="V10" s="131"/>
      <c r="W10" s="131"/>
      <c r="X10" s="131"/>
      <c r="Y10" s="131"/>
      <c r="Z10" s="131"/>
      <c r="AA10" s="131"/>
      <c r="AB10" s="131"/>
      <c r="AC10" s="131"/>
    </row>
    <row r="11" ht="21.0" customHeight="1">
      <c r="A11" s="58"/>
      <c r="B11" s="278" t="s">
        <v>970</v>
      </c>
      <c r="C11" s="321">
        <v>0.0</v>
      </c>
      <c r="D11" s="322"/>
      <c r="E11" s="93" t="s">
        <v>971</v>
      </c>
      <c r="F11" s="268"/>
      <c r="G11" s="263"/>
      <c r="H11" s="58"/>
      <c r="I11" s="58"/>
      <c r="J11" s="58"/>
      <c r="K11" s="131"/>
      <c r="L11" s="131"/>
      <c r="M11" s="131"/>
      <c r="N11" s="131"/>
      <c r="O11" s="131"/>
      <c r="P11" s="131"/>
      <c r="Q11" s="131"/>
      <c r="R11" s="131"/>
      <c r="S11" s="131"/>
      <c r="T11" s="131"/>
      <c r="U11" s="131"/>
      <c r="V11" s="131"/>
      <c r="W11" s="131"/>
      <c r="X11" s="131"/>
      <c r="Y11" s="131"/>
      <c r="Z11" s="131"/>
      <c r="AA11" s="131"/>
      <c r="AB11" s="131"/>
      <c r="AC11" s="131"/>
    </row>
    <row r="12" ht="81.0" customHeight="1">
      <c r="A12" s="323">
        <v>2.0</v>
      </c>
      <c r="B12" s="269" t="s">
        <v>972</v>
      </c>
      <c r="C12" s="58"/>
      <c r="D12" s="322"/>
      <c r="E12" s="93" t="s">
        <v>973</v>
      </c>
      <c r="F12" s="268"/>
      <c r="G12" s="263"/>
      <c r="H12" s="270" t="s">
        <v>974</v>
      </c>
      <c r="I12" s="270" t="s">
        <v>975</v>
      </c>
      <c r="J12" s="270" t="s">
        <v>976</v>
      </c>
      <c r="K12" s="131"/>
      <c r="L12" s="131"/>
      <c r="M12" s="131"/>
      <c r="N12" s="131"/>
      <c r="O12" s="131"/>
      <c r="P12" s="131"/>
      <c r="Q12" s="131"/>
      <c r="R12" s="131"/>
      <c r="S12" s="131"/>
      <c r="T12" s="131"/>
      <c r="U12" s="131"/>
      <c r="V12" s="131"/>
      <c r="W12" s="131"/>
      <c r="X12" s="131"/>
      <c r="Y12" s="131"/>
      <c r="Z12" s="131"/>
      <c r="AA12" s="131"/>
      <c r="AB12" s="131"/>
      <c r="AC12" s="131"/>
    </row>
    <row r="13" ht="21.0" customHeight="1">
      <c r="A13" s="267"/>
      <c r="B13" s="278" t="s">
        <v>977</v>
      </c>
      <c r="C13" s="324">
        <v>100.0</v>
      </c>
      <c r="D13" s="223">
        <v>100.0</v>
      </c>
      <c r="E13" s="93" t="s">
        <v>978</v>
      </c>
      <c r="F13" s="268">
        <v>100.0</v>
      </c>
      <c r="G13" s="263" t="s">
        <v>608</v>
      </c>
      <c r="H13" s="267"/>
      <c r="I13" s="267"/>
      <c r="J13" s="267"/>
      <c r="K13" s="7"/>
      <c r="L13" s="7"/>
      <c r="M13" s="7"/>
      <c r="N13" s="7"/>
      <c r="O13" s="7"/>
      <c r="P13" s="7"/>
      <c r="Q13" s="7"/>
      <c r="R13" s="7"/>
      <c r="S13" s="7"/>
      <c r="T13" s="7"/>
      <c r="U13" s="7"/>
      <c r="V13" s="7"/>
      <c r="W13" s="7"/>
      <c r="X13" s="7"/>
      <c r="Y13" s="7"/>
      <c r="Z13" s="7"/>
      <c r="AA13" s="7"/>
      <c r="AB13" s="7"/>
      <c r="AC13" s="7"/>
    </row>
    <row r="14" ht="21.0" customHeight="1">
      <c r="A14" s="58"/>
      <c r="B14" s="278" t="s">
        <v>979</v>
      </c>
      <c r="C14" s="324">
        <v>0.0</v>
      </c>
      <c r="D14" s="322"/>
      <c r="E14" s="93" t="s">
        <v>980</v>
      </c>
      <c r="F14" s="268"/>
      <c r="G14" s="263"/>
      <c r="H14" s="58"/>
      <c r="I14" s="58"/>
      <c r="J14" s="58"/>
      <c r="K14" s="131"/>
      <c r="L14" s="131"/>
      <c r="M14" s="131"/>
      <c r="N14" s="131"/>
      <c r="O14" s="131"/>
      <c r="P14" s="131"/>
      <c r="Q14" s="131"/>
      <c r="R14" s="131"/>
      <c r="S14" s="131"/>
      <c r="T14" s="131"/>
      <c r="U14" s="131"/>
      <c r="V14" s="131"/>
      <c r="W14" s="131"/>
      <c r="X14" s="131"/>
      <c r="Y14" s="131"/>
      <c r="Z14" s="131"/>
      <c r="AA14" s="131"/>
      <c r="AB14" s="131"/>
      <c r="AC14" s="131"/>
    </row>
    <row r="15" ht="28.5" customHeight="1">
      <c r="A15" s="323">
        <v>3.0</v>
      </c>
      <c r="B15" s="325" t="s">
        <v>981</v>
      </c>
      <c r="C15" s="58"/>
      <c r="D15" s="322"/>
      <c r="E15" s="268"/>
      <c r="F15" s="268"/>
      <c r="G15" s="263"/>
      <c r="H15" s="270" t="s">
        <v>982</v>
      </c>
      <c r="I15" s="270" t="s">
        <v>983</v>
      </c>
      <c r="J15" s="270" t="s">
        <v>984</v>
      </c>
      <c r="K15" s="326"/>
      <c r="L15" s="131"/>
      <c r="M15" s="131"/>
      <c r="N15" s="131"/>
      <c r="O15" s="131"/>
      <c r="P15" s="131"/>
      <c r="Q15" s="131"/>
      <c r="R15" s="131"/>
      <c r="S15" s="131"/>
      <c r="T15" s="131"/>
      <c r="U15" s="131"/>
      <c r="V15" s="131"/>
      <c r="W15" s="131"/>
      <c r="X15" s="131"/>
      <c r="Y15" s="131"/>
      <c r="Z15" s="131"/>
      <c r="AA15" s="131"/>
      <c r="AB15" s="131"/>
      <c r="AC15" s="131"/>
    </row>
    <row r="16" ht="21.0" customHeight="1">
      <c r="A16" s="267"/>
      <c r="B16" s="272" t="s">
        <v>985</v>
      </c>
      <c r="C16" s="324">
        <v>100.0</v>
      </c>
      <c r="D16" s="322">
        <v>100.0</v>
      </c>
      <c r="E16" s="93" t="s">
        <v>986</v>
      </c>
      <c r="F16" s="268">
        <v>100.0</v>
      </c>
      <c r="G16" s="263" t="s">
        <v>608</v>
      </c>
      <c r="H16" s="267"/>
      <c r="I16" s="267"/>
      <c r="J16" s="267"/>
      <c r="K16" s="30"/>
      <c r="L16" s="131"/>
      <c r="M16" s="131"/>
      <c r="N16" s="131"/>
      <c r="O16" s="131"/>
      <c r="P16" s="131"/>
      <c r="Q16" s="131"/>
      <c r="R16" s="131"/>
      <c r="S16" s="131"/>
      <c r="T16" s="131"/>
      <c r="U16" s="131"/>
      <c r="V16" s="131"/>
      <c r="W16" s="131"/>
      <c r="X16" s="131"/>
      <c r="Y16" s="131"/>
      <c r="Z16" s="131"/>
      <c r="AA16" s="131"/>
      <c r="AB16" s="131"/>
      <c r="AC16" s="131"/>
    </row>
    <row r="17" ht="21.0" customHeight="1">
      <c r="A17" s="58"/>
      <c r="B17" s="272" t="s">
        <v>987</v>
      </c>
      <c r="C17" s="324">
        <v>0.0</v>
      </c>
      <c r="D17" s="322"/>
      <c r="E17" s="268"/>
      <c r="F17" s="268"/>
      <c r="G17" s="263"/>
      <c r="H17" s="58"/>
      <c r="I17" s="58"/>
      <c r="J17" s="58"/>
      <c r="K17" s="30"/>
      <c r="L17" s="131"/>
      <c r="M17" s="131"/>
      <c r="N17" s="131"/>
      <c r="O17" s="131"/>
      <c r="P17" s="131"/>
      <c r="Q17" s="131"/>
      <c r="R17" s="131"/>
      <c r="S17" s="131"/>
      <c r="T17" s="131"/>
      <c r="U17" s="131"/>
      <c r="V17" s="131"/>
      <c r="W17" s="131"/>
      <c r="X17" s="131"/>
      <c r="Y17" s="131"/>
      <c r="Z17" s="131"/>
      <c r="AA17" s="131"/>
      <c r="AB17" s="131"/>
      <c r="AC17" s="131"/>
    </row>
    <row r="18" ht="32.25" customHeight="1">
      <c r="A18" s="168">
        <v>4.0</v>
      </c>
      <c r="B18" s="325" t="s">
        <v>988</v>
      </c>
      <c r="C18" s="58"/>
      <c r="D18" s="322"/>
      <c r="E18" s="268"/>
      <c r="F18" s="268"/>
      <c r="G18" s="263"/>
      <c r="H18" s="270" t="s">
        <v>989</v>
      </c>
      <c r="I18" s="270" t="s">
        <v>990</v>
      </c>
      <c r="J18" s="270" t="s">
        <v>991</v>
      </c>
      <c r="K18" s="131"/>
      <c r="L18" s="131"/>
      <c r="M18" s="131"/>
      <c r="N18" s="131"/>
      <c r="O18" s="131"/>
      <c r="P18" s="131"/>
      <c r="Q18" s="131"/>
      <c r="R18" s="131"/>
      <c r="S18" s="131"/>
      <c r="T18" s="131"/>
      <c r="U18" s="131"/>
      <c r="V18" s="131"/>
      <c r="W18" s="131"/>
      <c r="X18" s="131"/>
      <c r="Y18" s="131"/>
      <c r="Z18" s="131"/>
      <c r="AA18" s="131"/>
      <c r="AB18" s="131"/>
      <c r="AC18" s="131"/>
    </row>
    <row r="19" ht="21.0" customHeight="1">
      <c r="A19" s="24"/>
      <c r="B19" s="278" t="s">
        <v>612</v>
      </c>
      <c r="C19" s="324">
        <v>100.0</v>
      </c>
      <c r="D19" s="223">
        <v>100.0</v>
      </c>
      <c r="E19" s="93" t="s">
        <v>992</v>
      </c>
      <c r="F19" s="268"/>
      <c r="G19" s="263" t="s">
        <v>993</v>
      </c>
      <c r="H19" s="267"/>
      <c r="I19" s="267"/>
      <c r="J19" s="267"/>
      <c r="K19" s="131"/>
      <c r="L19" s="131"/>
      <c r="M19" s="131"/>
      <c r="N19" s="131"/>
      <c r="O19" s="131"/>
      <c r="P19" s="131"/>
      <c r="Q19" s="131"/>
      <c r="R19" s="131"/>
      <c r="S19" s="131"/>
      <c r="T19" s="131"/>
      <c r="U19" s="131"/>
      <c r="V19" s="131"/>
      <c r="W19" s="131"/>
      <c r="X19" s="131"/>
      <c r="Y19" s="131"/>
      <c r="Z19" s="131"/>
      <c r="AA19" s="131"/>
      <c r="AB19" s="131"/>
      <c r="AC19" s="131"/>
    </row>
    <row r="20" ht="21.0" customHeight="1">
      <c r="A20" s="32"/>
      <c r="B20" s="278" t="s">
        <v>569</v>
      </c>
      <c r="C20" s="324">
        <v>0.0</v>
      </c>
      <c r="D20" s="322"/>
      <c r="E20" s="268"/>
      <c r="F20" s="268"/>
      <c r="G20" s="263"/>
      <c r="H20" s="58"/>
      <c r="I20" s="58"/>
      <c r="J20" s="58"/>
      <c r="K20" s="131"/>
      <c r="L20" s="131"/>
      <c r="M20" s="131"/>
      <c r="N20" s="131"/>
      <c r="O20" s="131"/>
      <c r="P20" s="131"/>
      <c r="Q20" s="131"/>
      <c r="R20" s="131"/>
      <c r="S20" s="131"/>
      <c r="T20" s="131"/>
      <c r="U20" s="131"/>
      <c r="V20" s="131"/>
      <c r="W20" s="131"/>
      <c r="X20" s="131"/>
      <c r="Y20" s="131"/>
      <c r="Z20" s="131"/>
      <c r="AA20" s="131"/>
      <c r="AB20" s="131"/>
      <c r="AC20" s="131"/>
    </row>
    <row r="21" ht="36.0" customHeight="1">
      <c r="A21" s="168">
        <v>5.0</v>
      </c>
      <c r="B21" s="325" t="s">
        <v>994</v>
      </c>
      <c r="C21" s="58"/>
      <c r="D21" s="322"/>
      <c r="E21" s="268"/>
      <c r="F21" s="268"/>
      <c r="G21" s="264"/>
      <c r="H21" s="327" t="s">
        <v>995</v>
      </c>
      <c r="I21" s="327" t="s">
        <v>996</v>
      </c>
      <c r="J21" s="327" t="s">
        <v>997</v>
      </c>
      <c r="K21" s="131"/>
      <c r="L21" s="131"/>
      <c r="M21" s="131"/>
      <c r="N21" s="131"/>
      <c r="O21" s="131"/>
      <c r="P21" s="131"/>
      <c r="Q21" s="131"/>
      <c r="R21" s="131"/>
      <c r="S21" s="131"/>
      <c r="T21" s="131"/>
      <c r="U21" s="131"/>
      <c r="V21" s="131"/>
      <c r="W21" s="131"/>
      <c r="X21" s="131"/>
      <c r="Y21" s="131"/>
      <c r="Z21" s="131"/>
      <c r="AA21" s="131"/>
      <c r="AB21" s="131"/>
      <c r="AC21" s="131"/>
    </row>
    <row r="22" ht="21.0" customHeight="1">
      <c r="A22" s="24"/>
      <c r="B22" s="272" t="s">
        <v>998</v>
      </c>
      <c r="C22" s="324">
        <v>100.0</v>
      </c>
      <c r="D22" s="223">
        <v>100.0</v>
      </c>
      <c r="E22" s="93" t="s">
        <v>999</v>
      </c>
      <c r="F22" s="268">
        <v>100.0</v>
      </c>
      <c r="G22" s="264" t="s">
        <v>608</v>
      </c>
      <c r="H22" s="267"/>
      <c r="I22" s="267"/>
      <c r="J22" s="267"/>
      <c r="K22" s="131"/>
      <c r="L22" s="131"/>
      <c r="M22" s="131"/>
      <c r="N22" s="131"/>
      <c r="O22" s="131"/>
      <c r="P22" s="131"/>
      <c r="Q22" s="131"/>
      <c r="R22" s="131"/>
      <c r="S22" s="131"/>
      <c r="T22" s="131"/>
      <c r="U22" s="131"/>
      <c r="V22" s="131"/>
      <c r="W22" s="131"/>
      <c r="X22" s="131"/>
      <c r="Y22" s="131"/>
      <c r="Z22" s="131"/>
      <c r="AA22" s="131"/>
      <c r="AB22" s="131"/>
      <c r="AC22" s="131"/>
    </row>
    <row r="23" ht="21.0" customHeight="1">
      <c r="A23" s="24"/>
      <c r="B23" s="272" t="s">
        <v>1000</v>
      </c>
      <c r="C23" s="324">
        <v>50.0</v>
      </c>
      <c r="D23" s="322"/>
      <c r="E23" s="93" t="s">
        <v>1001</v>
      </c>
      <c r="F23" s="268"/>
      <c r="G23" s="264"/>
      <c r="H23" s="267"/>
      <c r="I23" s="267"/>
      <c r="J23" s="267"/>
      <c r="K23" s="131"/>
      <c r="L23" s="131"/>
      <c r="M23" s="131"/>
      <c r="N23" s="131"/>
      <c r="O23" s="131"/>
      <c r="P23" s="131"/>
      <c r="Q23" s="131"/>
      <c r="R23" s="131"/>
      <c r="S23" s="131"/>
      <c r="T23" s="131"/>
      <c r="U23" s="131"/>
      <c r="V23" s="131"/>
      <c r="W23" s="131"/>
      <c r="X23" s="131"/>
      <c r="Y23" s="131"/>
      <c r="Z23" s="131"/>
      <c r="AA23" s="131"/>
      <c r="AB23" s="131"/>
      <c r="AC23" s="131"/>
    </row>
    <row r="24" ht="21.0" customHeight="1">
      <c r="A24" s="24"/>
      <c r="B24" s="278" t="s">
        <v>1002</v>
      </c>
      <c r="C24" s="324">
        <v>25.0</v>
      </c>
      <c r="D24" s="322"/>
      <c r="E24" s="268"/>
      <c r="F24" s="268"/>
      <c r="G24" s="264"/>
      <c r="H24" s="267"/>
      <c r="I24" s="267"/>
      <c r="J24" s="267"/>
      <c r="K24" s="131"/>
      <c r="L24" s="131"/>
      <c r="M24" s="131"/>
      <c r="N24" s="131"/>
      <c r="O24" s="131"/>
      <c r="P24" s="131"/>
      <c r="Q24" s="131"/>
      <c r="R24" s="131"/>
      <c r="S24" s="131"/>
      <c r="T24" s="131"/>
      <c r="U24" s="131"/>
      <c r="V24" s="131"/>
      <c r="W24" s="131"/>
      <c r="X24" s="131"/>
      <c r="Y24" s="131"/>
      <c r="Z24" s="131"/>
      <c r="AA24" s="131"/>
      <c r="AB24" s="131"/>
      <c r="AC24" s="131"/>
    </row>
    <row r="25" ht="23.25" customHeight="1">
      <c r="A25" s="32"/>
      <c r="B25" s="278" t="s">
        <v>1003</v>
      </c>
      <c r="C25" s="324">
        <v>0.0</v>
      </c>
      <c r="D25" s="322"/>
      <c r="E25" s="268"/>
      <c r="F25" s="268"/>
      <c r="G25" s="264"/>
      <c r="H25" s="58"/>
      <c r="I25" s="58"/>
      <c r="J25" s="58"/>
      <c r="K25" s="131"/>
      <c r="L25" s="131"/>
      <c r="M25" s="131"/>
      <c r="N25" s="131"/>
      <c r="O25" s="131"/>
      <c r="P25" s="131"/>
      <c r="Q25" s="131"/>
      <c r="R25" s="131"/>
      <c r="S25" s="131"/>
      <c r="T25" s="131"/>
      <c r="U25" s="131"/>
      <c r="V25" s="131"/>
      <c r="W25" s="131"/>
      <c r="X25" s="131"/>
      <c r="Y25" s="131"/>
      <c r="Z25" s="131"/>
      <c r="AA25" s="131"/>
      <c r="AB25" s="131"/>
      <c r="AC25" s="131"/>
    </row>
    <row r="26" ht="33.75" customHeight="1">
      <c r="A26" s="168">
        <v>6.0</v>
      </c>
      <c r="B26" s="325" t="s">
        <v>1004</v>
      </c>
      <c r="C26" s="58"/>
      <c r="D26" s="322"/>
      <c r="E26" s="268"/>
      <c r="F26" s="268"/>
      <c r="G26" s="263"/>
      <c r="H26" s="270" t="s">
        <v>1005</v>
      </c>
      <c r="I26" s="270" t="s">
        <v>1006</v>
      </c>
      <c r="J26" s="270" t="s">
        <v>1007</v>
      </c>
      <c r="K26" s="131"/>
      <c r="L26" s="131"/>
      <c r="M26" s="131"/>
      <c r="N26" s="131"/>
      <c r="O26" s="131"/>
      <c r="P26" s="131"/>
      <c r="Q26" s="131"/>
      <c r="R26" s="131"/>
      <c r="S26" s="131"/>
      <c r="T26" s="131"/>
      <c r="U26" s="131"/>
      <c r="V26" s="131"/>
      <c r="W26" s="131"/>
      <c r="X26" s="131"/>
      <c r="Y26" s="131"/>
      <c r="Z26" s="131"/>
      <c r="AA26" s="131"/>
      <c r="AB26" s="131"/>
      <c r="AC26" s="131"/>
    </row>
    <row r="27" ht="21.0" customHeight="1">
      <c r="A27" s="24"/>
      <c r="B27" s="272" t="s">
        <v>1008</v>
      </c>
      <c r="C27" s="324">
        <v>100.0</v>
      </c>
      <c r="D27" s="322">
        <v>100.0</v>
      </c>
      <c r="E27" s="93" t="s">
        <v>1009</v>
      </c>
      <c r="F27" s="268"/>
      <c r="G27" s="263" t="s">
        <v>1010</v>
      </c>
      <c r="H27" s="267"/>
      <c r="I27" s="267"/>
      <c r="J27" s="267"/>
      <c r="K27" s="131"/>
      <c r="L27" s="131"/>
      <c r="M27" s="131"/>
      <c r="N27" s="131"/>
      <c r="O27" s="131"/>
      <c r="P27" s="131"/>
      <c r="Q27" s="131"/>
      <c r="R27" s="131"/>
      <c r="S27" s="131"/>
      <c r="T27" s="131"/>
      <c r="U27" s="131"/>
      <c r="V27" s="131"/>
      <c r="W27" s="131"/>
      <c r="X27" s="131"/>
      <c r="Y27" s="131"/>
      <c r="Z27" s="131"/>
      <c r="AA27" s="131"/>
      <c r="AB27" s="131"/>
      <c r="AC27" s="131"/>
    </row>
    <row r="28" ht="21.0" customHeight="1">
      <c r="A28" s="24"/>
      <c r="B28" s="272" t="s">
        <v>1011</v>
      </c>
      <c r="C28" s="324">
        <v>50.0</v>
      </c>
      <c r="D28" s="322"/>
      <c r="E28" s="93" t="s">
        <v>1012</v>
      </c>
      <c r="F28" s="268"/>
      <c r="G28" s="263"/>
      <c r="H28" s="267"/>
      <c r="I28" s="267"/>
      <c r="J28" s="267"/>
      <c r="K28" s="131"/>
      <c r="L28" s="131"/>
      <c r="M28" s="131"/>
      <c r="N28" s="131"/>
      <c r="O28" s="131"/>
      <c r="P28" s="131"/>
      <c r="Q28" s="131"/>
      <c r="R28" s="131"/>
      <c r="S28" s="131"/>
      <c r="T28" s="131"/>
      <c r="U28" s="131"/>
      <c r="V28" s="131"/>
      <c r="W28" s="131"/>
      <c r="X28" s="131"/>
      <c r="Y28" s="131"/>
      <c r="Z28" s="131"/>
      <c r="AA28" s="131"/>
      <c r="AB28" s="131"/>
      <c r="AC28" s="131"/>
    </row>
    <row r="29" ht="21.0" customHeight="1">
      <c r="A29" s="24"/>
      <c r="B29" s="272" t="s">
        <v>1013</v>
      </c>
      <c r="C29" s="324">
        <v>25.0</v>
      </c>
      <c r="D29" s="322"/>
      <c r="E29" s="93" t="s">
        <v>1014</v>
      </c>
      <c r="F29" s="268"/>
      <c r="G29" s="263"/>
      <c r="H29" s="267"/>
      <c r="I29" s="267"/>
      <c r="J29" s="267"/>
      <c r="K29" s="131"/>
      <c r="L29" s="131"/>
      <c r="M29" s="131"/>
      <c r="N29" s="131"/>
      <c r="O29" s="131"/>
      <c r="P29" s="131"/>
      <c r="Q29" s="131"/>
      <c r="R29" s="131"/>
      <c r="S29" s="131"/>
      <c r="T29" s="131"/>
      <c r="U29" s="131"/>
      <c r="V29" s="131"/>
      <c r="W29" s="131"/>
      <c r="X29" s="131"/>
      <c r="Y29" s="131"/>
      <c r="Z29" s="131"/>
      <c r="AA29" s="131"/>
      <c r="AB29" s="131"/>
      <c r="AC29" s="131"/>
    </row>
    <row r="30" ht="18.0" customHeight="1">
      <c r="A30" s="32"/>
      <c r="B30" s="278" t="s">
        <v>1015</v>
      </c>
      <c r="C30" s="324">
        <v>0.0</v>
      </c>
      <c r="D30" s="322"/>
      <c r="E30" s="268"/>
      <c r="F30" s="268"/>
      <c r="G30" s="263"/>
      <c r="H30" s="58"/>
      <c r="I30" s="58"/>
      <c r="J30" s="58"/>
      <c r="K30" s="131"/>
      <c r="L30" s="131"/>
      <c r="M30" s="131"/>
      <c r="N30" s="131"/>
      <c r="O30" s="131"/>
      <c r="P30" s="131"/>
      <c r="Q30" s="131"/>
      <c r="R30" s="131"/>
      <c r="S30" s="131"/>
      <c r="T30" s="131"/>
      <c r="U30" s="131"/>
      <c r="V30" s="131"/>
      <c r="W30" s="131"/>
      <c r="X30" s="131"/>
      <c r="Y30" s="131"/>
      <c r="Z30" s="131"/>
      <c r="AA30" s="131"/>
      <c r="AB30" s="131"/>
      <c r="AC30" s="131"/>
    </row>
    <row r="31" ht="21.0" customHeight="1">
      <c r="A31" s="168">
        <v>7.0</v>
      </c>
      <c r="B31" s="269" t="s">
        <v>1016</v>
      </c>
      <c r="C31" s="58"/>
      <c r="D31" s="322"/>
      <c r="E31" s="268"/>
      <c r="F31" s="268"/>
      <c r="G31" s="263"/>
      <c r="H31" s="270" t="s">
        <v>1017</v>
      </c>
      <c r="I31" s="270" t="s">
        <v>1018</v>
      </c>
      <c r="J31" s="270" t="s">
        <v>1019</v>
      </c>
      <c r="K31" s="131"/>
      <c r="L31" s="131"/>
      <c r="M31" s="131"/>
      <c r="N31" s="131"/>
      <c r="O31" s="131"/>
      <c r="P31" s="131"/>
      <c r="Q31" s="131"/>
      <c r="R31" s="131"/>
      <c r="S31" s="131"/>
      <c r="T31" s="131"/>
      <c r="U31" s="131"/>
      <c r="V31" s="131"/>
      <c r="W31" s="131"/>
      <c r="X31" s="131"/>
      <c r="Y31" s="131"/>
      <c r="Z31" s="131"/>
      <c r="AA31" s="131"/>
      <c r="AB31" s="131"/>
      <c r="AC31" s="131"/>
    </row>
    <row r="32" ht="33.75" customHeight="1">
      <c r="A32" s="24"/>
      <c r="B32" s="272" t="s">
        <v>1020</v>
      </c>
      <c r="C32" s="324">
        <v>100.0</v>
      </c>
      <c r="D32" s="322">
        <v>100.0</v>
      </c>
      <c r="E32" s="93" t="s">
        <v>1021</v>
      </c>
      <c r="F32" s="268"/>
      <c r="G32" s="263" t="s">
        <v>1022</v>
      </c>
      <c r="H32" s="267"/>
      <c r="I32" s="267"/>
      <c r="J32" s="267"/>
      <c r="K32" s="131"/>
      <c r="L32" s="131"/>
      <c r="M32" s="131"/>
      <c r="N32" s="131"/>
      <c r="O32" s="131"/>
      <c r="P32" s="131"/>
      <c r="Q32" s="131"/>
      <c r="R32" s="131"/>
      <c r="S32" s="131"/>
      <c r="T32" s="131"/>
      <c r="U32" s="131"/>
      <c r="V32" s="131"/>
      <c r="W32" s="131"/>
      <c r="X32" s="131"/>
      <c r="Y32" s="131"/>
      <c r="Z32" s="131"/>
      <c r="AA32" s="131"/>
      <c r="AB32" s="131"/>
      <c r="AC32" s="131"/>
    </row>
    <row r="33" ht="21.0" customHeight="1">
      <c r="A33" s="24"/>
      <c r="B33" s="272" t="s">
        <v>1023</v>
      </c>
      <c r="C33" s="324">
        <v>50.0</v>
      </c>
      <c r="D33" s="322"/>
      <c r="E33" s="93" t="s">
        <v>1024</v>
      </c>
      <c r="F33" s="268"/>
      <c r="G33" s="263"/>
      <c r="H33" s="267"/>
      <c r="I33" s="267"/>
      <c r="J33" s="267"/>
      <c r="K33" s="131"/>
      <c r="L33" s="131"/>
      <c r="M33" s="131"/>
      <c r="N33" s="131"/>
      <c r="O33" s="131"/>
      <c r="P33" s="131"/>
      <c r="Q33" s="131"/>
      <c r="R33" s="131"/>
      <c r="S33" s="131"/>
      <c r="T33" s="131"/>
      <c r="U33" s="131"/>
      <c r="V33" s="131"/>
      <c r="W33" s="131"/>
      <c r="X33" s="131"/>
      <c r="Y33" s="131"/>
      <c r="Z33" s="131"/>
      <c r="AA33" s="131"/>
      <c r="AB33" s="131"/>
      <c r="AC33" s="131"/>
    </row>
    <row r="34" ht="22.5" customHeight="1">
      <c r="A34" s="32"/>
      <c r="B34" s="272" t="s">
        <v>1025</v>
      </c>
      <c r="C34" s="324">
        <v>0.0</v>
      </c>
      <c r="D34" s="322"/>
      <c r="E34" s="93" t="s">
        <v>1026</v>
      </c>
      <c r="F34" s="268"/>
      <c r="G34" s="263"/>
      <c r="H34" s="58"/>
      <c r="I34" s="58"/>
      <c r="J34" s="58"/>
      <c r="K34" s="131"/>
      <c r="L34" s="131"/>
      <c r="M34" s="131"/>
      <c r="N34" s="131"/>
      <c r="O34" s="131"/>
      <c r="P34" s="131"/>
      <c r="Q34" s="131"/>
      <c r="R34" s="131"/>
      <c r="S34" s="131"/>
      <c r="T34" s="131"/>
      <c r="U34" s="131"/>
      <c r="V34" s="131"/>
      <c r="W34" s="131"/>
      <c r="X34" s="131"/>
      <c r="Y34" s="131"/>
      <c r="Z34" s="131"/>
      <c r="AA34" s="131"/>
      <c r="AB34" s="131"/>
      <c r="AC34" s="131"/>
    </row>
    <row r="35" ht="21.0" customHeight="1">
      <c r="A35" s="168">
        <v>8.0</v>
      </c>
      <c r="B35" s="269" t="s">
        <v>1027</v>
      </c>
      <c r="C35" s="58"/>
      <c r="D35" s="322"/>
      <c r="E35" s="268"/>
      <c r="F35" s="268"/>
      <c r="G35" s="263"/>
      <c r="H35" s="270" t="s">
        <v>1028</v>
      </c>
      <c r="I35" s="270" t="s">
        <v>1029</v>
      </c>
      <c r="J35" s="270" t="s">
        <v>1030</v>
      </c>
      <c r="K35" s="131"/>
      <c r="L35" s="131"/>
      <c r="M35" s="131"/>
      <c r="N35" s="131"/>
      <c r="O35" s="131"/>
      <c r="P35" s="131"/>
      <c r="Q35" s="131"/>
      <c r="R35" s="131"/>
      <c r="S35" s="131"/>
      <c r="T35" s="131"/>
      <c r="U35" s="131"/>
      <c r="V35" s="131"/>
      <c r="W35" s="131"/>
      <c r="X35" s="131"/>
      <c r="Y35" s="131"/>
      <c r="Z35" s="131"/>
      <c r="AA35" s="131"/>
      <c r="AB35" s="131"/>
      <c r="AC35" s="131"/>
    </row>
    <row r="36" ht="21.0" customHeight="1">
      <c r="A36" s="24"/>
      <c r="B36" s="272" t="s">
        <v>1031</v>
      </c>
      <c r="C36" s="324">
        <v>100.0</v>
      </c>
      <c r="D36" s="223">
        <v>100.0</v>
      </c>
      <c r="E36" s="93" t="s">
        <v>1032</v>
      </c>
      <c r="F36" s="268"/>
      <c r="G36" s="263" t="s">
        <v>1033</v>
      </c>
      <c r="H36" s="267"/>
      <c r="I36" s="267"/>
      <c r="J36" s="267"/>
      <c r="K36" s="131"/>
      <c r="L36" s="131"/>
      <c r="M36" s="131"/>
      <c r="N36" s="131"/>
      <c r="O36" s="131"/>
      <c r="P36" s="131"/>
      <c r="Q36" s="131"/>
      <c r="R36" s="131"/>
      <c r="S36" s="131"/>
      <c r="T36" s="131"/>
      <c r="U36" s="131"/>
      <c r="V36" s="131"/>
      <c r="W36" s="131"/>
      <c r="X36" s="131"/>
      <c r="Y36" s="131"/>
      <c r="Z36" s="131"/>
      <c r="AA36" s="131"/>
      <c r="AB36" s="131"/>
      <c r="AC36" s="131"/>
    </row>
    <row r="37" ht="21.0" customHeight="1">
      <c r="A37" s="24"/>
      <c r="B37" s="272" t="s">
        <v>1034</v>
      </c>
      <c r="C37" s="324">
        <v>50.0</v>
      </c>
      <c r="D37" s="322"/>
      <c r="E37" s="93" t="s">
        <v>1035</v>
      </c>
      <c r="F37" s="268"/>
      <c r="G37" s="263"/>
      <c r="H37" s="267"/>
      <c r="I37" s="267"/>
      <c r="J37" s="267"/>
      <c r="K37" s="131"/>
      <c r="L37" s="131"/>
      <c r="M37" s="131"/>
      <c r="N37" s="131"/>
      <c r="O37" s="131"/>
      <c r="P37" s="131"/>
      <c r="Q37" s="131"/>
      <c r="R37" s="131"/>
      <c r="S37" s="131"/>
      <c r="T37" s="131"/>
      <c r="U37" s="131"/>
      <c r="V37" s="131"/>
      <c r="W37" s="131"/>
      <c r="X37" s="131"/>
      <c r="Y37" s="131"/>
      <c r="Z37" s="131"/>
      <c r="AA37" s="131"/>
      <c r="AB37" s="131"/>
      <c r="AC37" s="131"/>
    </row>
    <row r="38" ht="17.25" customHeight="1">
      <c r="A38" s="24"/>
      <c r="B38" s="272" t="s">
        <v>1036</v>
      </c>
      <c r="C38" s="324">
        <v>25.0</v>
      </c>
      <c r="D38" s="322"/>
      <c r="E38" s="93" t="s">
        <v>1037</v>
      </c>
      <c r="F38" s="268"/>
      <c r="G38" s="263"/>
      <c r="H38" s="267"/>
      <c r="I38" s="267"/>
      <c r="J38" s="267"/>
      <c r="K38" s="131"/>
      <c r="L38" s="131"/>
      <c r="M38" s="131"/>
      <c r="N38" s="131"/>
      <c r="O38" s="131"/>
      <c r="P38" s="131"/>
      <c r="Q38" s="131"/>
      <c r="R38" s="131"/>
      <c r="S38" s="131"/>
      <c r="T38" s="131"/>
      <c r="U38" s="131"/>
      <c r="V38" s="131"/>
      <c r="W38" s="131"/>
      <c r="X38" s="131"/>
      <c r="Y38" s="131"/>
      <c r="Z38" s="131"/>
      <c r="AA38" s="131"/>
      <c r="AB38" s="131"/>
      <c r="AC38" s="131"/>
    </row>
    <row r="39" ht="21.0" customHeight="1">
      <c r="A39" s="32"/>
      <c r="B39" s="272" t="s">
        <v>1038</v>
      </c>
      <c r="C39" s="324">
        <v>0.0</v>
      </c>
      <c r="D39" s="322"/>
      <c r="E39" s="268"/>
      <c r="F39" s="268"/>
      <c r="G39" s="263"/>
      <c r="H39" s="58"/>
      <c r="I39" s="58"/>
      <c r="J39" s="58"/>
      <c r="K39" s="131"/>
      <c r="L39" s="131"/>
      <c r="M39" s="131"/>
      <c r="N39" s="131"/>
      <c r="O39" s="131"/>
      <c r="P39" s="131"/>
      <c r="Q39" s="131"/>
      <c r="R39" s="131"/>
      <c r="S39" s="131"/>
      <c r="T39" s="131"/>
      <c r="U39" s="131"/>
      <c r="V39" s="131"/>
      <c r="W39" s="131"/>
      <c r="X39" s="131"/>
      <c r="Y39" s="131"/>
      <c r="Z39" s="131"/>
      <c r="AA39" s="131"/>
      <c r="AB39" s="131"/>
      <c r="AC39" s="131"/>
    </row>
    <row r="40" ht="21.0" customHeight="1">
      <c r="A40" s="168">
        <v>9.0</v>
      </c>
      <c r="B40" s="325" t="s">
        <v>1039</v>
      </c>
      <c r="C40" s="58"/>
      <c r="D40" s="322"/>
      <c r="E40" s="93" t="s">
        <v>1040</v>
      </c>
      <c r="F40" s="268"/>
      <c r="G40" s="263"/>
      <c r="H40" s="270" t="s">
        <v>1041</v>
      </c>
      <c r="I40" s="270" t="s">
        <v>1042</v>
      </c>
      <c r="J40" s="328" t="s">
        <v>1043</v>
      </c>
      <c r="K40" s="131"/>
      <c r="L40" s="131"/>
      <c r="M40" s="131"/>
      <c r="N40" s="131"/>
      <c r="O40" s="131"/>
      <c r="P40" s="131"/>
      <c r="Q40" s="131"/>
      <c r="R40" s="131"/>
      <c r="S40" s="131"/>
      <c r="T40" s="131"/>
      <c r="U40" s="131"/>
      <c r="V40" s="131"/>
      <c r="W40" s="131"/>
      <c r="X40" s="131"/>
      <c r="Y40" s="131"/>
      <c r="Z40" s="131"/>
      <c r="AA40" s="131"/>
      <c r="AB40" s="131"/>
      <c r="AC40" s="131"/>
    </row>
    <row r="41" ht="21.0" customHeight="1">
      <c r="A41" s="24"/>
      <c r="B41" s="278" t="s">
        <v>1044</v>
      </c>
      <c r="C41" s="321">
        <v>100.0</v>
      </c>
      <c r="D41" s="223">
        <v>100.0</v>
      </c>
      <c r="E41" s="93" t="s">
        <v>1045</v>
      </c>
      <c r="F41" s="268">
        <v>100.0</v>
      </c>
      <c r="G41" s="263" t="s">
        <v>608</v>
      </c>
      <c r="H41" s="267"/>
      <c r="I41" s="267"/>
      <c r="J41" s="267"/>
      <c r="K41" s="131"/>
      <c r="L41" s="131"/>
      <c r="M41" s="131"/>
      <c r="N41" s="131"/>
      <c r="O41" s="131"/>
      <c r="P41" s="131"/>
      <c r="Q41" s="131"/>
      <c r="R41" s="131"/>
      <c r="S41" s="131"/>
      <c r="T41" s="131"/>
      <c r="U41" s="131"/>
      <c r="V41" s="131"/>
      <c r="W41" s="131"/>
      <c r="X41" s="131"/>
      <c r="Y41" s="131"/>
      <c r="Z41" s="131"/>
      <c r="AA41" s="131"/>
      <c r="AB41" s="131"/>
      <c r="AC41" s="131"/>
    </row>
    <row r="42" ht="21.0" customHeight="1">
      <c r="A42" s="32"/>
      <c r="B42" s="278" t="s">
        <v>1046</v>
      </c>
      <c r="C42" s="321">
        <v>0.0</v>
      </c>
      <c r="D42" s="322"/>
      <c r="E42" s="107" t="s">
        <v>1047</v>
      </c>
      <c r="F42" s="268"/>
      <c r="G42" s="263"/>
      <c r="H42" s="58"/>
      <c r="I42" s="58"/>
      <c r="J42" s="58"/>
      <c r="K42" s="131"/>
      <c r="L42" s="131"/>
      <c r="M42" s="131"/>
      <c r="N42" s="131"/>
      <c r="O42" s="131"/>
      <c r="P42" s="131"/>
      <c r="Q42" s="131"/>
      <c r="R42" s="131"/>
      <c r="S42" s="131"/>
      <c r="T42" s="131"/>
      <c r="U42" s="131"/>
      <c r="V42" s="131"/>
      <c r="W42" s="131"/>
      <c r="X42" s="131"/>
      <c r="Y42" s="131"/>
      <c r="Z42" s="131"/>
      <c r="AA42" s="131"/>
      <c r="AB42" s="131"/>
      <c r="AC42" s="131"/>
    </row>
    <row r="43" ht="14.25" customHeight="1">
      <c r="A43" s="168">
        <v>10.0</v>
      </c>
      <c r="B43" s="269" t="s">
        <v>1048</v>
      </c>
      <c r="C43" s="58"/>
      <c r="D43" s="322"/>
      <c r="F43" s="268"/>
      <c r="G43" s="263"/>
      <c r="H43" s="270" t="s">
        <v>1049</v>
      </c>
      <c r="I43" s="270" t="s">
        <v>1042</v>
      </c>
      <c r="J43" s="270" t="s">
        <v>1050</v>
      </c>
      <c r="K43" s="131"/>
      <c r="L43" s="131"/>
      <c r="M43" s="131"/>
      <c r="N43" s="131"/>
      <c r="O43" s="131"/>
      <c r="P43" s="131"/>
      <c r="Q43" s="131"/>
      <c r="R43" s="131"/>
      <c r="S43" s="131"/>
      <c r="T43" s="131"/>
      <c r="U43" s="131"/>
      <c r="V43" s="131"/>
      <c r="W43" s="131"/>
      <c r="X43" s="131"/>
      <c r="Y43" s="131"/>
      <c r="Z43" s="131"/>
      <c r="AA43" s="131"/>
      <c r="AB43" s="131"/>
      <c r="AC43" s="131"/>
    </row>
    <row r="44" ht="21.0" customHeight="1">
      <c r="A44" s="24"/>
      <c r="B44" s="278" t="s">
        <v>1051</v>
      </c>
      <c r="C44" s="324">
        <v>100.0</v>
      </c>
      <c r="D44" s="223"/>
      <c r="E44" s="329"/>
      <c r="F44" s="268"/>
      <c r="G44" s="263"/>
      <c r="H44" s="267"/>
      <c r="I44" s="267"/>
      <c r="J44" s="267"/>
      <c r="K44" s="131"/>
      <c r="L44" s="131"/>
      <c r="M44" s="131"/>
      <c r="N44" s="131"/>
      <c r="O44" s="131"/>
      <c r="P44" s="131"/>
      <c r="Q44" s="131"/>
      <c r="R44" s="131"/>
      <c r="S44" s="131"/>
      <c r="T44" s="131"/>
      <c r="U44" s="131"/>
      <c r="V44" s="131"/>
      <c r="W44" s="131"/>
      <c r="X44" s="131"/>
      <c r="Y44" s="131"/>
      <c r="Z44" s="131"/>
      <c r="AA44" s="131"/>
      <c r="AB44" s="131"/>
      <c r="AC44" s="131"/>
    </row>
    <row r="45" ht="21.0" customHeight="1">
      <c r="A45" s="24"/>
      <c r="B45" s="278" t="s">
        <v>773</v>
      </c>
      <c r="C45" s="324">
        <v>50.0</v>
      </c>
      <c r="D45" s="322">
        <v>50.0</v>
      </c>
      <c r="E45" s="93" t="s">
        <v>1052</v>
      </c>
      <c r="F45" s="268"/>
      <c r="G45" s="263" t="s">
        <v>1053</v>
      </c>
      <c r="H45" s="267"/>
      <c r="I45" s="267"/>
      <c r="J45" s="267"/>
      <c r="K45" s="131"/>
      <c r="L45" s="131"/>
      <c r="M45" s="131"/>
      <c r="N45" s="131"/>
      <c r="O45" s="131"/>
      <c r="P45" s="131"/>
      <c r="Q45" s="131"/>
      <c r="R45" s="131"/>
      <c r="S45" s="131"/>
      <c r="T45" s="131"/>
      <c r="U45" s="131"/>
      <c r="V45" s="131"/>
      <c r="W45" s="131"/>
      <c r="X45" s="131"/>
      <c r="Y45" s="131"/>
      <c r="Z45" s="131"/>
      <c r="AA45" s="131"/>
      <c r="AB45" s="131"/>
      <c r="AC45" s="131"/>
    </row>
    <row r="46" ht="21.0" customHeight="1">
      <c r="A46" s="32"/>
      <c r="B46" s="278" t="s">
        <v>1054</v>
      </c>
      <c r="C46" s="324">
        <v>0.0</v>
      </c>
      <c r="D46" s="322"/>
      <c r="E46" s="268"/>
      <c r="F46" s="268"/>
      <c r="G46" s="263"/>
      <c r="H46" s="58"/>
      <c r="I46" s="58"/>
      <c r="J46" s="58"/>
      <c r="K46" s="131"/>
      <c r="L46" s="131"/>
      <c r="M46" s="131"/>
      <c r="N46" s="131"/>
      <c r="O46" s="131"/>
      <c r="P46" s="131"/>
      <c r="Q46" s="131"/>
      <c r="R46" s="131"/>
      <c r="S46" s="131"/>
      <c r="T46" s="131"/>
      <c r="U46" s="131"/>
      <c r="V46" s="131"/>
      <c r="W46" s="131"/>
      <c r="X46" s="131"/>
      <c r="Y46" s="131"/>
      <c r="Z46" s="131"/>
      <c r="AA46" s="131"/>
      <c r="AB46" s="131"/>
      <c r="AC46" s="131"/>
    </row>
    <row r="47" ht="21.0" customHeight="1">
      <c r="A47" s="168">
        <v>11.0</v>
      </c>
      <c r="B47" s="278" t="s">
        <v>1055</v>
      </c>
      <c r="C47" s="268"/>
      <c r="D47" s="322"/>
      <c r="E47" s="93" t="s">
        <v>1056</v>
      </c>
      <c r="F47" s="268"/>
      <c r="G47" s="263"/>
      <c r="H47" s="270" t="s">
        <v>1057</v>
      </c>
      <c r="I47" s="270" t="s">
        <v>1058</v>
      </c>
      <c r="J47" s="270" t="s">
        <v>1050</v>
      </c>
      <c r="K47" s="131"/>
      <c r="L47" s="131"/>
      <c r="M47" s="131"/>
      <c r="N47" s="131"/>
      <c r="O47" s="131"/>
      <c r="P47" s="131"/>
      <c r="Q47" s="131"/>
      <c r="R47" s="131"/>
      <c r="S47" s="131"/>
      <c r="T47" s="131"/>
      <c r="U47" s="131"/>
      <c r="V47" s="131"/>
      <c r="W47" s="131"/>
      <c r="X47" s="131"/>
      <c r="Y47" s="131"/>
      <c r="Z47" s="131"/>
      <c r="AA47" s="131"/>
      <c r="AB47" s="131"/>
      <c r="AC47" s="131"/>
    </row>
    <row r="48" ht="20.25" customHeight="1">
      <c r="A48" s="24"/>
      <c r="B48" s="278" t="s">
        <v>1051</v>
      </c>
      <c r="C48" s="324">
        <v>100.0</v>
      </c>
      <c r="D48" s="223">
        <v>100.0</v>
      </c>
      <c r="E48" s="93" t="s">
        <v>1059</v>
      </c>
      <c r="F48" s="268"/>
      <c r="G48" s="263" t="s">
        <v>1060</v>
      </c>
      <c r="H48" s="267"/>
      <c r="I48" s="267"/>
      <c r="J48" s="267"/>
      <c r="K48" s="131"/>
      <c r="L48" s="131"/>
      <c r="M48" s="131"/>
      <c r="N48" s="131"/>
      <c r="O48" s="131"/>
      <c r="P48" s="131"/>
      <c r="Q48" s="131"/>
      <c r="R48" s="131"/>
      <c r="S48" s="131"/>
      <c r="T48" s="131"/>
      <c r="U48" s="131"/>
      <c r="V48" s="131"/>
      <c r="W48" s="131"/>
      <c r="X48" s="131"/>
      <c r="Y48" s="131"/>
      <c r="Z48" s="131"/>
      <c r="AA48" s="131"/>
      <c r="AB48" s="131"/>
      <c r="AC48" s="131"/>
    </row>
    <row r="49" ht="21.0" customHeight="1">
      <c r="A49" s="24"/>
      <c r="B49" s="278" t="s">
        <v>773</v>
      </c>
      <c r="C49" s="324">
        <v>50.0</v>
      </c>
      <c r="D49" s="322"/>
      <c r="E49" s="93" t="s">
        <v>1061</v>
      </c>
      <c r="F49" s="268"/>
      <c r="G49" s="263"/>
      <c r="H49" s="267"/>
      <c r="I49" s="267"/>
      <c r="J49" s="267"/>
      <c r="K49" s="131"/>
      <c r="L49" s="131"/>
      <c r="M49" s="131"/>
      <c r="N49" s="131"/>
      <c r="O49" s="131"/>
      <c r="P49" s="131"/>
      <c r="Q49" s="131"/>
      <c r="R49" s="131"/>
      <c r="S49" s="131"/>
      <c r="T49" s="131"/>
      <c r="U49" s="131"/>
      <c r="V49" s="131"/>
      <c r="W49" s="131"/>
      <c r="X49" s="131"/>
      <c r="Y49" s="131"/>
      <c r="Z49" s="131"/>
      <c r="AA49" s="131"/>
      <c r="AB49" s="131"/>
      <c r="AC49" s="131"/>
    </row>
    <row r="50" ht="21.0" customHeight="1">
      <c r="A50" s="32"/>
      <c r="B50" s="278" t="s">
        <v>1054</v>
      </c>
      <c r="C50" s="324">
        <v>0.0</v>
      </c>
      <c r="D50" s="322"/>
      <c r="E50" s="268"/>
      <c r="F50" s="268"/>
      <c r="G50" s="263"/>
      <c r="H50" s="58"/>
      <c r="I50" s="58"/>
      <c r="J50" s="58"/>
      <c r="K50" s="131"/>
      <c r="L50" s="131"/>
      <c r="M50" s="131"/>
      <c r="N50" s="131"/>
      <c r="O50" s="131"/>
      <c r="P50" s="131"/>
      <c r="Q50" s="131"/>
      <c r="R50" s="131"/>
      <c r="S50" s="131"/>
      <c r="T50" s="131"/>
      <c r="U50" s="131"/>
      <c r="V50" s="131"/>
      <c r="W50" s="131"/>
      <c r="X50" s="131"/>
      <c r="Y50" s="131"/>
      <c r="Z50" s="131"/>
      <c r="AA50" s="131"/>
      <c r="AB50" s="131"/>
      <c r="AC50" s="131"/>
    </row>
    <row r="51" ht="21.0" customHeight="1">
      <c r="A51" s="168">
        <v>12.0</v>
      </c>
      <c r="B51" s="269" t="s">
        <v>1062</v>
      </c>
      <c r="C51" s="58"/>
      <c r="D51" s="322"/>
      <c r="E51" s="268"/>
      <c r="F51" s="268"/>
      <c r="G51" s="263"/>
      <c r="H51" s="270" t="s">
        <v>1063</v>
      </c>
      <c r="I51" s="270" t="s">
        <v>1064</v>
      </c>
      <c r="J51" s="270" t="s">
        <v>1050</v>
      </c>
      <c r="K51" s="131"/>
      <c r="L51" s="131"/>
      <c r="M51" s="131"/>
      <c r="N51" s="131"/>
      <c r="O51" s="131"/>
      <c r="P51" s="131"/>
      <c r="Q51" s="131"/>
      <c r="R51" s="131"/>
      <c r="S51" s="131"/>
      <c r="T51" s="131"/>
      <c r="U51" s="131"/>
      <c r="V51" s="131"/>
      <c r="W51" s="131"/>
      <c r="X51" s="131"/>
      <c r="Y51" s="131"/>
      <c r="Z51" s="131"/>
      <c r="AA51" s="131"/>
      <c r="AB51" s="131"/>
      <c r="AC51" s="131"/>
    </row>
    <row r="52" ht="19.5" customHeight="1">
      <c r="A52" s="24"/>
      <c r="B52" s="272" t="s">
        <v>1065</v>
      </c>
      <c r="C52" s="324">
        <v>100.0</v>
      </c>
      <c r="D52" s="322">
        <v>100.0</v>
      </c>
      <c r="E52" s="107" t="s">
        <v>1066</v>
      </c>
      <c r="F52" s="268"/>
      <c r="G52" s="263" t="s">
        <v>1067</v>
      </c>
      <c r="H52" s="267"/>
      <c r="I52" s="267"/>
      <c r="J52" s="267"/>
      <c r="K52" s="131"/>
      <c r="L52" s="131"/>
      <c r="M52" s="131"/>
      <c r="N52" s="131"/>
      <c r="O52" s="131"/>
      <c r="P52" s="131"/>
      <c r="Q52" s="131"/>
      <c r="R52" s="131"/>
      <c r="S52" s="131"/>
      <c r="T52" s="131"/>
      <c r="U52" s="131"/>
      <c r="V52" s="131"/>
      <c r="W52" s="131"/>
      <c r="X52" s="131"/>
      <c r="Y52" s="131"/>
      <c r="Z52" s="131"/>
      <c r="AA52" s="131"/>
      <c r="AB52" s="131"/>
      <c r="AC52" s="131"/>
    </row>
    <row r="53" ht="21.0" customHeight="1">
      <c r="A53" s="24"/>
      <c r="B53" s="272" t="s">
        <v>1068</v>
      </c>
      <c r="C53" s="324">
        <v>50.0</v>
      </c>
      <c r="D53" s="322"/>
      <c r="E53" s="107" t="s">
        <v>1069</v>
      </c>
      <c r="F53" s="268"/>
      <c r="G53" s="263"/>
      <c r="H53" s="267"/>
      <c r="I53" s="267"/>
      <c r="J53" s="267"/>
      <c r="K53" s="131"/>
      <c r="L53" s="131"/>
      <c r="M53" s="131"/>
      <c r="N53" s="131"/>
      <c r="O53" s="131"/>
      <c r="P53" s="131"/>
      <c r="Q53" s="131"/>
      <c r="R53" s="131"/>
      <c r="S53" s="131"/>
      <c r="T53" s="131"/>
      <c r="U53" s="131"/>
      <c r="V53" s="131"/>
      <c r="W53" s="131"/>
      <c r="X53" s="131"/>
      <c r="Y53" s="131"/>
      <c r="Z53" s="131"/>
      <c r="AA53" s="131"/>
      <c r="AB53" s="131"/>
      <c r="AC53" s="131"/>
    </row>
    <row r="54" ht="21.0" customHeight="1">
      <c r="A54" s="24"/>
      <c r="B54" s="272" t="s">
        <v>1070</v>
      </c>
      <c r="C54" s="324">
        <v>25.0</v>
      </c>
      <c r="D54" s="322"/>
      <c r="E54" s="268"/>
      <c r="F54" s="268"/>
      <c r="G54" s="263"/>
      <c r="H54" s="267"/>
      <c r="I54" s="267"/>
      <c r="J54" s="267"/>
      <c r="K54" s="131"/>
      <c r="L54" s="131"/>
      <c r="M54" s="131"/>
      <c r="N54" s="131"/>
      <c r="O54" s="131"/>
      <c r="P54" s="131"/>
      <c r="Q54" s="131"/>
      <c r="R54" s="131"/>
      <c r="S54" s="131"/>
      <c r="T54" s="131"/>
      <c r="U54" s="131"/>
      <c r="V54" s="131"/>
      <c r="W54" s="131"/>
      <c r="X54" s="131"/>
      <c r="Y54" s="131"/>
      <c r="Z54" s="131"/>
      <c r="AA54" s="131"/>
      <c r="AB54" s="131"/>
      <c r="AC54" s="131"/>
    </row>
    <row r="55" ht="21.0" customHeight="1">
      <c r="A55" s="32"/>
      <c r="B55" s="278" t="s">
        <v>1071</v>
      </c>
      <c r="C55" s="324">
        <v>0.0</v>
      </c>
      <c r="D55" s="322"/>
      <c r="E55" s="268"/>
      <c r="F55" s="268"/>
      <c r="G55" s="263"/>
      <c r="H55" s="58"/>
      <c r="I55" s="58"/>
      <c r="J55" s="58"/>
      <c r="K55" s="131"/>
      <c r="L55" s="131"/>
      <c r="M55" s="131"/>
      <c r="N55" s="131"/>
      <c r="O55" s="131"/>
      <c r="P55" s="131"/>
      <c r="Q55" s="131"/>
      <c r="R55" s="131"/>
      <c r="S55" s="131"/>
      <c r="T55" s="131"/>
      <c r="U55" s="131"/>
      <c r="V55" s="131"/>
      <c r="W55" s="131"/>
      <c r="X55" s="131"/>
      <c r="Y55" s="131"/>
      <c r="Z55" s="131"/>
      <c r="AA55" s="131"/>
      <c r="AB55" s="131"/>
      <c r="AC55" s="131"/>
    </row>
    <row r="56" ht="21.0" customHeight="1">
      <c r="A56" s="289"/>
      <c r="B56" s="330" t="s">
        <v>311</v>
      </c>
      <c r="C56" s="330"/>
      <c r="D56" s="331">
        <f>SUM(D10:D55)</f>
        <v>1150</v>
      </c>
      <c r="E56" s="331"/>
      <c r="F56" s="331">
        <f>SUM(F10:F55)</f>
        <v>500</v>
      </c>
      <c r="G56" s="332"/>
      <c r="H56" s="333"/>
      <c r="I56" s="334"/>
      <c r="J56" s="334"/>
      <c r="K56" s="131"/>
      <c r="L56" s="131"/>
      <c r="M56" s="131"/>
      <c r="N56" s="131"/>
      <c r="O56" s="131"/>
      <c r="P56" s="131"/>
      <c r="Q56" s="131"/>
      <c r="R56" s="131"/>
      <c r="S56" s="131"/>
      <c r="T56" s="131"/>
      <c r="U56" s="131"/>
      <c r="V56" s="131"/>
      <c r="W56" s="131"/>
      <c r="X56" s="131"/>
      <c r="Y56" s="131"/>
      <c r="Z56" s="131"/>
      <c r="AA56" s="131"/>
      <c r="AB56" s="131"/>
      <c r="AC56" s="131"/>
    </row>
    <row r="57" ht="15.75" customHeight="1">
      <c r="A57" s="335"/>
      <c r="B57" s="336"/>
      <c r="C57" s="336"/>
      <c r="D57" s="336">
        <f>D56/1200*100</f>
        <v>95.83333333</v>
      </c>
      <c r="E57" s="336"/>
      <c r="F57" s="336">
        <f>F56/1200*100</f>
        <v>41.66666667</v>
      </c>
      <c r="G57" s="6"/>
      <c r="H57" s="6"/>
      <c r="I57" s="6"/>
      <c r="J57" s="6"/>
      <c r="K57" s="131"/>
      <c r="L57" s="131"/>
      <c r="M57" s="131"/>
      <c r="N57" s="131"/>
      <c r="O57" s="131"/>
      <c r="P57" s="131"/>
      <c r="Q57" s="131"/>
      <c r="R57" s="131"/>
      <c r="S57" s="131"/>
      <c r="T57" s="131"/>
      <c r="U57" s="131"/>
      <c r="V57" s="131"/>
      <c r="W57" s="131"/>
      <c r="X57" s="131"/>
      <c r="Y57" s="131"/>
      <c r="Z57" s="131"/>
      <c r="AA57" s="131"/>
      <c r="AB57" s="131"/>
      <c r="AC57" s="131"/>
    </row>
    <row r="58" ht="15.75" customHeight="1">
      <c r="A58" s="130"/>
      <c r="B58" s="2"/>
      <c r="C58" s="2"/>
      <c r="D58" s="2"/>
      <c r="E58" s="2"/>
      <c r="F58" s="2"/>
      <c r="G58" s="6"/>
      <c r="H58" s="6"/>
      <c r="I58" s="6"/>
      <c r="J58" s="6"/>
      <c r="K58" s="131"/>
      <c r="L58" s="131"/>
      <c r="M58" s="131"/>
      <c r="N58" s="131"/>
      <c r="O58" s="131"/>
      <c r="P58" s="131"/>
      <c r="Q58" s="131"/>
      <c r="R58" s="131"/>
      <c r="S58" s="131"/>
      <c r="T58" s="131"/>
      <c r="U58" s="131"/>
      <c r="V58" s="131"/>
      <c r="W58" s="131"/>
      <c r="X58" s="131"/>
      <c r="Y58" s="131"/>
      <c r="Z58" s="131"/>
      <c r="AA58" s="131"/>
      <c r="AB58" s="131"/>
      <c r="AC58" s="131"/>
    </row>
    <row r="59" ht="15.75" customHeight="1">
      <c r="A59" s="130"/>
      <c r="B59" s="2"/>
      <c r="C59" s="2"/>
      <c r="D59" s="2"/>
      <c r="E59" s="2"/>
      <c r="F59" s="2"/>
      <c r="G59" s="6"/>
      <c r="H59" s="6"/>
      <c r="I59" s="6"/>
      <c r="J59" s="6"/>
      <c r="K59" s="131"/>
      <c r="L59" s="131"/>
      <c r="M59" s="131"/>
      <c r="N59" s="131"/>
      <c r="O59" s="131"/>
      <c r="P59" s="131"/>
      <c r="Q59" s="131"/>
      <c r="R59" s="131"/>
      <c r="S59" s="131"/>
      <c r="T59" s="131"/>
      <c r="U59" s="131"/>
      <c r="V59" s="131"/>
      <c r="W59" s="131"/>
      <c r="X59" s="131"/>
      <c r="Y59" s="131"/>
      <c r="Z59" s="131"/>
      <c r="AA59" s="131"/>
      <c r="AB59" s="131"/>
      <c r="AC59" s="131"/>
    </row>
    <row r="60" ht="15.75" customHeight="1">
      <c r="A60" s="130"/>
      <c r="B60" s="2"/>
      <c r="C60" s="2"/>
      <c r="D60" s="2"/>
      <c r="E60" s="2"/>
      <c r="F60" s="2"/>
      <c r="G60" s="6"/>
      <c r="H60" s="6"/>
      <c r="I60" s="6"/>
      <c r="J60" s="6"/>
      <c r="K60" s="131"/>
      <c r="L60" s="131"/>
      <c r="M60" s="131"/>
      <c r="N60" s="131"/>
      <c r="O60" s="131"/>
      <c r="P60" s="131"/>
      <c r="Q60" s="131"/>
      <c r="R60" s="131"/>
      <c r="S60" s="131"/>
      <c r="T60" s="131"/>
      <c r="U60" s="131"/>
      <c r="V60" s="131"/>
      <c r="W60" s="131"/>
      <c r="X60" s="131"/>
      <c r="Y60" s="131"/>
      <c r="Z60" s="131"/>
      <c r="AA60" s="131"/>
      <c r="AB60" s="131"/>
      <c r="AC60" s="131"/>
    </row>
    <row r="61" ht="15.75" customHeight="1">
      <c r="A61" s="130"/>
      <c r="B61" s="2"/>
      <c r="C61" s="2"/>
      <c r="D61" s="2"/>
      <c r="E61" s="2"/>
      <c r="F61" s="2"/>
      <c r="G61" s="6"/>
      <c r="H61" s="6"/>
      <c r="I61" s="6"/>
      <c r="J61" s="6"/>
      <c r="K61" s="131"/>
      <c r="L61" s="131"/>
      <c r="M61" s="131"/>
      <c r="N61" s="131"/>
      <c r="O61" s="131"/>
      <c r="P61" s="131"/>
      <c r="Q61" s="131"/>
      <c r="R61" s="131"/>
      <c r="S61" s="131"/>
      <c r="T61" s="131"/>
      <c r="U61" s="131"/>
      <c r="V61" s="131"/>
      <c r="W61" s="131"/>
      <c r="X61" s="131"/>
      <c r="Y61" s="131"/>
      <c r="Z61" s="131"/>
      <c r="AA61" s="131"/>
      <c r="AB61" s="131"/>
      <c r="AC61" s="131"/>
    </row>
    <row r="62" ht="15.75" customHeight="1">
      <c r="A62" s="130"/>
      <c r="B62" s="2"/>
      <c r="C62" s="2"/>
      <c r="D62" s="2"/>
      <c r="E62" s="2"/>
      <c r="F62" s="2"/>
      <c r="G62" s="6"/>
      <c r="H62" s="6"/>
      <c r="I62" s="6"/>
      <c r="J62" s="6"/>
      <c r="K62" s="131"/>
      <c r="L62" s="131"/>
      <c r="M62" s="131"/>
      <c r="N62" s="131"/>
      <c r="O62" s="131"/>
      <c r="P62" s="131"/>
      <c r="Q62" s="131"/>
      <c r="R62" s="131"/>
      <c r="S62" s="131"/>
      <c r="T62" s="131"/>
      <c r="U62" s="131"/>
      <c r="V62" s="131"/>
      <c r="W62" s="131"/>
      <c r="X62" s="131"/>
      <c r="Y62" s="131"/>
      <c r="Z62" s="131"/>
      <c r="AA62" s="131"/>
      <c r="AB62" s="131"/>
      <c r="AC62" s="131"/>
    </row>
    <row r="63" ht="15.75" customHeight="1">
      <c r="A63" s="130"/>
      <c r="B63" s="2"/>
      <c r="C63" s="2"/>
      <c r="D63" s="2"/>
      <c r="E63" s="2"/>
      <c r="F63" s="2"/>
      <c r="G63" s="6"/>
      <c r="H63" s="6"/>
      <c r="I63" s="6"/>
      <c r="J63" s="6"/>
      <c r="K63" s="131"/>
      <c r="L63" s="131"/>
      <c r="M63" s="131"/>
      <c r="N63" s="131"/>
      <c r="O63" s="131"/>
      <c r="P63" s="131"/>
      <c r="Q63" s="131"/>
      <c r="R63" s="131"/>
      <c r="S63" s="131"/>
      <c r="T63" s="131"/>
      <c r="U63" s="131"/>
      <c r="V63" s="131"/>
      <c r="W63" s="131"/>
      <c r="X63" s="131"/>
      <c r="Y63" s="131"/>
      <c r="Z63" s="131"/>
      <c r="AA63" s="131"/>
      <c r="AB63" s="131"/>
      <c r="AC63" s="131"/>
    </row>
    <row r="64" ht="15.75" customHeight="1">
      <c r="A64" s="130"/>
      <c r="B64" s="2"/>
      <c r="C64" s="2"/>
      <c r="D64" s="2"/>
      <c r="E64" s="2"/>
      <c r="F64" s="2"/>
      <c r="G64" s="6"/>
      <c r="H64" s="6"/>
      <c r="I64" s="6"/>
      <c r="J64" s="6"/>
      <c r="K64" s="131"/>
      <c r="L64" s="131"/>
      <c r="M64" s="131"/>
      <c r="N64" s="131"/>
      <c r="O64" s="131"/>
      <c r="P64" s="131"/>
      <c r="Q64" s="131"/>
      <c r="R64" s="131"/>
      <c r="S64" s="131"/>
      <c r="T64" s="131"/>
      <c r="U64" s="131"/>
      <c r="V64" s="131"/>
      <c r="W64" s="131"/>
      <c r="X64" s="131"/>
      <c r="Y64" s="131"/>
      <c r="Z64" s="131"/>
      <c r="AA64" s="131"/>
      <c r="AB64" s="131"/>
      <c r="AC64" s="131"/>
    </row>
    <row r="65" ht="15.75" customHeight="1">
      <c r="A65" s="130"/>
      <c r="B65" s="2"/>
      <c r="C65" s="2"/>
      <c r="D65" s="2"/>
      <c r="E65" s="2"/>
      <c r="F65" s="2"/>
      <c r="G65" s="6"/>
      <c r="H65" s="6"/>
      <c r="I65" s="6"/>
      <c r="J65" s="6"/>
      <c r="K65" s="131"/>
      <c r="L65" s="131"/>
      <c r="M65" s="131"/>
      <c r="N65" s="131"/>
      <c r="O65" s="131"/>
      <c r="P65" s="131"/>
      <c r="Q65" s="131"/>
      <c r="R65" s="131"/>
      <c r="S65" s="131"/>
      <c r="T65" s="131"/>
      <c r="U65" s="131"/>
      <c r="V65" s="131"/>
      <c r="W65" s="131"/>
      <c r="X65" s="131"/>
      <c r="Y65" s="131"/>
      <c r="Z65" s="131"/>
      <c r="AA65" s="131"/>
      <c r="AB65" s="131"/>
      <c r="AC65" s="131"/>
    </row>
    <row r="66" ht="15.75" customHeight="1">
      <c r="A66" s="130"/>
      <c r="B66" s="2"/>
      <c r="C66" s="2"/>
      <c r="D66" s="2"/>
      <c r="E66" s="2"/>
      <c r="F66" s="2"/>
      <c r="G66" s="6"/>
      <c r="H66" s="6"/>
      <c r="I66" s="6"/>
      <c r="J66" s="6"/>
      <c r="K66" s="131"/>
      <c r="L66" s="131"/>
      <c r="M66" s="131"/>
      <c r="N66" s="131"/>
      <c r="O66" s="131"/>
      <c r="P66" s="131"/>
      <c r="Q66" s="131"/>
      <c r="R66" s="131"/>
      <c r="S66" s="131"/>
      <c r="T66" s="131"/>
      <c r="U66" s="131"/>
      <c r="V66" s="131"/>
      <c r="W66" s="131"/>
      <c r="X66" s="131"/>
      <c r="Y66" s="131"/>
      <c r="Z66" s="131"/>
      <c r="AA66" s="131"/>
      <c r="AB66" s="131"/>
      <c r="AC66" s="131"/>
    </row>
    <row r="67" ht="15.75" customHeight="1">
      <c r="A67" s="130"/>
      <c r="B67" s="2"/>
      <c r="C67" s="2"/>
      <c r="D67" s="2"/>
      <c r="E67" s="2"/>
      <c r="F67" s="2"/>
      <c r="G67" s="6"/>
      <c r="H67" s="6"/>
      <c r="I67" s="6"/>
      <c r="J67" s="6"/>
      <c r="K67" s="131"/>
      <c r="L67" s="131"/>
      <c r="M67" s="131"/>
      <c r="N67" s="131"/>
      <c r="O67" s="131"/>
      <c r="P67" s="131"/>
      <c r="Q67" s="131"/>
      <c r="R67" s="131"/>
      <c r="S67" s="131"/>
      <c r="T67" s="131"/>
      <c r="U67" s="131"/>
      <c r="V67" s="131"/>
      <c r="W67" s="131"/>
      <c r="X67" s="131"/>
      <c r="Y67" s="131"/>
      <c r="Z67" s="131"/>
      <c r="AA67" s="131"/>
      <c r="AB67" s="131"/>
      <c r="AC67" s="131"/>
    </row>
    <row r="68" ht="15.75" customHeight="1">
      <c r="A68" s="130"/>
      <c r="B68" s="2"/>
      <c r="C68" s="2"/>
      <c r="D68" s="2"/>
      <c r="E68" s="2"/>
      <c r="F68" s="2"/>
      <c r="G68" s="6"/>
      <c r="H68" s="6"/>
      <c r="I68" s="6"/>
      <c r="J68" s="6"/>
      <c r="K68" s="131"/>
      <c r="L68" s="131"/>
      <c r="M68" s="131"/>
      <c r="N68" s="131"/>
      <c r="O68" s="131"/>
      <c r="P68" s="131"/>
      <c r="Q68" s="131"/>
      <c r="R68" s="131"/>
      <c r="S68" s="131"/>
      <c r="T68" s="131"/>
      <c r="U68" s="131"/>
      <c r="V68" s="131"/>
      <c r="W68" s="131"/>
      <c r="X68" s="131"/>
      <c r="Y68" s="131"/>
      <c r="Z68" s="131"/>
      <c r="AA68" s="131"/>
      <c r="AB68" s="131"/>
      <c r="AC68" s="131"/>
    </row>
    <row r="69" ht="15.75" customHeight="1">
      <c r="A69" s="130"/>
      <c r="B69" s="2"/>
      <c r="C69" s="2"/>
      <c r="D69" s="2"/>
      <c r="E69" s="2"/>
      <c r="F69" s="2"/>
      <c r="G69" s="6"/>
      <c r="H69" s="6"/>
      <c r="I69" s="6"/>
      <c r="J69" s="6"/>
      <c r="K69" s="131"/>
      <c r="L69" s="131"/>
      <c r="M69" s="131"/>
      <c r="N69" s="131"/>
      <c r="O69" s="131"/>
      <c r="P69" s="131"/>
      <c r="Q69" s="131"/>
      <c r="R69" s="131"/>
      <c r="S69" s="131"/>
      <c r="T69" s="131"/>
      <c r="U69" s="131"/>
      <c r="V69" s="131"/>
      <c r="W69" s="131"/>
      <c r="X69" s="131"/>
      <c r="Y69" s="131"/>
      <c r="Z69" s="131"/>
      <c r="AA69" s="131"/>
      <c r="AB69" s="131"/>
      <c r="AC69" s="131"/>
    </row>
    <row r="70" ht="15.75" customHeight="1">
      <c r="A70" s="130"/>
      <c r="B70" s="2"/>
      <c r="C70" s="2"/>
      <c r="D70" s="2"/>
      <c r="E70" s="2"/>
      <c r="F70" s="2"/>
      <c r="G70" s="6"/>
      <c r="H70" s="6"/>
      <c r="I70" s="6"/>
      <c r="J70" s="6"/>
      <c r="K70" s="131"/>
      <c r="L70" s="131"/>
      <c r="M70" s="131"/>
      <c r="N70" s="131"/>
      <c r="O70" s="131"/>
      <c r="P70" s="131"/>
      <c r="Q70" s="131"/>
      <c r="R70" s="131"/>
      <c r="S70" s="131"/>
      <c r="T70" s="131"/>
      <c r="U70" s="131"/>
      <c r="V70" s="131"/>
      <c r="W70" s="131"/>
      <c r="X70" s="131"/>
      <c r="Y70" s="131"/>
      <c r="Z70" s="131"/>
      <c r="AA70" s="131"/>
      <c r="AB70" s="131"/>
      <c r="AC70" s="131"/>
    </row>
    <row r="71" ht="15.75" customHeight="1">
      <c r="A71" s="130"/>
      <c r="B71" s="2"/>
      <c r="C71" s="2"/>
      <c r="D71" s="2"/>
      <c r="E71" s="2"/>
      <c r="F71" s="2"/>
      <c r="G71" s="6"/>
      <c r="H71" s="6"/>
      <c r="I71" s="6"/>
      <c r="J71" s="6"/>
      <c r="K71" s="131"/>
      <c r="L71" s="131"/>
      <c r="M71" s="131"/>
      <c r="N71" s="131"/>
      <c r="O71" s="131"/>
      <c r="P71" s="131"/>
      <c r="Q71" s="131"/>
      <c r="R71" s="131"/>
      <c r="S71" s="131"/>
      <c r="T71" s="131"/>
      <c r="U71" s="131"/>
      <c r="V71" s="131"/>
      <c r="W71" s="131"/>
      <c r="X71" s="131"/>
      <c r="Y71" s="131"/>
      <c r="Z71" s="131"/>
      <c r="AA71" s="131"/>
      <c r="AB71" s="131"/>
      <c r="AC71" s="131"/>
    </row>
    <row r="72" ht="15.75" customHeight="1">
      <c r="A72" s="130"/>
      <c r="B72" s="2"/>
      <c r="C72" s="2"/>
      <c r="D72" s="2"/>
      <c r="E72" s="2"/>
      <c r="F72" s="2"/>
      <c r="G72" s="6"/>
      <c r="H72" s="6"/>
      <c r="I72" s="6"/>
      <c r="J72" s="6"/>
      <c r="K72" s="131"/>
      <c r="L72" s="131"/>
      <c r="M72" s="131"/>
      <c r="N72" s="131"/>
      <c r="O72" s="131"/>
      <c r="P72" s="131"/>
      <c r="Q72" s="131"/>
      <c r="R72" s="131"/>
      <c r="S72" s="131"/>
      <c r="T72" s="131"/>
      <c r="U72" s="131"/>
      <c r="V72" s="131"/>
      <c r="W72" s="131"/>
      <c r="X72" s="131"/>
      <c r="Y72" s="131"/>
      <c r="Z72" s="131"/>
      <c r="AA72" s="131"/>
      <c r="AB72" s="131"/>
      <c r="AC72" s="131"/>
    </row>
    <row r="73" ht="15.75" customHeight="1">
      <c r="A73" s="130"/>
      <c r="B73" s="2"/>
      <c r="C73" s="2"/>
      <c r="D73" s="2"/>
      <c r="E73" s="2"/>
      <c r="F73" s="2"/>
      <c r="G73" s="6"/>
      <c r="H73" s="6"/>
      <c r="I73" s="6"/>
      <c r="J73" s="6"/>
      <c r="K73" s="131"/>
      <c r="L73" s="131"/>
      <c r="M73" s="131"/>
      <c r="N73" s="131"/>
      <c r="O73" s="131"/>
      <c r="P73" s="131"/>
      <c r="Q73" s="131"/>
      <c r="R73" s="131"/>
      <c r="S73" s="131"/>
      <c r="T73" s="131"/>
      <c r="U73" s="131"/>
      <c r="V73" s="131"/>
      <c r="W73" s="131"/>
      <c r="X73" s="131"/>
      <c r="Y73" s="131"/>
      <c r="Z73" s="131"/>
      <c r="AA73" s="131"/>
      <c r="AB73" s="131"/>
      <c r="AC73" s="131"/>
    </row>
    <row r="74" ht="15.75" customHeight="1">
      <c r="A74" s="130"/>
      <c r="B74" s="2"/>
      <c r="C74" s="2"/>
      <c r="D74" s="2"/>
      <c r="E74" s="2"/>
      <c r="F74" s="2"/>
      <c r="G74" s="6"/>
      <c r="H74" s="6"/>
      <c r="I74" s="6"/>
      <c r="J74" s="6"/>
      <c r="K74" s="131"/>
      <c r="L74" s="131"/>
      <c r="M74" s="131"/>
      <c r="N74" s="131"/>
      <c r="O74" s="131"/>
      <c r="P74" s="131"/>
      <c r="Q74" s="131"/>
      <c r="R74" s="131"/>
      <c r="S74" s="131"/>
      <c r="T74" s="131"/>
      <c r="U74" s="131"/>
      <c r="V74" s="131"/>
      <c r="W74" s="131"/>
      <c r="X74" s="131"/>
      <c r="Y74" s="131"/>
      <c r="Z74" s="131"/>
      <c r="AA74" s="131"/>
      <c r="AB74" s="131"/>
      <c r="AC74" s="131"/>
    </row>
    <row r="75" ht="15.75" customHeight="1">
      <c r="A75" s="130"/>
      <c r="B75" s="2"/>
      <c r="C75" s="2"/>
      <c r="D75" s="2"/>
      <c r="E75" s="2"/>
      <c r="F75" s="2"/>
      <c r="G75" s="6"/>
      <c r="H75" s="6"/>
      <c r="I75" s="6"/>
      <c r="J75" s="6"/>
      <c r="K75" s="131"/>
      <c r="L75" s="131"/>
      <c r="M75" s="131"/>
      <c r="N75" s="131"/>
      <c r="O75" s="131"/>
      <c r="P75" s="131"/>
      <c r="Q75" s="131"/>
      <c r="R75" s="131"/>
      <c r="S75" s="131"/>
      <c r="T75" s="131"/>
      <c r="U75" s="131"/>
      <c r="V75" s="131"/>
      <c r="W75" s="131"/>
      <c r="X75" s="131"/>
      <c r="Y75" s="131"/>
      <c r="Z75" s="131"/>
      <c r="AA75" s="131"/>
      <c r="AB75" s="131"/>
      <c r="AC75" s="131"/>
    </row>
    <row r="76" ht="15.75" customHeight="1">
      <c r="A76" s="130"/>
      <c r="B76" s="2"/>
      <c r="C76" s="2"/>
      <c r="D76" s="2"/>
      <c r="E76" s="2"/>
      <c r="F76" s="2"/>
      <c r="G76" s="6"/>
      <c r="H76" s="6"/>
      <c r="I76" s="6"/>
      <c r="J76" s="6"/>
      <c r="K76" s="131"/>
      <c r="L76" s="131"/>
      <c r="M76" s="131"/>
      <c r="N76" s="131"/>
      <c r="O76" s="131"/>
      <c r="P76" s="131"/>
      <c r="Q76" s="131"/>
      <c r="R76" s="131"/>
      <c r="S76" s="131"/>
      <c r="T76" s="131"/>
      <c r="U76" s="131"/>
      <c r="V76" s="131"/>
      <c r="W76" s="131"/>
      <c r="X76" s="131"/>
      <c r="Y76" s="131"/>
      <c r="Z76" s="131"/>
      <c r="AA76" s="131"/>
      <c r="AB76" s="131"/>
      <c r="AC76" s="131"/>
    </row>
    <row r="77" ht="15.75" customHeight="1">
      <c r="A77" s="130"/>
      <c r="B77" s="2"/>
      <c r="C77" s="2"/>
      <c r="D77" s="2"/>
      <c r="E77" s="2"/>
      <c r="F77" s="2"/>
      <c r="G77" s="6"/>
      <c r="H77" s="6"/>
      <c r="I77" s="6"/>
      <c r="J77" s="6"/>
      <c r="K77" s="131"/>
      <c r="L77" s="131"/>
      <c r="M77" s="131"/>
      <c r="N77" s="131"/>
      <c r="O77" s="131"/>
      <c r="P77" s="131"/>
      <c r="Q77" s="131"/>
      <c r="R77" s="131"/>
      <c r="S77" s="131"/>
      <c r="T77" s="131"/>
      <c r="U77" s="131"/>
      <c r="V77" s="131"/>
      <c r="W77" s="131"/>
      <c r="X77" s="131"/>
      <c r="Y77" s="131"/>
      <c r="Z77" s="131"/>
      <c r="AA77" s="131"/>
      <c r="AB77" s="131"/>
      <c r="AC77" s="131"/>
    </row>
    <row r="78" ht="15.75" customHeight="1">
      <c r="A78" s="130"/>
      <c r="B78" s="2"/>
      <c r="C78" s="2"/>
      <c r="D78" s="2"/>
      <c r="E78" s="2"/>
      <c r="F78" s="2"/>
      <c r="G78" s="6"/>
      <c r="H78" s="6"/>
      <c r="I78" s="6"/>
      <c r="J78" s="6"/>
      <c r="K78" s="131"/>
      <c r="L78" s="131"/>
      <c r="M78" s="131"/>
      <c r="N78" s="131"/>
      <c r="O78" s="131"/>
      <c r="P78" s="131"/>
      <c r="Q78" s="131"/>
      <c r="R78" s="131"/>
      <c r="S78" s="131"/>
      <c r="T78" s="131"/>
      <c r="U78" s="131"/>
      <c r="V78" s="131"/>
      <c r="W78" s="131"/>
      <c r="X78" s="131"/>
      <c r="Y78" s="131"/>
      <c r="Z78" s="131"/>
      <c r="AA78" s="131"/>
      <c r="AB78" s="131"/>
      <c r="AC78" s="131"/>
    </row>
    <row r="79" ht="15.75" customHeight="1">
      <c r="A79" s="130"/>
      <c r="B79" s="2"/>
      <c r="C79" s="2"/>
      <c r="D79" s="2"/>
      <c r="E79" s="2"/>
      <c r="F79" s="2"/>
      <c r="G79" s="6"/>
      <c r="H79" s="6"/>
      <c r="I79" s="6"/>
      <c r="J79" s="6"/>
      <c r="K79" s="131"/>
      <c r="L79" s="131"/>
      <c r="M79" s="131"/>
      <c r="N79" s="131"/>
      <c r="O79" s="131"/>
      <c r="P79" s="131"/>
      <c r="Q79" s="131"/>
      <c r="R79" s="131"/>
      <c r="S79" s="131"/>
      <c r="T79" s="131"/>
      <c r="U79" s="131"/>
      <c r="V79" s="131"/>
      <c r="W79" s="131"/>
      <c r="X79" s="131"/>
      <c r="Y79" s="131"/>
      <c r="Z79" s="131"/>
      <c r="AA79" s="131"/>
      <c r="AB79" s="131"/>
      <c r="AC79" s="131"/>
    </row>
    <row r="80" ht="15.75" customHeight="1">
      <c r="A80" s="130"/>
      <c r="B80" s="2"/>
      <c r="C80" s="2"/>
      <c r="D80" s="2"/>
      <c r="E80" s="2"/>
      <c r="F80" s="2"/>
      <c r="G80" s="6"/>
      <c r="H80" s="6"/>
      <c r="I80" s="6"/>
      <c r="J80" s="6"/>
      <c r="K80" s="131"/>
      <c r="L80" s="131"/>
      <c r="M80" s="131"/>
      <c r="N80" s="131"/>
      <c r="O80" s="131"/>
      <c r="P80" s="131"/>
      <c r="Q80" s="131"/>
      <c r="R80" s="131"/>
      <c r="S80" s="131"/>
      <c r="T80" s="131"/>
      <c r="U80" s="131"/>
      <c r="V80" s="131"/>
      <c r="W80" s="131"/>
      <c r="X80" s="131"/>
      <c r="Y80" s="131"/>
      <c r="Z80" s="131"/>
      <c r="AA80" s="131"/>
      <c r="AB80" s="131"/>
      <c r="AC80" s="131"/>
    </row>
    <row r="81" ht="15.75" customHeight="1">
      <c r="A81" s="130"/>
      <c r="B81" s="2"/>
      <c r="C81" s="2"/>
      <c r="D81" s="2"/>
      <c r="E81" s="2"/>
      <c r="F81" s="2"/>
      <c r="G81" s="6"/>
      <c r="H81" s="6"/>
      <c r="I81" s="6"/>
      <c r="J81" s="6"/>
      <c r="K81" s="131"/>
      <c r="L81" s="131"/>
      <c r="M81" s="131"/>
      <c r="N81" s="131"/>
      <c r="O81" s="131"/>
      <c r="P81" s="131"/>
      <c r="Q81" s="131"/>
      <c r="R81" s="131"/>
      <c r="S81" s="131"/>
      <c r="T81" s="131"/>
      <c r="U81" s="131"/>
      <c r="V81" s="131"/>
      <c r="W81" s="131"/>
      <c r="X81" s="131"/>
      <c r="Y81" s="131"/>
      <c r="Z81" s="131"/>
      <c r="AA81" s="131"/>
      <c r="AB81" s="131"/>
      <c r="AC81" s="131"/>
    </row>
    <row r="82" ht="15.75" customHeight="1">
      <c r="A82" s="130"/>
      <c r="B82" s="2"/>
      <c r="C82" s="2"/>
      <c r="D82" s="2"/>
      <c r="E82" s="2"/>
      <c r="F82" s="2"/>
      <c r="G82" s="6"/>
      <c r="H82" s="6"/>
      <c r="I82" s="6"/>
      <c r="J82" s="6"/>
      <c r="K82" s="131"/>
      <c r="L82" s="131"/>
      <c r="M82" s="131"/>
      <c r="N82" s="131"/>
      <c r="O82" s="131"/>
      <c r="P82" s="131"/>
      <c r="Q82" s="131"/>
      <c r="R82" s="131"/>
      <c r="S82" s="131"/>
      <c r="T82" s="131"/>
      <c r="U82" s="131"/>
      <c r="V82" s="131"/>
      <c r="W82" s="131"/>
      <c r="X82" s="131"/>
      <c r="Y82" s="131"/>
      <c r="Z82" s="131"/>
      <c r="AA82" s="131"/>
      <c r="AB82" s="131"/>
      <c r="AC82" s="131"/>
    </row>
    <row r="83" ht="15.75" customHeight="1">
      <c r="A83" s="130"/>
      <c r="B83" s="2"/>
      <c r="C83" s="2"/>
      <c r="D83" s="2"/>
      <c r="E83" s="2"/>
      <c r="F83" s="2"/>
      <c r="G83" s="6"/>
      <c r="H83" s="6"/>
      <c r="I83" s="6"/>
      <c r="J83" s="6"/>
      <c r="K83" s="131"/>
      <c r="L83" s="131"/>
      <c r="M83" s="131"/>
      <c r="N83" s="131"/>
      <c r="O83" s="131"/>
      <c r="P83" s="131"/>
      <c r="Q83" s="131"/>
      <c r="R83" s="131"/>
      <c r="S83" s="131"/>
      <c r="T83" s="131"/>
      <c r="U83" s="131"/>
      <c r="V83" s="131"/>
      <c r="W83" s="131"/>
      <c r="X83" s="131"/>
      <c r="Y83" s="131"/>
      <c r="Z83" s="131"/>
      <c r="AA83" s="131"/>
      <c r="AB83" s="131"/>
      <c r="AC83" s="131"/>
    </row>
    <row r="84" ht="15.75" customHeight="1">
      <c r="A84" s="130"/>
      <c r="B84" s="2"/>
      <c r="C84" s="2"/>
      <c r="D84" s="2"/>
      <c r="E84" s="2"/>
      <c r="F84" s="2"/>
      <c r="G84" s="6"/>
      <c r="H84" s="6"/>
      <c r="I84" s="6"/>
      <c r="J84" s="6"/>
      <c r="K84" s="131"/>
      <c r="L84" s="131"/>
      <c r="M84" s="131"/>
      <c r="N84" s="131"/>
      <c r="O84" s="131"/>
      <c r="P84" s="131"/>
      <c r="Q84" s="131"/>
      <c r="R84" s="131"/>
      <c r="S84" s="131"/>
      <c r="T84" s="131"/>
      <c r="U84" s="131"/>
      <c r="V84" s="131"/>
      <c r="W84" s="131"/>
      <c r="X84" s="131"/>
      <c r="Y84" s="131"/>
      <c r="Z84" s="131"/>
      <c r="AA84" s="131"/>
      <c r="AB84" s="131"/>
      <c r="AC84" s="131"/>
    </row>
    <row r="85" ht="15.75" customHeight="1">
      <c r="A85" s="130"/>
      <c r="B85" s="2"/>
      <c r="C85" s="2"/>
      <c r="D85" s="2"/>
      <c r="E85" s="2"/>
      <c r="F85" s="2"/>
      <c r="G85" s="6"/>
      <c r="H85" s="6"/>
      <c r="I85" s="6"/>
      <c r="J85" s="6"/>
      <c r="K85" s="131"/>
      <c r="L85" s="131"/>
      <c r="M85" s="131"/>
      <c r="N85" s="131"/>
      <c r="O85" s="131"/>
      <c r="P85" s="131"/>
      <c r="Q85" s="131"/>
      <c r="R85" s="131"/>
      <c r="S85" s="131"/>
      <c r="T85" s="131"/>
      <c r="U85" s="131"/>
      <c r="V85" s="131"/>
      <c r="W85" s="131"/>
      <c r="X85" s="131"/>
      <c r="Y85" s="131"/>
      <c r="Z85" s="131"/>
      <c r="AA85" s="131"/>
      <c r="AB85" s="131"/>
      <c r="AC85" s="131"/>
    </row>
    <row r="86" ht="15.75" customHeight="1">
      <c r="A86" s="130"/>
      <c r="B86" s="2"/>
      <c r="C86" s="2"/>
      <c r="D86" s="2"/>
      <c r="E86" s="2"/>
      <c r="F86" s="2"/>
      <c r="G86" s="6"/>
      <c r="H86" s="6"/>
      <c r="I86" s="6"/>
      <c r="J86" s="6"/>
      <c r="K86" s="131"/>
      <c r="L86" s="131"/>
      <c r="M86" s="131"/>
      <c r="N86" s="131"/>
      <c r="O86" s="131"/>
      <c r="P86" s="131"/>
      <c r="Q86" s="131"/>
      <c r="R86" s="131"/>
      <c r="S86" s="131"/>
      <c r="T86" s="131"/>
      <c r="U86" s="131"/>
      <c r="V86" s="131"/>
      <c r="W86" s="131"/>
      <c r="X86" s="131"/>
      <c r="Y86" s="131"/>
      <c r="Z86" s="131"/>
      <c r="AA86" s="131"/>
      <c r="AB86" s="131"/>
      <c r="AC86" s="131"/>
    </row>
    <row r="87" ht="15.75" customHeight="1">
      <c r="A87" s="130"/>
      <c r="B87" s="2"/>
      <c r="C87" s="2"/>
      <c r="D87" s="2"/>
      <c r="E87" s="2"/>
      <c r="F87" s="2"/>
      <c r="G87" s="6"/>
      <c r="H87" s="6"/>
      <c r="I87" s="6"/>
      <c r="J87" s="6"/>
      <c r="K87" s="131"/>
      <c r="L87" s="131"/>
      <c r="M87" s="131"/>
      <c r="N87" s="131"/>
      <c r="O87" s="131"/>
      <c r="P87" s="131"/>
      <c r="Q87" s="131"/>
      <c r="R87" s="131"/>
      <c r="S87" s="131"/>
      <c r="T87" s="131"/>
      <c r="U87" s="131"/>
      <c r="V87" s="131"/>
      <c r="W87" s="131"/>
      <c r="X87" s="131"/>
      <c r="Y87" s="131"/>
      <c r="Z87" s="131"/>
      <c r="AA87" s="131"/>
      <c r="AB87" s="131"/>
      <c r="AC87" s="131"/>
    </row>
    <row r="88" ht="15.75" customHeight="1">
      <c r="A88" s="130"/>
      <c r="B88" s="2"/>
      <c r="C88" s="2"/>
      <c r="D88" s="2"/>
      <c r="E88" s="2"/>
      <c r="F88" s="2"/>
      <c r="G88" s="6"/>
      <c r="H88" s="6"/>
      <c r="I88" s="6"/>
      <c r="J88" s="6"/>
      <c r="K88" s="131"/>
      <c r="L88" s="131"/>
      <c r="M88" s="131"/>
      <c r="N88" s="131"/>
      <c r="O88" s="131"/>
      <c r="P88" s="131"/>
      <c r="Q88" s="131"/>
      <c r="R88" s="131"/>
      <c r="S88" s="131"/>
      <c r="T88" s="131"/>
      <c r="U88" s="131"/>
      <c r="V88" s="131"/>
      <c r="W88" s="131"/>
      <c r="X88" s="131"/>
      <c r="Y88" s="131"/>
      <c r="Z88" s="131"/>
      <c r="AA88" s="131"/>
      <c r="AB88" s="131"/>
      <c r="AC88" s="131"/>
    </row>
    <row r="89" ht="15.75" customHeight="1">
      <c r="A89" s="130"/>
      <c r="B89" s="2"/>
      <c r="C89" s="2"/>
      <c r="D89" s="2"/>
      <c r="E89" s="2"/>
      <c r="F89" s="2"/>
      <c r="G89" s="6"/>
      <c r="H89" s="6"/>
      <c r="I89" s="6"/>
      <c r="J89" s="6"/>
      <c r="K89" s="131"/>
      <c r="L89" s="131"/>
      <c r="M89" s="131"/>
      <c r="N89" s="131"/>
      <c r="O89" s="131"/>
      <c r="P89" s="131"/>
      <c r="Q89" s="131"/>
      <c r="R89" s="131"/>
      <c r="S89" s="131"/>
      <c r="T89" s="131"/>
      <c r="U89" s="131"/>
      <c r="V89" s="131"/>
      <c r="W89" s="131"/>
      <c r="X89" s="131"/>
      <c r="Y89" s="131"/>
      <c r="Z89" s="131"/>
      <c r="AA89" s="131"/>
      <c r="AB89" s="131"/>
      <c r="AC89" s="131"/>
    </row>
    <row r="90" ht="15.75" customHeight="1">
      <c r="A90" s="130"/>
      <c r="B90" s="2"/>
      <c r="C90" s="2"/>
      <c r="D90" s="2"/>
      <c r="E90" s="2"/>
      <c r="F90" s="2"/>
      <c r="G90" s="6"/>
      <c r="H90" s="6"/>
      <c r="I90" s="6"/>
      <c r="J90" s="6"/>
      <c r="K90" s="131"/>
      <c r="L90" s="131"/>
      <c r="M90" s="131"/>
      <c r="N90" s="131"/>
      <c r="O90" s="131"/>
      <c r="P90" s="131"/>
      <c r="Q90" s="131"/>
      <c r="R90" s="131"/>
      <c r="S90" s="131"/>
      <c r="T90" s="131"/>
      <c r="U90" s="131"/>
      <c r="V90" s="131"/>
      <c r="W90" s="131"/>
      <c r="X90" s="131"/>
      <c r="Y90" s="131"/>
      <c r="Z90" s="131"/>
      <c r="AA90" s="131"/>
      <c r="AB90" s="131"/>
      <c r="AC90" s="131"/>
    </row>
    <row r="91" ht="15.75" customHeight="1">
      <c r="A91" s="130"/>
      <c r="B91" s="2"/>
      <c r="C91" s="2"/>
      <c r="D91" s="2"/>
      <c r="E91" s="2"/>
      <c r="F91" s="2"/>
      <c r="G91" s="6"/>
      <c r="H91" s="6"/>
      <c r="I91" s="6"/>
      <c r="J91" s="6"/>
      <c r="K91" s="131"/>
      <c r="L91" s="131"/>
      <c r="M91" s="131"/>
      <c r="N91" s="131"/>
      <c r="O91" s="131"/>
      <c r="P91" s="131"/>
      <c r="Q91" s="131"/>
      <c r="R91" s="131"/>
      <c r="S91" s="131"/>
      <c r="T91" s="131"/>
      <c r="U91" s="131"/>
      <c r="V91" s="131"/>
      <c r="W91" s="131"/>
      <c r="X91" s="131"/>
      <c r="Y91" s="131"/>
      <c r="Z91" s="131"/>
      <c r="AA91" s="131"/>
      <c r="AB91" s="131"/>
      <c r="AC91" s="131"/>
    </row>
    <row r="92" ht="15.75" customHeight="1">
      <c r="A92" s="130"/>
      <c r="B92" s="2"/>
      <c r="C92" s="2"/>
      <c r="D92" s="2"/>
      <c r="E92" s="2"/>
      <c r="F92" s="2"/>
      <c r="G92" s="6"/>
      <c r="H92" s="6"/>
      <c r="I92" s="6"/>
      <c r="J92" s="6"/>
      <c r="K92" s="131"/>
      <c r="L92" s="131"/>
      <c r="M92" s="131"/>
      <c r="N92" s="131"/>
      <c r="O92" s="131"/>
      <c r="P92" s="131"/>
      <c r="Q92" s="131"/>
      <c r="R92" s="131"/>
      <c r="S92" s="131"/>
      <c r="T92" s="131"/>
      <c r="U92" s="131"/>
      <c r="V92" s="131"/>
      <c r="W92" s="131"/>
      <c r="X92" s="131"/>
      <c r="Y92" s="131"/>
      <c r="Z92" s="131"/>
      <c r="AA92" s="131"/>
      <c r="AB92" s="131"/>
      <c r="AC92" s="131"/>
    </row>
    <row r="93" ht="15.75" customHeight="1">
      <c r="A93" s="130"/>
      <c r="B93" s="2"/>
      <c r="C93" s="2"/>
      <c r="D93" s="2"/>
      <c r="E93" s="2"/>
      <c r="F93" s="2"/>
      <c r="G93" s="6"/>
      <c r="H93" s="6"/>
      <c r="I93" s="6"/>
      <c r="J93" s="6"/>
      <c r="K93" s="131"/>
      <c r="L93" s="131"/>
      <c r="M93" s="131"/>
      <c r="N93" s="131"/>
      <c r="O93" s="131"/>
      <c r="P93" s="131"/>
      <c r="Q93" s="131"/>
      <c r="R93" s="131"/>
      <c r="S93" s="131"/>
      <c r="T93" s="131"/>
      <c r="U93" s="131"/>
      <c r="V93" s="131"/>
      <c r="W93" s="131"/>
      <c r="X93" s="131"/>
      <c r="Y93" s="131"/>
      <c r="Z93" s="131"/>
      <c r="AA93" s="131"/>
      <c r="AB93" s="131"/>
      <c r="AC93" s="131"/>
    </row>
    <row r="94" ht="15.75" customHeight="1">
      <c r="A94" s="130"/>
      <c r="B94" s="2"/>
      <c r="C94" s="2"/>
      <c r="D94" s="2"/>
      <c r="E94" s="2"/>
      <c r="F94" s="2"/>
      <c r="G94" s="6"/>
      <c r="H94" s="6"/>
      <c r="I94" s="6"/>
      <c r="J94" s="6"/>
      <c r="K94" s="131"/>
      <c r="L94" s="131"/>
      <c r="M94" s="131"/>
      <c r="N94" s="131"/>
      <c r="O94" s="131"/>
      <c r="P94" s="131"/>
      <c r="Q94" s="131"/>
      <c r="R94" s="131"/>
      <c r="S94" s="131"/>
      <c r="T94" s="131"/>
      <c r="U94" s="131"/>
      <c r="V94" s="131"/>
      <c r="W94" s="131"/>
      <c r="X94" s="131"/>
      <c r="Y94" s="131"/>
      <c r="Z94" s="131"/>
      <c r="AA94" s="131"/>
      <c r="AB94" s="131"/>
      <c r="AC94" s="131"/>
    </row>
    <row r="95" ht="15.75" customHeight="1">
      <c r="A95" s="130"/>
      <c r="B95" s="2"/>
      <c r="C95" s="2"/>
      <c r="D95" s="2"/>
      <c r="E95" s="2"/>
      <c r="F95" s="2"/>
      <c r="G95" s="6"/>
      <c r="H95" s="6"/>
      <c r="I95" s="6"/>
      <c r="J95" s="6"/>
      <c r="K95" s="131"/>
      <c r="L95" s="131"/>
      <c r="M95" s="131"/>
      <c r="N95" s="131"/>
      <c r="O95" s="131"/>
      <c r="P95" s="131"/>
      <c r="Q95" s="131"/>
      <c r="R95" s="131"/>
      <c r="S95" s="131"/>
      <c r="T95" s="131"/>
      <c r="U95" s="131"/>
      <c r="V95" s="131"/>
      <c r="W95" s="131"/>
      <c r="X95" s="131"/>
      <c r="Y95" s="131"/>
      <c r="Z95" s="131"/>
      <c r="AA95" s="131"/>
      <c r="AB95" s="131"/>
      <c r="AC95" s="131"/>
    </row>
    <row r="96" ht="15.75" customHeight="1">
      <c r="A96" s="130"/>
      <c r="B96" s="2"/>
      <c r="C96" s="2"/>
      <c r="D96" s="2"/>
      <c r="E96" s="2"/>
      <c r="F96" s="2"/>
      <c r="G96" s="6"/>
      <c r="H96" s="6"/>
      <c r="I96" s="6"/>
      <c r="J96" s="6"/>
      <c r="K96" s="131"/>
      <c r="L96" s="131"/>
      <c r="M96" s="131"/>
      <c r="N96" s="131"/>
      <c r="O96" s="131"/>
      <c r="P96" s="131"/>
      <c r="Q96" s="131"/>
      <c r="R96" s="131"/>
      <c r="S96" s="131"/>
      <c r="T96" s="131"/>
      <c r="U96" s="131"/>
      <c r="V96" s="131"/>
      <c r="W96" s="131"/>
      <c r="X96" s="131"/>
      <c r="Y96" s="131"/>
      <c r="Z96" s="131"/>
      <c r="AA96" s="131"/>
      <c r="AB96" s="131"/>
      <c r="AC96" s="131"/>
    </row>
    <row r="97" ht="15.75" customHeight="1">
      <c r="A97" s="130"/>
      <c r="B97" s="2"/>
      <c r="C97" s="2"/>
      <c r="D97" s="2"/>
      <c r="E97" s="2"/>
      <c r="F97" s="2"/>
      <c r="G97" s="6"/>
      <c r="H97" s="6"/>
      <c r="I97" s="6"/>
      <c r="J97" s="6"/>
      <c r="K97" s="131"/>
      <c r="L97" s="131"/>
      <c r="M97" s="131"/>
      <c r="N97" s="131"/>
      <c r="O97" s="131"/>
      <c r="P97" s="131"/>
      <c r="Q97" s="131"/>
      <c r="R97" s="131"/>
      <c r="S97" s="131"/>
      <c r="T97" s="131"/>
      <c r="U97" s="131"/>
      <c r="V97" s="131"/>
      <c r="W97" s="131"/>
      <c r="X97" s="131"/>
      <c r="Y97" s="131"/>
      <c r="Z97" s="131"/>
      <c r="AA97" s="131"/>
      <c r="AB97" s="131"/>
      <c r="AC97" s="131"/>
    </row>
    <row r="98" ht="15.75" customHeight="1">
      <c r="A98" s="130"/>
      <c r="B98" s="2"/>
      <c r="C98" s="2"/>
      <c r="D98" s="2"/>
      <c r="E98" s="2"/>
      <c r="F98" s="2"/>
      <c r="G98" s="6"/>
      <c r="H98" s="6"/>
      <c r="I98" s="6"/>
      <c r="J98" s="6"/>
      <c r="K98" s="131"/>
      <c r="L98" s="131"/>
      <c r="M98" s="131"/>
      <c r="N98" s="131"/>
      <c r="O98" s="131"/>
      <c r="P98" s="131"/>
      <c r="Q98" s="131"/>
      <c r="R98" s="131"/>
      <c r="S98" s="131"/>
      <c r="T98" s="131"/>
      <c r="U98" s="131"/>
      <c r="V98" s="131"/>
      <c r="W98" s="131"/>
      <c r="X98" s="131"/>
      <c r="Y98" s="131"/>
      <c r="Z98" s="131"/>
      <c r="AA98" s="131"/>
      <c r="AB98" s="131"/>
      <c r="AC98" s="131"/>
    </row>
    <row r="99" ht="15.75" customHeight="1">
      <c r="A99" s="130"/>
      <c r="B99" s="2"/>
      <c r="C99" s="2"/>
      <c r="D99" s="2"/>
      <c r="E99" s="2"/>
      <c r="F99" s="2"/>
      <c r="G99" s="6"/>
      <c r="H99" s="6"/>
      <c r="I99" s="6"/>
      <c r="J99" s="6"/>
      <c r="K99" s="131"/>
      <c r="L99" s="131"/>
      <c r="M99" s="131"/>
      <c r="N99" s="131"/>
      <c r="O99" s="131"/>
      <c r="P99" s="131"/>
      <c r="Q99" s="131"/>
      <c r="R99" s="131"/>
      <c r="S99" s="131"/>
      <c r="T99" s="131"/>
      <c r="U99" s="131"/>
      <c r="V99" s="131"/>
      <c r="W99" s="131"/>
      <c r="X99" s="131"/>
      <c r="Y99" s="131"/>
      <c r="Z99" s="131"/>
      <c r="AA99" s="131"/>
      <c r="AB99" s="131"/>
      <c r="AC99" s="131"/>
    </row>
    <row r="100" ht="15.75" customHeight="1">
      <c r="A100" s="130"/>
      <c r="B100" s="2"/>
      <c r="C100" s="2"/>
      <c r="D100" s="2"/>
      <c r="E100" s="2"/>
      <c r="F100" s="2"/>
      <c r="G100" s="6"/>
      <c r="H100" s="6"/>
      <c r="I100" s="6"/>
      <c r="J100" s="6"/>
      <c r="K100" s="131"/>
      <c r="L100" s="131"/>
      <c r="M100" s="131"/>
      <c r="N100" s="131"/>
      <c r="O100" s="131"/>
      <c r="P100" s="131"/>
      <c r="Q100" s="131"/>
      <c r="R100" s="131"/>
      <c r="S100" s="131"/>
      <c r="T100" s="131"/>
      <c r="U100" s="131"/>
      <c r="V100" s="131"/>
      <c r="W100" s="131"/>
      <c r="X100" s="131"/>
      <c r="Y100" s="131"/>
      <c r="Z100" s="131"/>
      <c r="AA100" s="131"/>
      <c r="AB100" s="131"/>
      <c r="AC100" s="131"/>
    </row>
    <row r="101" ht="15.75" customHeight="1">
      <c r="A101" s="130"/>
      <c r="B101" s="2"/>
      <c r="C101" s="2"/>
      <c r="D101" s="2"/>
      <c r="E101" s="2"/>
      <c r="F101" s="2"/>
      <c r="G101" s="6"/>
      <c r="H101" s="6"/>
      <c r="I101" s="6"/>
      <c r="J101" s="6"/>
      <c r="K101" s="131"/>
      <c r="L101" s="131"/>
      <c r="M101" s="131"/>
      <c r="N101" s="131"/>
      <c r="O101" s="131"/>
      <c r="P101" s="131"/>
      <c r="Q101" s="131"/>
      <c r="R101" s="131"/>
      <c r="S101" s="131"/>
      <c r="T101" s="131"/>
      <c r="U101" s="131"/>
      <c r="V101" s="131"/>
      <c r="W101" s="131"/>
      <c r="X101" s="131"/>
      <c r="Y101" s="131"/>
      <c r="Z101" s="131"/>
      <c r="AA101" s="131"/>
      <c r="AB101" s="131"/>
      <c r="AC101" s="131"/>
    </row>
    <row r="102" ht="15.75" customHeight="1">
      <c r="A102" s="130"/>
      <c r="B102" s="2"/>
      <c r="C102" s="2"/>
      <c r="D102" s="2"/>
      <c r="E102" s="2"/>
      <c r="F102" s="2"/>
      <c r="G102" s="6"/>
      <c r="H102" s="6"/>
      <c r="I102" s="6"/>
      <c r="J102" s="6"/>
      <c r="K102" s="131"/>
      <c r="L102" s="131"/>
      <c r="M102" s="131"/>
      <c r="N102" s="131"/>
      <c r="O102" s="131"/>
      <c r="P102" s="131"/>
      <c r="Q102" s="131"/>
      <c r="R102" s="131"/>
      <c r="S102" s="131"/>
      <c r="T102" s="131"/>
      <c r="U102" s="131"/>
      <c r="V102" s="131"/>
      <c r="W102" s="131"/>
      <c r="X102" s="131"/>
      <c r="Y102" s="131"/>
      <c r="Z102" s="131"/>
      <c r="AA102" s="131"/>
      <c r="AB102" s="131"/>
      <c r="AC102" s="131"/>
    </row>
    <row r="103" ht="15.75" customHeight="1">
      <c r="A103" s="130"/>
      <c r="B103" s="2"/>
      <c r="C103" s="2"/>
      <c r="D103" s="2"/>
      <c r="E103" s="2"/>
      <c r="F103" s="2"/>
      <c r="G103" s="6"/>
      <c r="H103" s="6"/>
      <c r="I103" s="6"/>
      <c r="J103" s="6"/>
      <c r="K103" s="131"/>
      <c r="L103" s="131"/>
      <c r="M103" s="131"/>
      <c r="N103" s="131"/>
      <c r="O103" s="131"/>
      <c r="P103" s="131"/>
      <c r="Q103" s="131"/>
      <c r="R103" s="131"/>
      <c r="S103" s="131"/>
      <c r="T103" s="131"/>
      <c r="U103" s="131"/>
      <c r="V103" s="131"/>
      <c r="W103" s="131"/>
      <c r="X103" s="131"/>
      <c r="Y103" s="131"/>
      <c r="Z103" s="131"/>
      <c r="AA103" s="131"/>
      <c r="AB103" s="131"/>
      <c r="AC103" s="131"/>
    </row>
    <row r="104" ht="15.75" customHeight="1">
      <c r="A104" s="130"/>
      <c r="B104" s="2"/>
      <c r="C104" s="2"/>
      <c r="D104" s="2"/>
      <c r="E104" s="2"/>
      <c r="F104" s="2"/>
      <c r="G104" s="6"/>
      <c r="H104" s="6"/>
      <c r="I104" s="6"/>
      <c r="J104" s="6"/>
      <c r="K104" s="131"/>
      <c r="L104" s="131"/>
      <c r="M104" s="131"/>
      <c r="N104" s="131"/>
      <c r="O104" s="131"/>
      <c r="P104" s="131"/>
      <c r="Q104" s="131"/>
      <c r="R104" s="131"/>
      <c r="S104" s="131"/>
      <c r="T104" s="131"/>
      <c r="U104" s="131"/>
      <c r="V104" s="131"/>
      <c r="W104" s="131"/>
      <c r="X104" s="131"/>
      <c r="Y104" s="131"/>
      <c r="Z104" s="131"/>
      <c r="AA104" s="131"/>
      <c r="AB104" s="131"/>
      <c r="AC104" s="131"/>
    </row>
    <row r="105" ht="15.75" customHeight="1">
      <c r="A105" s="130"/>
      <c r="B105" s="2"/>
      <c r="C105" s="2"/>
      <c r="D105" s="2"/>
      <c r="E105" s="2"/>
      <c r="F105" s="2"/>
      <c r="G105" s="6"/>
      <c r="H105" s="6"/>
      <c r="I105" s="6"/>
      <c r="J105" s="6"/>
      <c r="K105" s="131"/>
      <c r="L105" s="131"/>
      <c r="M105" s="131"/>
      <c r="N105" s="131"/>
      <c r="O105" s="131"/>
      <c r="P105" s="131"/>
      <c r="Q105" s="131"/>
      <c r="R105" s="131"/>
      <c r="S105" s="131"/>
      <c r="T105" s="131"/>
      <c r="U105" s="131"/>
      <c r="V105" s="131"/>
      <c r="W105" s="131"/>
      <c r="X105" s="131"/>
      <c r="Y105" s="131"/>
      <c r="Z105" s="131"/>
      <c r="AA105" s="131"/>
      <c r="AB105" s="131"/>
      <c r="AC105" s="131"/>
    </row>
    <row r="106" ht="15.75" customHeight="1">
      <c r="A106" s="130"/>
      <c r="B106" s="2"/>
      <c r="C106" s="2"/>
      <c r="D106" s="2"/>
      <c r="E106" s="2"/>
      <c r="F106" s="2"/>
      <c r="G106" s="6"/>
      <c r="H106" s="6"/>
      <c r="I106" s="6"/>
      <c r="J106" s="6"/>
      <c r="K106" s="131"/>
      <c r="L106" s="131"/>
      <c r="M106" s="131"/>
      <c r="N106" s="131"/>
      <c r="O106" s="131"/>
      <c r="P106" s="131"/>
      <c r="Q106" s="131"/>
      <c r="R106" s="131"/>
      <c r="S106" s="131"/>
      <c r="T106" s="131"/>
      <c r="U106" s="131"/>
      <c r="V106" s="131"/>
      <c r="W106" s="131"/>
      <c r="X106" s="131"/>
      <c r="Y106" s="131"/>
      <c r="Z106" s="131"/>
      <c r="AA106" s="131"/>
      <c r="AB106" s="131"/>
      <c r="AC106" s="131"/>
    </row>
    <row r="107" ht="15.75" customHeight="1">
      <c r="A107" s="130"/>
      <c r="B107" s="2"/>
      <c r="C107" s="2"/>
      <c r="D107" s="2"/>
      <c r="E107" s="2"/>
      <c r="F107" s="2"/>
      <c r="G107" s="6"/>
      <c r="H107" s="6"/>
      <c r="I107" s="6"/>
      <c r="J107" s="6"/>
      <c r="K107" s="131"/>
      <c r="L107" s="131"/>
      <c r="M107" s="131"/>
      <c r="N107" s="131"/>
      <c r="O107" s="131"/>
      <c r="P107" s="131"/>
      <c r="Q107" s="131"/>
      <c r="R107" s="131"/>
      <c r="S107" s="131"/>
      <c r="T107" s="131"/>
      <c r="U107" s="131"/>
      <c r="V107" s="131"/>
      <c r="W107" s="131"/>
      <c r="X107" s="131"/>
      <c r="Y107" s="131"/>
      <c r="Z107" s="131"/>
      <c r="AA107" s="131"/>
      <c r="AB107" s="131"/>
      <c r="AC107" s="131"/>
    </row>
    <row r="108" ht="15.75" customHeight="1">
      <c r="A108" s="130"/>
      <c r="B108" s="2"/>
      <c r="C108" s="2"/>
      <c r="D108" s="2"/>
      <c r="E108" s="2"/>
      <c r="F108" s="2"/>
      <c r="G108" s="6"/>
      <c r="H108" s="6"/>
      <c r="I108" s="6"/>
      <c r="J108" s="6"/>
      <c r="K108" s="131"/>
      <c r="L108" s="131"/>
      <c r="M108" s="131"/>
      <c r="N108" s="131"/>
      <c r="O108" s="131"/>
      <c r="P108" s="131"/>
      <c r="Q108" s="131"/>
      <c r="R108" s="131"/>
      <c r="S108" s="131"/>
      <c r="T108" s="131"/>
      <c r="U108" s="131"/>
      <c r="V108" s="131"/>
      <c r="W108" s="131"/>
      <c r="X108" s="131"/>
      <c r="Y108" s="131"/>
      <c r="Z108" s="131"/>
      <c r="AA108" s="131"/>
      <c r="AB108" s="131"/>
      <c r="AC108" s="131"/>
    </row>
    <row r="109" ht="15.75" customHeight="1">
      <c r="A109" s="130"/>
      <c r="B109" s="2"/>
      <c r="C109" s="2"/>
      <c r="D109" s="2"/>
      <c r="E109" s="2"/>
      <c r="F109" s="2"/>
      <c r="G109" s="6"/>
      <c r="H109" s="6"/>
      <c r="I109" s="6"/>
      <c r="J109" s="6"/>
      <c r="K109" s="131"/>
      <c r="L109" s="131"/>
      <c r="M109" s="131"/>
      <c r="N109" s="131"/>
      <c r="O109" s="131"/>
      <c r="P109" s="131"/>
      <c r="Q109" s="131"/>
      <c r="R109" s="131"/>
      <c r="S109" s="131"/>
      <c r="T109" s="131"/>
      <c r="U109" s="131"/>
      <c r="V109" s="131"/>
      <c r="W109" s="131"/>
      <c r="X109" s="131"/>
      <c r="Y109" s="131"/>
      <c r="Z109" s="131"/>
      <c r="AA109" s="131"/>
      <c r="AB109" s="131"/>
      <c r="AC109" s="131"/>
    </row>
    <row r="110" ht="15.75" customHeight="1">
      <c r="A110" s="130"/>
      <c r="B110" s="2"/>
      <c r="C110" s="2"/>
      <c r="D110" s="2"/>
      <c r="E110" s="2"/>
      <c r="F110" s="2"/>
      <c r="G110" s="6"/>
      <c r="H110" s="6"/>
      <c r="I110" s="6"/>
      <c r="J110" s="6"/>
      <c r="K110" s="131"/>
      <c r="L110" s="131"/>
      <c r="M110" s="131"/>
      <c r="N110" s="131"/>
      <c r="O110" s="131"/>
      <c r="P110" s="131"/>
      <c r="Q110" s="131"/>
      <c r="R110" s="131"/>
      <c r="S110" s="131"/>
      <c r="T110" s="131"/>
      <c r="U110" s="131"/>
      <c r="V110" s="131"/>
      <c r="W110" s="131"/>
      <c r="X110" s="131"/>
      <c r="Y110" s="131"/>
      <c r="Z110" s="131"/>
      <c r="AA110" s="131"/>
      <c r="AB110" s="131"/>
      <c r="AC110" s="131"/>
    </row>
    <row r="111" ht="15.75" customHeight="1">
      <c r="A111" s="130"/>
      <c r="B111" s="2"/>
      <c r="C111" s="2"/>
      <c r="D111" s="2"/>
      <c r="E111" s="2"/>
      <c r="F111" s="2"/>
      <c r="G111" s="6"/>
      <c r="H111" s="6"/>
      <c r="I111" s="6"/>
      <c r="J111" s="6"/>
      <c r="K111" s="131"/>
      <c r="L111" s="131"/>
      <c r="M111" s="131"/>
      <c r="N111" s="131"/>
      <c r="O111" s="131"/>
      <c r="P111" s="131"/>
      <c r="Q111" s="131"/>
      <c r="R111" s="131"/>
      <c r="S111" s="131"/>
      <c r="T111" s="131"/>
      <c r="U111" s="131"/>
      <c r="V111" s="131"/>
      <c r="W111" s="131"/>
      <c r="X111" s="131"/>
      <c r="Y111" s="131"/>
      <c r="Z111" s="131"/>
      <c r="AA111" s="131"/>
      <c r="AB111" s="131"/>
      <c r="AC111" s="131"/>
    </row>
    <row r="112" ht="15.75" customHeight="1">
      <c r="A112" s="130"/>
      <c r="B112" s="2"/>
      <c r="C112" s="2"/>
      <c r="D112" s="2"/>
      <c r="E112" s="2"/>
      <c r="F112" s="2"/>
      <c r="G112" s="6"/>
      <c r="H112" s="6"/>
      <c r="I112" s="6"/>
      <c r="J112" s="6"/>
      <c r="K112" s="131"/>
      <c r="L112" s="131"/>
      <c r="M112" s="131"/>
      <c r="N112" s="131"/>
      <c r="O112" s="131"/>
      <c r="P112" s="131"/>
      <c r="Q112" s="131"/>
      <c r="R112" s="131"/>
      <c r="S112" s="131"/>
      <c r="T112" s="131"/>
      <c r="U112" s="131"/>
      <c r="V112" s="131"/>
      <c r="W112" s="131"/>
      <c r="X112" s="131"/>
      <c r="Y112" s="131"/>
      <c r="Z112" s="131"/>
      <c r="AA112" s="131"/>
      <c r="AB112" s="131"/>
      <c r="AC112" s="131"/>
    </row>
    <row r="113" ht="15.75" customHeight="1">
      <c r="A113" s="130"/>
      <c r="B113" s="2"/>
      <c r="C113" s="2"/>
      <c r="D113" s="2"/>
      <c r="E113" s="2"/>
      <c r="F113" s="2"/>
      <c r="G113" s="6"/>
      <c r="H113" s="6"/>
      <c r="I113" s="6"/>
      <c r="J113" s="6"/>
      <c r="K113" s="131"/>
      <c r="L113" s="131"/>
      <c r="M113" s="131"/>
      <c r="N113" s="131"/>
      <c r="O113" s="131"/>
      <c r="P113" s="131"/>
      <c r="Q113" s="131"/>
      <c r="R113" s="131"/>
      <c r="S113" s="131"/>
      <c r="T113" s="131"/>
      <c r="U113" s="131"/>
      <c r="V113" s="131"/>
      <c r="W113" s="131"/>
      <c r="X113" s="131"/>
      <c r="Y113" s="131"/>
      <c r="Z113" s="131"/>
      <c r="AA113" s="131"/>
      <c r="AB113" s="131"/>
      <c r="AC113" s="131"/>
    </row>
    <row r="114" ht="15.75" customHeight="1">
      <c r="A114" s="130"/>
      <c r="B114" s="2"/>
      <c r="C114" s="2"/>
      <c r="D114" s="2"/>
      <c r="E114" s="2"/>
      <c r="F114" s="2"/>
      <c r="G114" s="6"/>
      <c r="H114" s="6"/>
      <c r="I114" s="6"/>
      <c r="J114" s="6"/>
      <c r="K114" s="131"/>
      <c r="L114" s="131"/>
      <c r="M114" s="131"/>
      <c r="N114" s="131"/>
      <c r="O114" s="131"/>
      <c r="P114" s="131"/>
      <c r="Q114" s="131"/>
      <c r="R114" s="131"/>
      <c r="S114" s="131"/>
      <c r="T114" s="131"/>
      <c r="U114" s="131"/>
      <c r="V114" s="131"/>
      <c r="W114" s="131"/>
      <c r="X114" s="131"/>
      <c r="Y114" s="131"/>
      <c r="Z114" s="131"/>
      <c r="AA114" s="131"/>
      <c r="AB114" s="131"/>
      <c r="AC114" s="131"/>
    </row>
    <row r="115" ht="15.75" customHeight="1">
      <c r="A115" s="130"/>
      <c r="B115" s="2"/>
      <c r="C115" s="2"/>
      <c r="D115" s="2"/>
      <c r="E115" s="2"/>
      <c r="F115" s="2"/>
      <c r="G115" s="6"/>
      <c r="H115" s="6"/>
      <c r="I115" s="6"/>
      <c r="J115" s="6"/>
      <c r="K115" s="131"/>
      <c r="L115" s="131"/>
      <c r="M115" s="131"/>
      <c r="N115" s="131"/>
      <c r="O115" s="131"/>
      <c r="P115" s="131"/>
      <c r="Q115" s="131"/>
      <c r="R115" s="131"/>
      <c r="S115" s="131"/>
      <c r="T115" s="131"/>
      <c r="U115" s="131"/>
      <c r="V115" s="131"/>
      <c r="W115" s="131"/>
      <c r="X115" s="131"/>
      <c r="Y115" s="131"/>
      <c r="Z115" s="131"/>
      <c r="AA115" s="131"/>
      <c r="AB115" s="131"/>
      <c r="AC115" s="131"/>
    </row>
    <row r="116" ht="15.75" customHeight="1">
      <c r="A116" s="130"/>
      <c r="B116" s="2"/>
      <c r="C116" s="2"/>
      <c r="D116" s="2"/>
      <c r="E116" s="2"/>
      <c r="F116" s="2"/>
      <c r="G116" s="6"/>
      <c r="H116" s="6"/>
      <c r="I116" s="6"/>
      <c r="J116" s="6"/>
      <c r="K116" s="131"/>
      <c r="L116" s="131"/>
      <c r="M116" s="131"/>
      <c r="N116" s="131"/>
      <c r="O116" s="131"/>
      <c r="P116" s="131"/>
      <c r="Q116" s="131"/>
      <c r="R116" s="131"/>
      <c r="S116" s="131"/>
      <c r="T116" s="131"/>
      <c r="U116" s="131"/>
      <c r="V116" s="131"/>
      <c r="W116" s="131"/>
      <c r="X116" s="131"/>
      <c r="Y116" s="131"/>
      <c r="Z116" s="131"/>
      <c r="AA116" s="131"/>
      <c r="AB116" s="131"/>
      <c r="AC116" s="131"/>
    </row>
    <row r="117" ht="15.75" customHeight="1">
      <c r="A117" s="130"/>
      <c r="B117" s="2"/>
      <c r="C117" s="2"/>
      <c r="D117" s="2"/>
      <c r="E117" s="2"/>
      <c r="F117" s="2"/>
      <c r="G117" s="6"/>
      <c r="H117" s="6"/>
      <c r="I117" s="6"/>
      <c r="J117" s="6"/>
      <c r="K117" s="131"/>
      <c r="L117" s="131"/>
      <c r="M117" s="131"/>
      <c r="N117" s="131"/>
      <c r="O117" s="131"/>
      <c r="P117" s="131"/>
      <c r="Q117" s="131"/>
      <c r="R117" s="131"/>
      <c r="S117" s="131"/>
      <c r="T117" s="131"/>
      <c r="U117" s="131"/>
      <c r="V117" s="131"/>
      <c r="W117" s="131"/>
      <c r="X117" s="131"/>
      <c r="Y117" s="131"/>
      <c r="Z117" s="131"/>
      <c r="AA117" s="131"/>
      <c r="AB117" s="131"/>
      <c r="AC117" s="131"/>
    </row>
    <row r="118" ht="15.75" customHeight="1">
      <c r="A118" s="130"/>
      <c r="B118" s="2"/>
      <c r="C118" s="2"/>
      <c r="D118" s="2"/>
      <c r="E118" s="2"/>
      <c r="F118" s="2"/>
      <c r="G118" s="6"/>
      <c r="H118" s="6"/>
      <c r="I118" s="6"/>
      <c r="J118" s="6"/>
      <c r="K118" s="131"/>
      <c r="L118" s="131"/>
      <c r="M118" s="131"/>
      <c r="N118" s="131"/>
      <c r="O118" s="131"/>
      <c r="P118" s="131"/>
      <c r="Q118" s="131"/>
      <c r="R118" s="131"/>
      <c r="S118" s="131"/>
      <c r="T118" s="131"/>
      <c r="U118" s="131"/>
      <c r="V118" s="131"/>
      <c r="W118" s="131"/>
      <c r="X118" s="131"/>
      <c r="Y118" s="131"/>
      <c r="Z118" s="131"/>
      <c r="AA118" s="131"/>
      <c r="AB118" s="131"/>
      <c r="AC118" s="131"/>
    </row>
    <row r="119" ht="15.75" customHeight="1">
      <c r="A119" s="130"/>
      <c r="B119" s="2"/>
      <c r="C119" s="2"/>
      <c r="D119" s="2"/>
      <c r="E119" s="2"/>
      <c r="F119" s="2"/>
      <c r="G119" s="6"/>
      <c r="H119" s="6"/>
      <c r="I119" s="6"/>
      <c r="J119" s="6"/>
      <c r="K119" s="131"/>
      <c r="L119" s="131"/>
      <c r="M119" s="131"/>
      <c r="N119" s="131"/>
      <c r="O119" s="131"/>
      <c r="P119" s="131"/>
      <c r="Q119" s="131"/>
      <c r="R119" s="131"/>
      <c r="S119" s="131"/>
      <c r="T119" s="131"/>
      <c r="U119" s="131"/>
      <c r="V119" s="131"/>
      <c r="W119" s="131"/>
      <c r="X119" s="131"/>
      <c r="Y119" s="131"/>
      <c r="Z119" s="131"/>
      <c r="AA119" s="131"/>
      <c r="AB119" s="131"/>
      <c r="AC119" s="131"/>
    </row>
    <row r="120" ht="15.75" customHeight="1">
      <c r="A120" s="130"/>
      <c r="B120" s="2"/>
      <c r="C120" s="2"/>
      <c r="D120" s="2"/>
      <c r="E120" s="2"/>
      <c r="F120" s="2"/>
      <c r="G120" s="6"/>
      <c r="H120" s="6"/>
      <c r="I120" s="6"/>
      <c r="J120" s="6"/>
      <c r="K120" s="131"/>
      <c r="L120" s="131"/>
      <c r="M120" s="131"/>
      <c r="N120" s="131"/>
      <c r="O120" s="131"/>
      <c r="P120" s="131"/>
      <c r="Q120" s="131"/>
      <c r="R120" s="131"/>
      <c r="S120" s="131"/>
      <c r="T120" s="131"/>
      <c r="U120" s="131"/>
      <c r="V120" s="131"/>
      <c r="W120" s="131"/>
      <c r="X120" s="131"/>
      <c r="Y120" s="131"/>
      <c r="Z120" s="131"/>
      <c r="AA120" s="131"/>
      <c r="AB120" s="131"/>
      <c r="AC120" s="131"/>
    </row>
    <row r="121" ht="15.75" customHeight="1">
      <c r="A121" s="130"/>
      <c r="B121" s="2"/>
      <c r="C121" s="2"/>
      <c r="D121" s="2"/>
      <c r="E121" s="2"/>
      <c r="F121" s="2"/>
      <c r="G121" s="6"/>
      <c r="H121" s="6"/>
      <c r="I121" s="6"/>
      <c r="J121" s="6"/>
      <c r="K121" s="131"/>
      <c r="L121" s="131"/>
      <c r="M121" s="131"/>
      <c r="N121" s="131"/>
      <c r="O121" s="131"/>
      <c r="P121" s="131"/>
      <c r="Q121" s="131"/>
      <c r="R121" s="131"/>
      <c r="S121" s="131"/>
      <c r="T121" s="131"/>
      <c r="U121" s="131"/>
      <c r="V121" s="131"/>
      <c r="W121" s="131"/>
      <c r="X121" s="131"/>
      <c r="Y121" s="131"/>
      <c r="Z121" s="131"/>
      <c r="AA121" s="131"/>
      <c r="AB121" s="131"/>
      <c r="AC121" s="131"/>
    </row>
    <row r="122" ht="15.75" customHeight="1">
      <c r="A122" s="130"/>
      <c r="B122" s="2"/>
      <c r="C122" s="2"/>
      <c r="D122" s="2"/>
      <c r="E122" s="2"/>
      <c r="F122" s="2"/>
      <c r="G122" s="6"/>
      <c r="H122" s="6"/>
      <c r="I122" s="6"/>
      <c r="J122" s="6"/>
      <c r="K122" s="131"/>
      <c r="L122" s="131"/>
      <c r="M122" s="131"/>
      <c r="N122" s="131"/>
      <c r="O122" s="131"/>
      <c r="P122" s="131"/>
      <c r="Q122" s="131"/>
      <c r="R122" s="131"/>
      <c r="S122" s="131"/>
      <c r="T122" s="131"/>
      <c r="U122" s="131"/>
      <c r="V122" s="131"/>
      <c r="W122" s="131"/>
      <c r="X122" s="131"/>
      <c r="Y122" s="131"/>
      <c r="Z122" s="131"/>
      <c r="AA122" s="131"/>
      <c r="AB122" s="131"/>
      <c r="AC122" s="131"/>
    </row>
    <row r="123" ht="15.75" customHeight="1">
      <c r="A123" s="130"/>
      <c r="B123" s="2"/>
      <c r="C123" s="2"/>
      <c r="D123" s="2"/>
      <c r="E123" s="2"/>
      <c r="F123" s="2"/>
      <c r="G123" s="6"/>
      <c r="H123" s="6"/>
      <c r="I123" s="6"/>
      <c r="J123" s="6"/>
      <c r="K123" s="131"/>
      <c r="L123" s="131"/>
      <c r="M123" s="131"/>
      <c r="N123" s="131"/>
      <c r="O123" s="131"/>
      <c r="P123" s="131"/>
      <c r="Q123" s="131"/>
      <c r="R123" s="131"/>
      <c r="S123" s="131"/>
      <c r="T123" s="131"/>
      <c r="U123" s="131"/>
      <c r="V123" s="131"/>
      <c r="W123" s="131"/>
      <c r="X123" s="131"/>
      <c r="Y123" s="131"/>
      <c r="Z123" s="131"/>
      <c r="AA123" s="131"/>
      <c r="AB123" s="131"/>
      <c r="AC123" s="131"/>
    </row>
    <row r="124" ht="15.75" customHeight="1">
      <c r="A124" s="130"/>
      <c r="B124" s="2"/>
      <c r="C124" s="2"/>
      <c r="D124" s="2"/>
      <c r="E124" s="2"/>
      <c r="F124" s="2"/>
      <c r="G124" s="6"/>
      <c r="H124" s="6"/>
      <c r="I124" s="6"/>
      <c r="J124" s="6"/>
      <c r="K124" s="131"/>
      <c r="L124" s="131"/>
      <c r="M124" s="131"/>
      <c r="N124" s="131"/>
      <c r="O124" s="131"/>
      <c r="P124" s="131"/>
      <c r="Q124" s="131"/>
      <c r="R124" s="131"/>
      <c r="S124" s="131"/>
      <c r="T124" s="131"/>
      <c r="U124" s="131"/>
      <c r="V124" s="131"/>
      <c r="W124" s="131"/>
      <c r="X124" s="131"/>
      <c r="Y124" s="131"/>
      <c r="Z124" s="131"/>
      <c r="AA124" s="131"/>
      <c r="AB124" s="131"/>
      <c r="AC124" s="131"/>
    </row>
    <row r="125" ht="15.75" customHeight="1">
      <c r="A125" s="130"/>
      <c r="B125" s="2"/>
      <c r="C125" s="2"/>
      <c r="D125" s="2"/>
      <c r="E125" s="2"/>
      <c r="F125" s="2"/>
      <c r="G125" s="6"/>
      <c r="H125" s="6"/>
      <c r="I125" s="6"/>
      <c r="J125" s="6"/>
      <c r="K125" s="131"/>
      <c r="L125" s="131"/>
      <c r="M125" s="131"/>
      <c r="N125" s="131"/>
      <c r="O125" s="131"/>
      <c r="P125" s="131"/>
      <c r="Q125" s="131"/>
      <c r="R125" s="131"/>
      <c r="S125" s="131"/>
      <c r="T125" s="131"/>
      <c r="U125" s="131"/>
      <c r="V125" s="131"/>
      <c r="W125" s="131"/>
      <c r="X125" s="131"/>
      <c r="Y125" s="131"/>
      <c r="Z125" s="131"/>
      <c r="AA125" s="131"/>
      <c r="AB125" s="131"/>
      <c r="AC125" s="131"/>
    </row>
    <row r="126" ht="15.75" customHeight="1">
      <c r="A126" s="130"/>
      <c r="B126" s="2"/>
      <c r="C126" s="2"/>
      <c r="D126" s="2"/>
      <c r="E126" s="2"/>
      <c r="F126" s="2"/>
      <c r="G126" s="6"/>
      <c r="H126" s="6"/>
      <c r="I126" s="6"/>
      <c r="J126" s="6"/>
      <c r="K126" s="131"/>
      <c r="L126" s="131"/>
      <c r="M126" s="131"/>
      <c r="N126" s="131"/>
      <c r="O126" s="131"/>
      <c r="P126" s="131"/>
      <c r="Q126" s="131"/>
      <c r="R126" s="131"/>
      <c r="S126" s="131"/>
      <c r="T126" s="131"/>
      <c r="U126" s="131"/>
      <c r="V126" s="131"/>
      <c r="W126" s="131"/>
      <c r="X126" s="131"/>
      <c r="Y126" s="131"/>
      <c r="Z126" s="131"/>
      <c r="AA126" s="131"/>
      <c r="AB126" s="131"/>
      <c r="AC126" s="131"/>
    </row>
    <row r="127" ht="15.75" customHeight="1">
      <c r="A127" s="130"/>
      <c r="B127" s="2"/>
      <c r="C127" s="2"/>
      <c r="D127" s="2"/>
      <c r="E127" s="2"/>
      <c r="F127" s="2"/>
      <c r="G127" s="6"/>
      <c r="H127" s="6"/>
      <c r="I127" s="6"/>
      <c r="J127" s="6"/>
      <c r="K127" s="131"/>
      <c r="L127" s="131"/>
      <c r="M127" s="131"/>
      <c r="N127" s="131"/>
      <c r="O127" s="131"/>
      <c r="P127" s="131"/>
      <c r="Q127" s="131"/>
      <c r="R127" s="131"/>
      <c r="S127" s="131"/>
      <c r="T127" s="131"/>
      <c r="U127" s="131"/>
      <c r="V127" s="131"/>
      <c r="W127" s="131"/>
      <c r="X127" s="131"/>
      <c r="Y127" s="131"/>
      <c r="Z127" s="131"/>
      <c r="AA127" s="131"/>
      <c r="AB127" s="131"/>
      <c r="AC127" s="131"/>
    </row>
    <row r="128" ht="15.75" customHeight="1">
      <c r="A128" s="130"/>
      <c r="B128" s="2"/>
      <c r="C128" s="2"/>
      <c r="D128" s="2"/>
      <c r="E128" s="2"/>
      <c r="F128" s="2"/>
      <c r="G128" s="6"/>
      <c r="H128" s="6"/>
      <c r="I128" s="6"/>
      <c r="J128" s="6"/>
      <c r="K128" s="131"/>
      <c r="L128" s="131"/>
      <c r="M128" s="131"/>
      <c r="N128" s="131"/>
      <c r="O128" s="131"/>
      <c r="P128" s="131"/>
      <c r="Q128" s="131"/>
      <c r="R128" s="131"/>
      <c r="S128" s="131"/>
      <c r="T128" s="131"/>
      <c r="U128" s="131"/>
      <c r="V128" s="131"/>
      <c r="W128" s="131"/>
      <c r="X128" s="131"/>
      <c r="Y128" s="131"/>
      <c r="Z128" s="131"/>
      <c r="AA128" s="131"/>
      <c r="AB128" s="131"/>
      <c r="AC128" s="131"/>
    </row>
    <row r="129" ht="15.75" customHeight="1">
      <c r="A129" s="130"/>
      <c r="B129" s="2"/>
      <c r="C129" s="2"/>
      <c r="D129" s="2"/>
      <c r="E129" s="2"/>
      <c r="F129" s="2"/>
      <c r="G129" s="6"/>
      <c r="H129" s="6"/>
      <c r="I129" s="6"/>
      <c r="J129" s="6"/>
      <c r="K129" s="131"/>
      <c r="L129" s="131"/>
      <c r="M129" s="131"/>
      <c r="N129" s="131"/>
      <c r="O129" s="131"/>
      <c r="P129" s="131"/>
      <c r="Q129" s="131"/>
      <c r="R129" s="131"/>
      <c r="S129" s="131"/>
      <c r="T129" s="131"/>
      <c r="U129" s="131"/>
      <c r="V129" s="131"/>
      <c r="W129" s="131"/>
      <c r="X129" s="131"/>
      <c r="Y129" s="131"/>
      <c r="Z129" s="131"/>
      <c r="AA129" s="131"/>
      <c r="AB129" s="131"/>
      <c r="AC129" s="131"/>
    </row>
    <row r="130" ht="15.75" customHeight="1">
      <c r="A130" s="130"/>
      <c r="B130" s="2"/>
      <c r="C130" s="2"/>
      <c r="D130" s="2"/>
      <c r="E130" s="2"/>
      <c r="F130" s="2"/>
      <c r="G130" s="6"/>
      <c r="H130" s="6"/>
      <c r="I130" s="6"/>
      <c r="J130" s="6"/>
      <c r="K130" s="131"/>
      <c r="L130" s="131"/>
      <c r="M130" s="131"/>
      <c r="N130" s="131"/>
      <c r="O130" s="131"/>
      <c r="P130" s="131"/>
      <c r="Q130" s="131"/>
      <c r="R130" s="131"/>
      <c r="S130" s="131"/>
      <c r="T130" s="131"/>
      <c r="U130" s="131"/>
      <c r="V130" s="131"/>
      <c r="W130" s="131"/>
      <c r="X130" s="131"/>
      <c r="Y130" s="131"/>
      <c r="Z130" s="131"/>
      <c r="AA130" s="131"/>
      <c r="AB130" s="131"/>
      <c r="AC130" s="131"/>
    </row>
    <row r="131" ht="15.75" customHeight="1">
      <c r="A131" s="130"/>
      <c r="B131" s="2"/>
      <c r="C131" s="2"/>
      <c r="D131" s="2"/>
      <c r="E131" s="2"/>
      <c r="F131" s="2"/>
      <c r="G131" s="6"/>
      <c r="H131" s="6"/>
      <c r="I131" s="6"/>
      <c r="J131" s="6"/>
      <c r="K131" s="131"/>
      <c r="L131" s="131"/>
      <c r="M131" s="131"/>
      <c r="N131" s="131"/>
      <c r="O131" s="131"/>
      <c r="P131" s="131"/>
      <c r="Q131" s="131"/>
      <c r="R131" s="131"/>
      <c r="S131" s="131"/>
      <c r="T131" s="131"/>
      <c r="U131" s="131"/>
      <c r="V131" s="131"/>
      <c r="W131" s="131"/>
      <c r="X131" s="131"/>
      <c r="Y131" s="131"/>
      <c r="Z131" s="131"/>
      <c r="AA131" s="131"/>
      <c r="AB131" s="131"/>
      <c r="AC131" s="131"/>
    </row>
    <row r="132" ht="15.75" customHeight="1">
      <c r="A132" s="130"/>
      <c r="B132" s="2"/>
      <c r="C132" s="2"/>
      <c r="D132" s="2"/>
      <c r="E132" s="2"/>
      <c r="F132" s="2"/>
      <c r="G132" s="6"/>
      <c r="H132" s="6"/>
      <c r="I132" s="6"/>
      <c r="J132" s="6"/>
      <c r="K132" s="131"/>
      <c r="L132" s="131"/>
      <c r="M132" s="131"/>
      <c r="N132" s="131"/>
      <c r="O132" s="131"/>
      <c r="P132" s="131"/>
      <c r="Q132" s="131"/>
      <c r="R132" s="131"/>
      <c r="S132" s="131"/>
      <c r="T132" s="131"/>
      <c r="U132" s="131"/>
      <c r="V132" s="131"/>
      <c r="W132" s="131"/>
      <c r="X132" s="131"/>
      <c r="Y132" s="131"/>
      <c r="Z132" s="131"/>
      <c r="AA132" s="131"/>
      <c r="AB132" s="131"/>
      <c r="AC132" s="131"/>
    </row>
    <row r="133" ht="15.75" customHeight="1">
      <c r="A133" s="130"/>
      <c r="B133" s="2"/>
      <c r="C133" s="2"/>
      <c r="D133" s="2"/>
      <c r="E133" s="2"/>
      <c r="F133" s="2"/>
      <c r="G133" s="6"/>
      <c r="H133" s="6"/>
      <c r="I133" s="6"/>
      <c r="J133" s="6"/>
      <c r="K133" s="131"/>
      <c r="L133" s="131"/>
      <c r="M133" s="131"/>
      <c r="N133" s="131"/>
      <c r="O133" s="131"/>
      <c r="P133" s="131"/>
      <c r="Q133" s="131"/>
      <c r="R133" s="131"/>
      <c r="S133" s="131"/>
      <c r="T133" s="131"/>
      <c r="U133" s="131"/>
      <c r="V133" s="131"/>
      <c r="W133" s="131"/>
      <c r="X133" s="131"/>
      <c r="Y133" s="131"/>
      <c r="Z133" s="131"/>
      <c r="AA133" s="131"/>
      <c r="AB133" s="131"/>
      <c r="AC133" s="131"/>
    </row>
    <row r="134" ht="15.75" customHeight="1">
      <c r="A134" s="130"/>
      <c r="B134" s="2"/>
      <c r="C134" s="2"/>
      <c r="D134" s="2"/>
      <c r="E134" s="2"/>
      <c r="F134" s="2"/>
      <c r="G134" s="6"/>
      <c r="H134" s="6"/>
      <c r="I134" s="6"/>
      <c r="J134" s="6"/>
      <c r="K134" s="131"/>
      <c r="L134" s="131"/>
      <c r="M134" s="131"/>
      <c r="N134" s="131"/>
      <c r="O134" s="131"/>
      <c r="P134" s="131"/>
      <c r="Q134" s="131"/>
      <c r="R134" s="131"/>
      <c r="S134" s="131"/>
      <c r="T134" s="131"/>
      <c r="U134" s="131"/>
      <c r="V134" s="131"/>
      <c r="W134" s="131"/>
      <c r="X134" s="131"/>
      <c r="Y134" s="131"/>
      <c r="Z134" s="131"/>
      <c r="AA134" s="131"/>
      <c r="AB134" s="131"/>
      <c r="AC134" s="131"/>
    </row>
    <row r="135" ht="15.75" customHeight="1">
      <c r="A135" s="130"/>
      <c r="B135" s="2"/>
      <c r="C135" s="2"/>
      <c r="D135" s="2"/>
      <c r="E135" s="2"/>
      <c r="F135" s="2"/>
      <c r="G135" s="6"/>
      <c r="H135" s="6"/>
      <c r="I135" s="6"/>
      <c r="J135" s="6"/>
      <c r="K135" s="131"/>
      <c r="L135" s="131"/>
      <c r="M135" s="131"/>
      <c r="N135" s="131"/>
      <c r="O135" s="131"/>
      <c r="P135" s="131"/>
      <c r="Q135" s="131"/>
      <c r="R135" s="131"/>
      <c r="S135" s="131"/>
      <c r="T135" s="131"/>
      <c r="U135" s="131"/>
      <c r="V135" s="131"/>
      <c r="W135" s="131"/>
      <c r="X135" s="131"/>
      <c r="Y135" s="131"/>
      <c r="Z135" s="131"/>
      <c r="AA135" s="131"/>
      <c r="AB135" s="131"/>
      <c r="AC135" s="131"/>
    </row>
    <row r="136" ht="15.75" customHeight="1">
      <c r="A136" s="130"/>
      <c r="B136" s="2"/>
      <c r="C136" s="2"/>
      <c r="D136" s="2"/>
      <c r="E136" s="2"/>
      <c r="F136" s="2"/>
      <c r="G136" s="6"/>
      <c r="H136" s="6"/>
      <c r="I136" s="6"/>
      <c r="J136" s="6"/>
      <c r="K136" s="131"/>
      <c r="L136" s="131"/>
      <c r="M136" s="131"/>
      <c r="N136" s="131"/>
      <c r="O136" s="131"/>
      <c r="P136" s="131"/>
      <c r="Q136" s="131"/>
      <c r="R136" s="131"/>
      <c r="S136" s="131"/>
      <c r="T136" s="131"/>
      <c r="U136" s="131"/>
      <c r="V136" s="131"/>
      <c r="W136" s="131"/>
      <c r="X136" s="131"/>
      <c r="Y136" s="131"/>
      <c r="Z136" s="131"/>
      <c r="AA136" s="131"/>
      <c r="AB136" s="131"/>
      <c r="AC136" s="131"/>
    </row>
    <row r="137" ht="15.75" customHeight="1">
      <c r="A137" s="130"/>
      <c r="B137" s="2"/>
      <c r="C137" s="2"/>
      <c r="D137" s="2"/>
      <c r="E137" s="2"/>
      <c r="F137" s="2"/>
      <c r="G137" s="6"/>
      <c r="H137" s="6"/>
      <c r="I137" s="6"/>
      <c r="J137" s="6"/>
      <c r="K137" s="131"/>
      <c r="L137" s="131"/>
      <c r="M137" s="131"/>
      <c r="N137" s="131"/>
      <c r="O137" s="131"/>
      <c r="P137" s="131"/>
      <c r="Q137" s="131"/>
      <c r="R137" s="131"/>
      <c r="S137" s="131"/>
      <c r="T137" s="131"/>
      <c r="U137" s="131"/>
      <c r="V137" s="131"/>
      <c r="W137" s="131"/>
      <c r="X137" s="131"/>
      <c r="Y137" s="131"/>
      <c r="Z137" s="131"/>
      <c r="AA137" s="131"/>
      <c r="AB137" s="131"/>
      <c r="AC137" s="131"/>
    </row>
    <row r="138" ht="15.75" customHeight="1">
      <c r="A138" s="130"/>
      <c r="B138" s="2"/>
      <c r="C138" s="2"/>
      <c r="D138" s="2"/>
      <c r="E138" s="2"/>
      <c r="F138" s="2"/>
      <c r="G138" s="6"/>
      <c r="H138" s="6"/>
      <c r="I138" s="6"/>
      <c r="J138" s="6"/>
      <c r="K138" s="131"/>
      <c r="L138" s="131"/>
      <c r="M138" s="131"/>
      <c r="N138" s="131"/>
      <c r="O138" s="131"/>
      <c r="P138" s="131"/>
      <c r="Q138" s="131"/>
      <c r="R138" s="131"/>
      <c r="S138" s="131"/>
      <c r="T138" s="131"/>
      <c r="U138" s="131"/>
      <c r="V138" s="131"/>
      <c r="W138" s="131"/>
      <c r="X138" s="131"/>
      <c r="Y138" s="131"/>
      <c r="Z138" s="131"/>
      <c r="AA138" s="131"/>
      <c r="AB138" s="131"/>
      <c r="AC138" s="131"/>
    </row>
    <row r="139" ht="15.75" customHeight="1">
      <c r="A139" s="130"/>
      <c r="B139" s="2"/>
      <c r="C139" s="2"/>
      <c r="D139" s="2"/>
      <c r="E139" s="2"/>
      <c r="F139" s="2"/>
      <c r="G139" s="6"/>
      <c r="H139" s="6"/>
      <c r="I139" s="6"/>
      <c r="J139" s="6"/>
      <c r="K139" s="131"/>
      <c r="L139" s="131"/>
      <c r="M139" s="131"/>
      <c r="N139" s="131"/>
      <c r="O139" s="131"/>
      <c r="P139" s="131"/>
      <c r="Q139" s="131"/>
      <c r="R139" s="131"/>
      <c r="S139" s="131"/>
      <c r="T139" s="131"/>
      <c r="U139" s="131"/>
      <c r="V139" s="131"/>
      <c r="W139" s="131"/>
      <c r="X139" s="131"/>
      <c r="Y139" s="131"/>
      <c r="Z139" s="131"/>
      <c r="AA139" s="131"/>
      <c r="AB139" s="131"/>
      <c r="AC139" s="131"/>
    </row>
    <row r="140" ht="15.75" customHeight="1">
      <c r="A140" s="130"/>
      <c r="B140" s="2"/>
      <c r="C140" s="2"/>
      <c r="D140" s="2"/>
      <c r="E140" s="2"/>
      <c r="F140" s="2"/>
      <c r="G140" s="6"/>
      <c r="H140" s="6"/>
      <c r="I140" s="6"/>
      <c r="J140" s="6"/>
      <c r="K140" s="131"/>
      <c r="L140" s="131"/>
      <c r="M140" s="131"/>
      <c r="N140" s="131"/>
      <c r="O140" s="131"/>
      <c r="P140" s="131"/>
      <c r="Q140" s="131"/>
      <c r="R140" s="131"/>
      <c r="S140" s="131"/>
      <c r="T140" s="131"/>
      <c r="U140" s="131"/>
      <c r="V140" s="131"/>
      <c r="W140" s="131"/>
      <c r="X140" s="131"/>
      <c r="Y140" s="131"/>
      <c r="Z140" s="131"/>
      <c r="AA140" s="131"/>
      <c r="AB140" s="131"/>
      <c r="AC140" s="131"/>
    </row>
    <row r="141" ht="15.75" customHeight="1">
      <c r="A141" s="130"/>
      <c r="B141" s="2"/>
      <c r="C141" s="2"/>
      <c r="D141" s="2"/>
      <c r="E141" s="2"/>
      <c r="F141" s="2"/>
      <c r="G141" s="6"/>
      <c r="H141" s="6"/>
      <c r="I141" s="6"/>
      <c r="J141" s="6"/>
      <c r="K141" s="131"/>
      <c r="L141" s="131"/>
      <c r="M141" s="131"/>
      <c r="N141" s="131"/>
      <c r="O141" s="131"/>
      <c r="P141" s="131"/>
      <c r="Q141" s="131"/>
      <c r="R141" s="131"/>
      <c r="S141" s="131"/>
      <c r="T141" s="131"/>
      <c r="U141" s="131"/>
      <c r="V141" s="131"/>
      <c r="W141" s="131"/>
      <c r="X141" s="131"/>
      <c r="Y141" s="131"/>
      <c r="Z141" s="131"/>
      <c r="AA141" s="131"/>
      <c r="AB141" s="131"/>
      <c r="AC141" s="131"/>
    </row>
    <row r="142" ht="15.75" customHeight="1">
      <c r="A142" s="130"/>
      <c r="B142" s="2"/>
      <c r="C142" s="2"/>
      <c r="D142" s="2"/>
      <c r="E142" s="2"/>
      <c r="F142" s="2"/>
      <c r="G142" s="6"/>
      <c r="H142" s="6"/>
      <c r="I142" s="6"/>
      <c r="J142" s="6"/>
      <c r="K142" s="131"/>
      <c r="L142" s="131"/>
      <c r="M142" s="131"/>
      <c r="N142" s="131"/>
      <c r="O142" s="131"/>
      <c r="P142" s="131"/>
      <c r="Q142" s="131"/>
      <c r="R142" s="131"/>
      <c r="S142" s="131"/>
      <c r="T142" s="131"/>
      <c r="U142" s="131"/>
      <c r="V142" s="131"/>
      <c r="W142" s="131"/>
      <c r="X142" s="131"/>
      <c r="Y142" s="131"/>
      <c r="Z142" s="131"/>
      <c r="AA142" s="131"/>
      <c r="AB142" s="131"/>
      <c r="AC142" s="131"/>
    </row>
    <row r="143" ht="15.75" customHeight="1">
      <c r="A143" s="130"/>
      <c r="B143" s="2"/>
      <c r="C143" s="2"/>
      <c r="D143" s="2"/>
      <c r="E143" s="2"/>
      <c r="F143" s="2"/>
      <c r="G143" s="6"/>
      <c r="H143" s="6"/>
      <c r="I143" s="6"/>
      <c r="J143" s="6"/>
      <c r="K143" s="131"/>
      <c r="L143" s="131"/>
      <c r="M143" s="131"/>
      <c r="N143" s="131"/>
      <c r="O143" s="131"/>
      <c r="P143" s="131"/>
      <c r="Q143" s="131"/>
      <c r="R143" s="131"/>
      <c r="S143" s="131"/>
      <c r="T143" s="131"/>
      <c r="U143" s="131"/>
      <c r="V143" s="131"/>
      <c r="W143" s="131"/>
      <c r="X143" s="131"/>
      <c r="Y143" s="131"/>
      <c r="Z143" s="131"/>
      <c r="AA143" s="131"/>
      <c r="AB143" s="131"/>
      <c r="AC143" s="131"/>
    </row>
    <row r="144" ht="15.75" customHeight="1">
      <c r="A144" s="130"/>
      <c r="B144" s="2"/>
      <c r="C144" s="2"/>
      <c r="D144" s="2"/>
      <c r="E144" s="2"/>
      <c r="F144" s="2"/>
      <c r="G144" s="6"/>
      <c r="H144" s="6"/>
      <c r="I144" s="6"/>
      <c r="J144" s="6"/>
      <c r="K144" s="131"/>
      <c r="L144" s="131"/>
      <c r="M144" s="131"/>
      <c r="N144" s="131"/>
      <c r="O144" s="131"/>
      <c r="P144" s="131"/>
      <c r="Q144" s="131"/>
      <c r="R144" s="131"/>
      <c r="S144" s="131"/>
      <c r="T144" s="131"/>
      <c r="U144" s="131"/>
      <c r="V144" s="131"/>
      <c r="W144" s="131"/>
      <c r="X144" s="131"/>
      <c r="Y144" s="131"/>
      <c r="Z144" s="131"/>
      <c r="AA144" s="131"/>
      <c r="AB144" s="131"/>
      <c r="AC144" s="131"/>
    </row>
    <row r="145" ht="15.75" customHeight="1">
      <c r="A145" s="130"/>
      <c r="B145" s="2"/>
      <c r="C145" s="2"/>
      <c r="D145" s="2"/>
      <c r="E145" s="2"/>
      <c r="F145" s="2"/>
      <c r="G145" s="6"/>
      <c r="H145" s="6"/>
      <c r="I145" s="6"/>
      <c r="J145" s="6"/>
      <c r="K145" s="131"/>
      <c r="L145" s="131"/>
      <c r="M145" s="131"/>
      <c r="N145" s="131"/>
      <c r="O145" s="131"/>
      <c r="P145" s="131"/>
      <c r="Q145" s="131"/>
      <c r="R145" s="131"/>
      <c r="S145" s="131"/>
      <c r="T145" s="131"/>
      <c r="U145" s="131"/>
      <c r="V145" s="131"/>
      <c r="W145" s="131"/>
      <c r="X145" s="131"/>
      <c r="Y145" s="131"/>
      <c r="Z145" s="131"/>
      <c r="AA145" s="131"/>
      <c r="AB145" s="131"/>
      <c r="AC145" s="131"/>
    </row>
    <row r="146" ht="15.75" customHeight="1">
      <c r="A146" s="130"/>
      <c r="B146" s="2"/>
      <c r="C146" s="2"/>
      <c r="D146" s="2"/>
      <c r="E146" s="2"/>
      <c r="F146" s="2"/>
      <c r="G146" s="6"/>
      <c r="H146" s="6"/>
      <c r="I146" s="6"/>
      <c r="J146" s="6"/>
      <c r="K146" s="131"/>
      <c r="L146" s="131"/>
      <c r="M146" s="131"/>
      <c r="N146" s="131"/>
      <c r="O146" s="131"/>
      <c r="P146" s="131"/>
      <c r="Q146" s="131"/>
      <c r="R146" s="131"/>
      <c r="S146" s="131"/>
      <c r="T146" s="131"/>
      <c r="U146" s="131"/>
      <c r="V146" s="131"/>
      <c r="W146" s="131"/>
      <c r="X146" s="131"/>
      <c r="Y146" s="131"/>
      <c r="Z146" s="131"/>
      <c r="AA146" s="131"/>
      <c r="AB146" s="131"/>
      <c r="AC146" s="131"/>
    </row>
    <row r="147" ht="15.75" customHeight="1">
      <c r="A147" s="130"/>
      <c r="B147" s="2"/>
      <c r="C147" s="2"/>
      <c r="D147" s="2"/>
      <c r="E147" s="2"/>
      <c r="F147" s="2"/>
      <c r="G147" s="6"/>
      <c r="H147" s="6"/>
      <c r="I147" s="6"/>
      <c r="J147" s="6"/>
      <c r="K147" s="131"/>
      <c r="L147" s="131"/>
      <c r="M147" s="131"/>
      <c r="N147" s="131"/>
      <c r="O147" s="131"/>
      <c r="P147" s="131"/>
      <c r="Q147" s="131"/>
      <c r="R147" s="131"/>
      <c r="S147" s="131"/>
      <c r="T147" s="131"/>
      <c r="U147" s="131"/>
      <c r="V147" s="131"/>
      <c r="W147" s="131"/>
      <c r="X147" s="131"/>
      <c r="Y147" s="131"/>
      <c r="Z147" s="131"/>
      <c r="AA147" s="131"/>
      <c r="AB147" s="131"/>
      <c r="AC147" s="131"/>
    </row>
    <row r="148" ht="15.75" customHeight="1">
      <c r="A148" s="130"/>
      <c r="B148" s="2"/>
      <c r="C148" s="2"/>
      <c r="D148" s="2"/>
      <c r="E148" s="2"/>
      <c r="F148" s="2"/>
      <c r="G148" s="6"/>
      <c r="H148" s="6"/>
      <c r="I148" s="6"/>
      <c r="J148" s="6"/>
      <c r="K148" s="131"/>
      <c r="L148" s="131"/>
      <c r="M148" s="131"/>
      <c r="N148" s="131"/>
      <c r="O148" s="131"/>
      <c r="P148" s="131"/>
      <c r="Q148" s="131"/>
      <c r="R148" s="131"/>
      <c r="S148" s="131"/>
      <c r="T148" s="131"/>
      <c r="U148" s="131"/>
      <c r="V148" s="131"/>
      <c r="W148" s="131"/>
      <c r="X148" s="131"/>
      <c r="Y148" s="131"/>
      <c r="Z148" s="131"/>
      <c r="AA148" s="131"/>
      <c r="AB148" s="131"/>
      <c r="AC148" s="131"/>
    </row>
    <row r="149" ht="15.75" customHeight="1">
      <c r="A149" s="130"/>
      <c r="B149" s="2"/>
      <c r="C149" s="2"/>
      <c r="D149" s="2"/>
      <c r="E149" s="2"/>
      <c r="F149" s="2"/>
      <c r="G149" s="6"/>
      <c r="H149" s="6"/>
      <c r="I149" s="6"/>
      <c r="J149" s="6"/>
      <c r="K149" s="131"/>
      <c r="L149" s="131"/>
      <c r="M149" s="131"/>
      <c r="N149" s="131"/>
      <c r="O149" s="131"/>
      <c r="P149" s="131"/>
      <c r="Q149" s="131"/>
      <c r="R149" s="131"/>
      <c r="S149" s="131"/>
      <c r="T149" s="131"/>
      <c r="U149" s="131"/>
      <c r="V149" s="131"/>
      <c r="W149" s="131"/>
      <c r="X149" s="131"/>
      <c r="Y149" s="131"/>
      <c r="Z149" s="131"/>
      <c r="AA149" s="131"/>
      <c r="AB149" s="131"/>
      <c r="AC149" s="131"/>
    </row>
    <row r="150" ht="15.75" customHeight="1">
      <c r="A150" s="130"/>
      <c r="B150" s="2"/>
      <c r="C150" s="2"/>
      <c r="D150" s="2"/>
      <c r="E150" s="2"/>
      <c r="F150" s="2"/>
      <c r="G150" s="6"/>
      <c r="H150" s="6"/>
      <c r="I150" s="6"/>
      <c r="J150" s="6"/>
      <c r="K150" s="131"/>
      <c r="L150" s="131"/>
      <c r="M150" s="131"/>
      <c r="N150" s="131"/>
      <c r="O150" s="131"/>
      <c r="P150" s="131"/>
      <c r="Q150" s="131"/>
      <c r="R150" s="131"/>
      <c r="S150" s="131"/>
      <c r="T150" s="131"/>
      <c r="U150" s="131"/>
      <c r="V150" s="131"/>
      <c r="W150" s="131"/>
      <c r="X150" s="131"/>
      <c r="Y150" s="131"/>
      <c r="Z150" s="131"/>
      <c r="AA150" s="131"/>
      <c r="AB150" s="131"/>
      <c r="AC150" s="131"/>
    </row>
    <row r="151" ht="15.75" customHeight="1">
      <c r="A151" s="130"/>
      <c r="B151" s="2"/>
      <c r="C151" s="2"/>
      <c r="D151" s="2"/>
      <c r="E151" s="2"/>
      <c r="F151" s="2"/>
      <c r="G151" s="6"/>
      <c r="H151" s="6"/>
      <c r="I151" s="6"/>
      <c r="J151" s="6"/>
      <c r="K151" s="131"/>
      <c r="L151" s="131"/>
      <c r="M151" s="131"/>
      <c r="N151" s="131"/>
      <c r="O151" s="131"/>
      <c r="P151" s="131"/>
      <c r="Q151" s="131"/>
      <c r="R151" s="131"/>
      <c r="S151" s="131"/>
      <c r="T151" s="131"/>
      <c r="U151" s="131"/>
      <c r="V151" s="131"/>
      <c r="W151" s="131"/>
      <c r="X151" s="131"/>
      <c r="Y151" s="131"/>
      <c r="Z151" s="131"/>
      <c r="AA151" s="131"/>
      <c r="AB151" s="131"/>
      <c r="AC151" s="131"/>
    </row>
    <row r="152" ht="15.75" customHeight="1">
      <c r="A152" s="130"/>
      <c r="B152" s="2"/>
      <c r="C152" s="2"/>
      <c r="D152" s="2"/>
      <c r="E152" s="2"/>
      <c r="F152" s="2"/>
      <c r="G152" s="6"/>
      <c r="H152" s="6"/>
      <c r="I152" s="6"/>
      <c r="J152" s="6"/>
      <c r="K152" s="131"/>
      <c r="L152" s="131"/>
      <c r="M152" s="131"/>
      <c r="N152" s="131"/>
      <c r="O152" s="131"/>
      <c r="P152" s="131"/>
      <c r="Q152" s="131"/>
      <c r="R152" s="131"/>
      <c r="S152" s="131"/>
      <c r="T152" s="131"/>
      <c r="U152" s="131"/>
      <c r="V152" s="131"/>
      <c r="W152" s="131"/>
      <c r="X152" s="131"/>
      <c r="Y152" s="131"/>
      <c r="Z152" s="131"/>
      <c r="AA152" s="131"/>
      <c r="AB152" s="131"/>
      <c r="AC152" s="131"/>
    </row>
    <row r="153" ht="15.75" customHeight="1">
      <c r="A153" s="130"/>
      <c r="B153" s="2"/>
      <c r="C153" s="2"/>
      <c r="D153" s="2"/>
      <c r="E153" s="2"/>
      <c r="F153" s="2"/>
      <c r="G153" s="6"/>
      <c r="H153" s="6"/>
      <c r="I153" s="6"/>
      <c r="J153" s="6"/>
      <c r="K153" s="131"/>
      <c r="L153" s="131"/>
      <c r="M153" s="131"/>
      <c r="N153" s="131"/>
      <c r="O153" s="131"/>
      <c r="P153" s="131"/>
      <c r="Q153" s="131"/>
      <c r="R153" s="131"/>
      <c r="S153" s="131"/>
      <c r="T153" s="131"/>
      <c r="U153" s="131"/>
      <c r="V153" s="131"/>
      <c r="W153" s="131"/>
      <c r="X153" s="131"/>
      <c r="Y153" s="131"/>
      <c r="Z153" s="131"/>
      <c r="AA153" s="131"/>
      <c r="AB153" s="131"/>
      <c r="AC153" s="131"/>
    </row>
    <row r="154" ht="15.75" customHeight="1">
      <c r="A154" s="130"/>
      <c r="B154" s="2"/>
      <c r="C154" s="2"/>
      <c r="D154" s="2"/>
      <c r="E154" s="2"/>
      <c r="F154" s="2"/>
      <c r="G154" s="6"/>
      <c r="H154" s="6"/>
      <c r="I154" s="6"/>
      <c r="J154" s="6"/>
      <c r="K154" s="131"/>
      <c r="L154" s="131"/>
      <c r="M154" s="131"/>
      <c r="N154" s="131"/>
      <c r="O154" s="131"/>
      <c r="P154" s="131"/>
      <c r="Q154" s="131"/>
      <c r="R154" s="131"/>
      <c r="S154" s="131"/>
      <c r="T154" s="131"/>
      <c r="U154" s="131"/>
      <c r="V154" s="131"/>
      <c r="W154" s="131"/>
      <c r="X154" s="131"/>
      <c r="Y154" s="131"/>
      <c r="Z154" s="131"/>
      <c r="AA154" s="131"/>
      <c r="AB154" s="131"/>
      <c r="AC154" s="131"/>
    </row>
    <row r="155" ht="15.75" customHeight="1">
      <c r="A155" s="130"/>
      <c r="B155" s="2"/>
      <c r="C155" s="2"/>
      <c r="D155" s="2"/>
      <c r="E155" s="2"/>
      <c r="F155" s="2"/>
      <c r="G155" s="6"/>
      <c r="H155" s="6"/>
      <c r="I155" s="6"/>
      <c r="J155" s="6"/>
      <c r="K155" s="131"/>
      <c r="L155" s="131"/>
      <c r="M155" s="131"/>
      <c r="N155" s="131"/>
      <c r="O155" s="131"/>
      <c r="P155" s="131"/>
      <c r="Q155" s="131"/>
      <c r="R155" s="131"/>
      <c r="S155" s="131"/>
      <c r="T155" s="131"/>
      <c r="U155" s="131"/>
      <c r="V155" s="131"/>
      <c r="W155" s="131"/>
      <c r="X155" s="131"/>
      <c r="Y155" s="131"/>
      <c r="Z155" s="131"/>
      <c r="AA155" s="131"/>
      <c r="AB155" s="131"/>
      <c r="AC155" s="131"/>
    </row>
    <row r="156" ht="15.75" customHeight="1">
      <c r="A156" s="130"/>
      <c r="B156" s="2"/>
      <c r="C156" s="2"/>
      <c r="D156" s="2"/>
      <c r="E156" s="2"/>
      <c r="F156" s="2"/>
      <c r="G156" s="6"/>
      <c r="H156" s="6"/>
      <c r="I156" s="6"/>
      <c r="J156" s="6"/>
      <c r="K156" s="131"/>
      <c r="L156" s="131"/>
      <c r="M156" s="131"/>
      <c r="N156" s="131"/>
      <c r="O156" s="131"/>
      <c r="P156" s="131"/>
      <c r="Q156" s="131"/>
      <c r="R156" s="131"/>
      <c r="S156" s="131"/>
      <c r="T156" s="131"/>
      <c r="U156" s="131"/>
      <c r="V156" s="131"/>
      <c r="W156" s="131"/>
      <c r="X156" s="131"/>
      <c r="Y156" s="131"/>
      <c r="Z156" s="131"/>
      <c r="AA156" s="131"/>
      <c r="AB156" s="131"/>
      <c r="AC156" s="131"/>
    </row>
    <row r="157" ht="15.75" customHeight="1">
      <c r="A157" s="130"/>
      <c r="B157" s="2"/>
      <c r="C157" s="2"/>
      <c r="D157" s="2"/>
      <c r="E157" s="2"/>
      <c r="F157" s="2"/>
      <c r="G157" s="6"/>
      <c r="H157" s="6"/>
      <c r="I157" s="6"/>
      <c r="J157" s="6"/>
      <c r="K157" s="131"/>
      <c r="L157" s="131"/>
      <c r="M157" s="131"/>
      <c r="N157" s="131"/>
      <c r="O157" s="131"/>
      <c r="P157" s="131"/>
      <c r="Q157" s="131"/>
      <c r="R157" s="131"/>
      <c r="S157" s="131"/>
      <c r="T157" s="131"/>
      <c r="U157" s="131"/>
      <c r="V157" s="131"/>
      <c r="W157" s="131"/>
      <c r="X157" s="131"/>
      <c r="Y157" s="131"/>
      <c r="Z157" s="131"/>
      <c r="AA157" s="131"/>
      <c r="AB157" s="131"/>
      <c r="AC157" s="131"/>
    </row>
    <row r="158" ht="15.75" customHeight="1">
      <c r="A158" s="130"/>
      <c r="B158" s="2"/>
      <c r="C158" s="2"/>
      <c r="D158" s="2"/>
      <c r="E158" s="2"/>
      <c r="F158" s="2"/>
      <c r="G158" s="6"/>
      <c r="H158" s="6"/>
      <c r="I158" s="6"/>
      <c r="J158" s="6"/>
      <c r="K158" s="131"/>
      <c r="L158" s="131"/>
      <c r="M158" s="131"/>
      <c r="N158" s="131"/>
      <c r="O158" s="131"/>
      <c r="P158" s="131"/>
      <c r="Q158" s="131"/>
      <c r="R158" s="131"/>
      <c r="S158" s="131"/>
      <c r="T158" s="131"/>
      <c r="U158" s="131"/>
      <c r="V158" s="131"/>
      <c r="W158" s="131"/>
      <c r="X158" s="131"/>
      <c r="Y158" s="131"/>
      <c r="Z158" s="131"/>
      <c r="AA158" s="131"/>
      <c r="AB158" s="131"/>
      <c r="AC158" s="131"/>
    </row>
    <row r="159" ht="15.75" customHeight="1">
      <c r="A159" s="130"/>
      <c r="B159" s="2"/>
      <c r="C159" s="2"/>
      <c r="D159" s="2"/>
      <c r="E159" s="2"/>
      <c r="F159" s="2"/>
      <c r="G159" s="6"/>
      <c r="H159" s="6"/>
      <c r="I159" s="6"/>
      <c r="J159" s="6"/>
      <c r="K159" s="131"/>
      <c r="L159" s="131"/>
      <c r="M159" s="131"/>
      <c r="N159" s="131"/>
      <c r="O159" s="131"/>
      <c r="P159" s="131"/>
      <c r="Q159" s="131"/>
      <c r="R159" s="131"/>
      <c r="S159" s="131"/>
      <c r="T159" s="131"/>
      <c r="U159" s="131"/>
      <c r="V159" s="131"/>
      <c r="W159" s="131"/>
      <c r="X159" s="131"/>
      <c r="Y159" s="131"/>
      <c r="Z159" s="131"/>
      <c r="AA159" s="131"/>
      <c r="AB159" s="131"/>
      <c r="AC159" s="131"/>
    </row>
    <row r="160" ht="15.75" customHeight="1">
      <c r="A160" s="130"/>
      <c r="B160" s="2"/>
      <c r="C160" s="2"/>
      <c r="D160" s="2"/>
      <c r="E160" s="2"/>
      <c r="F160" s="2"/>
      <c r="G160" s="6"/>
      <c r="H160" s="6"/>
      <c r="I160" s="6"/>
      <c r="J160" s="6"/>
      <c r="K160" s="131"/>
      <c r="L160" s="131"/>
      <c r="M160" s="131"/>
      <c r="N160" s="131"/>
      <c r="O160" s="131"/>
      <c r="P160" s="131"/>
      <c r="Q160" s="131"/>
      <c r="R160" s="131"/>
      <c r="S160" s="131"/>
      <c r="T160" s="131"/>
      <c r="U160" s="131"/>
      <c r="V160" s="131"/>
      <c r="W160" s="131"/>
      <c r="X160" s="131"/>
      <c r="Y160" s="131"/>
      <c r="Z160" s="131"/>
      <c r="AA160" s="131"/>
      <c r="AB160" s="131"/>
      <c r="AC160" s="131"/>
    </row>
    <row r="161" ht="15.75" customHeight="1">
      <c r="A161" s="130"/>
      <c r="B161" s="2"/>
      <c r="C161" s="2"/>
      <c r="D161" s="2"/>
      <c r="E161" s="2"/>
      <c r="F161" s="2"/>
      <c r="G161" s="6"/>
      <c r="H161" s="6"/>
      <c r="I161" s="6"/>
      <c r="J161" s="6"/>
      <c r="K161" s="131"/>
      <c r="L161" s="131"/>
      <c r="M161" s="131"/>
      <c r="N161" s="131"/>
      <c r="O161" s="131"/>
      <c r="P161" s="131"/>
      <c r="Q161" s="131"/>
      <c r="R161" s="131"/>
      <c r="S161" s="131"/>
      <c r="T161" s="131"/>
      <c r="U161" s="131"/>
      <c r="V161" s="131"/>
      <c r="W161" s="131"/>
      <c r="X161" s="131"/>
      <c r="Y161" s="131"/>
      <c r="Z161" s="131"/>
      <c r="AA161" s="131"/>
      <c r="AB161" s="131"/>
      <c r="AC161" s="131"/>
    </row>
    <row r="162" ht="15.75" customHeight="1">
      <c r="A162" s="130"/>
      <c r="B162" s="2"/>
      <c r="C162" s="2"/>
      <c r="D162" s="2"/>
      <c r="E162" s="2"/>
      <c r="F162" s="2"/>
      <c r="G162" s="6"/>
      <c r="H162" s="6"/>
      <c r="I162" s="6"/>
      <c r="J162" s="6"/>
      <c r="K162" s="131"/>
      <c r="L162" s="131"/>
      <c r="M162" s="131"/>
      <c r="N162" s="131"/>
      <c r="O162" s="131"/>
      <c r="P162" s="131"/>
      <c r="Q162" s="131"/>
      <c r="R162" s="131"/>
      <c r="S162" s="131"/>
      <c r="T162" s="131"/>
      <c r="U162" s="131"/>
      <c r="V162" s="131"/>
      <c r="W162" s="131"/>
      <c r="X162" s="131"/>
      <c r="Y162" s="131"/>
      <c r="Z162" s="131"/>
      <c r="AA162" s="131"/>
      <c r="AB162" s="131"/>
      <c r="AC162" s="131"/>
    </row>
    <row r="163" ht="15.75" customHeight="1">
      <c r="A163" s="130"/>
      <c r="B163" s="2"/>
      <c r="C163" s="2"/>
      <c r="D163" s="2"/>
      <c r="E163" s="2"/>
      <c r="F163" s="2"/>
      <c r="G163" s="6"/>
      <c r="H163" s="6"/>
      <c r="I163" s="6"/>
      <c r="J163" s="6"/>
      <c r="K163" s="131"/>
      <c r="L163" s="131"/>
      <c r="M163" s="131"/>
      <c r="N163" s="131"/>
      <c r="O163" s="131"/>
      <c r="P163" s="131"/>
      <c r="Q163" s="131"/>
      <c r="R163" s="131"/>
      <c r="S163" s="131"/>
      <c r="T163" s="131"/>
      <c r="U163" s="131"/>
      <c r="V163" s="131"/>
      <c r="W163" s="131"/>
      <c r="X163" s="131"/>
      <c r="Y163" s="131"/>
      <c r="Z163" s="131"/>
      <c r="AA163" s="131"/>
      <c r="AB163" s="131"/>
      <c r="AC163" s="131"/>
    </row>
    <row r="164" ht="15.75" customHeight="1">
      <c r="A164" s="130"/>
      <c r="B164" s="2"/>
      <c r="C164" s="2"/>
      <c r="D164" s="2"/>
      <c r="E164" s="2"/>
      <c r="F164" s="2"/>
      <c r="G164" s="6"/>
      <c r="H164" s="6"/>
      <c r="I164" s="6"/>
      <c r="J164" s="6"/>
      <c r="K164" s="131"/>
      <c r="L164" s="131"/>
      <c r="M164" s="131"/>
      <c r="N164" s="131"/>
      <c r="O164" s="131"/>
      <c r="P164" s="131"/>
      <c r="Q164" s="131"/>
      <c r="R164" s="131"/>
      <c r="S164" s="131"/>
      <c r="T164" s="131"/>
      <c r="U164" s="131"/>
      <c r="V164" s="131"/>
      <c r="W164" s="131"/>
      <c r="X164" s="131"/>
      <c r="Y164" s="131"/>
      <c r="Z164" s="131"/>
      <c r="AA164" s="131"/>
      <c r="AB164" s="131"/>
      <c r="AC164" s="131"/>
    </row>
    <row r="165" ht="15.75" customHeight="1">
      <c r="A165" s="130"/>
      <c r="B165" s="2"/>
      <c r="C165" s="2"/>
      <c r="D165" s="2"/>
      <c r="E165" s="2"/>
      <c r="F165" s="2"/>
      <c r="G165" s="6"/>
      <c r="H165" s="6"/>
      <c r="I165" s="6"/>
      <c r="J165" s="6"/>
      <c r="K165" s="131"/>
      <c r="L165" s="131"/>
      <c r="M165" s="131"/>
      <c r="N165" s="131"/>
      <c r="O165" s="131"/>
      <c r="P165" s="131"/>
      <c r="Q165" s="131"/>
      <c r="R165" s="131"/>
      <c r="S165" s="131"/>
      <c r="T165" s="131"/>
      <c r="U165" s="131"/>
      <c r="V165" s="131"/>
      <c r="W165" s="131"/>
      <c r="X165" s="131"/>
      <c r="Y165" s="131"/>
      <c r="Z165" s="131"/>
      <c r="AA165" s="131"/>
      <c r="AB165" s="131"/>
      <c r="AC165" s="131"/>
    </row>
    <row r="166" ht="15.75" customHeight="1">
      <c r="A166" s="130"/>
      <c r="B166" s="2"/>
      <c r="C166" s="2"/>
      <c r="D166" s="2"/>
      <c r="E166" s="2"/>
      <c r="F166" s="2"/>
      <c r="G166" s="6"/>
      <c r="H166" s="6"/>
      <c r="I166" s="6"/>
      <c r="J166" s="6"/>
      <c r="K166" s="131"/>
      <c r="L166" s="131"/>
      <c r="M166" s="131"/>
      <c r="N166" s="131"/>
      <c r="O166" s="131"/>
      <c r="P166" s="131"/>
      <c r="Q166" s="131"/>
      <c r="R166" s="131"/>
      <c r="S166" s="131"/>
      <c r="T166" s="131"/>
      <c r="U166" s="131"/>
      <c r="V166" s="131"/>
      <c r="W166" s="131"/>
      <c r="X166" s="131"/>
      <c r="Y166" s="131"/>
      <c r="Z166" s="131"/>
      <c r="AA166" s="131"/>
      <c r="AB166" s="131"/>
      <c r="AC166" s="131"/>
    </row>
    <row r="167" ht="15.75" customHeight="1">
      <c r="A167" s="130"/>
      <c r="B167" s="2"/>
      <c r="C167" s="2"/>
      <c r="D167" s="2"/>
      <c r="E167" s="2"/>
      <c r="F167" s="2"/>
      <c r="G167" s="6"/>
      <c r="H167" s="6"/>
      <c r="I167" s="6"/>
      <c r="J167" s="6"/>
      <c r="K167" s="131"/>
      <c r="L167" s="131"/>
      <c r="M167" s="131"/>
      <c r="N167" s="131"/>
      <c r="O167" s="131"/>
      <c r="P167" s="131"/>
      <c r="Q167" s="131"/>
      <c r="R167" s="131"/>
      <c r="S167" s="131"/>
      <c r="T167" s="131"/>
      <c r="U167" s="131"/>
      <c r="V167" s="131"/>
      <c r="W167" s="131"/>
      <c r="X167" s="131"/>
      <c r="Y167" s="131"/>
      <c r="Z167" s="131"/>
      <c r="AA167" s="131"/>
      <c r="AB167" s="131"/>
      <c r="AC167" s="131"/>
    </row>
    <row r="168" ht="15.75" customHeight="1">
      <c r="A168" s="130"/>
      <c r="B168" s="2"/>
      <c r="C168" s="2"/>
      <c r="D168" s="2"/>
      <c r="E168" s="2"/>
      <c r="F168" s="2"/>
      <c r="G168" s="6"/>
      <c r="H168" s="6"/>
      <c r="I168" s="6"/>
      <c r="J168" s="6"/>
      <c r="K168" s="131"/>
      <c r="L168" s="131"/>
      <c r="M168" s="131"/>
      <c r="N168" s="131"/>
      <c r="O168" s="131"/>
      <c r="P168" s="131"/>
      <c r="Q168" s="131"/>
      <c r="R168" s="131"/>
      <c r="S168" s="131"/>
      <c r="T168" s="131"/>
      <c r="U168" s="131"/>
      <c r="V168" s="131"/>
      <c r="W168" s="131"/>
      <c r="X168" s="131"/>
      <c r="Y168" s="131"/>
      <c r="Z168" s="131"/>
      <c r="AA168" s="131"/>
      <c r="AB168" s="131"/>
      <c r="AC168" s="131"/>
    </row>
    <row r="169" ht="15.75" customHeight="1">
      <c r="A169" s="130"/>
      <c r="B169" s="2"/>
      <c r="C169" s="2"/>
      <c r="D169" s="2"/>
      <c r="E169" s="2"/>
      <c r="F169" s="2"/>
      <c r="G169" s="6"/>
      <c r="H169" s="6"/>
      <c r="I169" s="6"/>
      <c r="J169" s="6"/>
      <c r="K169" s="131"/>
      <c r="L169" s="131"/>
      <c r="M169" s="131"/>
      <c r="N169" s="131"/>
      <c r="O169" s="131"/>
      <c r="P169" s="131"/>
      <c r="Q169" s="131"/>
      <c r="R169" s="131"/>
      <c r="S169" s="131"/>
      <c r="T169" s="131"/>
      <c r="U169" s="131"/>
      <c r="V169" s="131"/>
      <c r="W169" s="131"/>
      <c r="X169" s="131"/>
      <c r="Y169" s="131"/>
      <c r="Z169" s="131"/>
      <c r="AA169" s="131"/>
      <c r="AB169" s="131"/>
      <c r="AC169" s="131"/>
    </row>
    <row r="170" ht="15.75" customHeight="1">
      <c r="A170" s="130"/>
      <c r="B170" s="2"/>
      <c r="C170" s="2"/>
      <c r="D170" s="2"/>
      <c r="E170" s="2"/>
      <c r="F170" s="2"/>
      <c r="G170" s="6"/>
      <c r="H170" s="6"/>
      <c r="I170" s="6"/>
      <c r="J170" s="6"/>
      <c r="K170" s="131"/>
      <c r="L170" s="131"/>
      <c r="M170" s="131"/>
      <c r="N170" s="131"/>
      <c r="O170" s="131"/>
      <c r="P170" s="131"/>
      <c r="Q170" s="131"/>
      <c r="R170" s="131"/>
      <c r="S170" s="131"/>
      <c r="T170" s="131"/>
      <c r="U170" s="131"/>
      <c r="V170" s="131"/>
      <c r="W170" s="131"/>
      <c r="X170" s="131"/>
      <c r="Y170" s="131"/>
      <c r="Z170" s="131"/>
      <c r="AA170" s="131"/>
      <c r="AB170" s="131"/>
      <c r="AC170" s="131"/>
    </row>
    <row r="171" ht="15.75" customHeight="1">
      <c r="A171" s="130"/>
      <c r="B171" s="2"/>
      <c r="C171" s="2"/>
      <c r="D171" s="2"/>
      <c r="E171" s="2"/>
      <c r="F171" s="2"/>
      <c r="G171" s="6"/>
      <c r="H171" s="6"/>
      <c r="I171" s="6"/>
      <c r="J171" s="6"/>
      <c r="K171" s="131"/>
      <c r="L171" s="131"/>
      <c r="M171" s="131"/>
      <c r="N171" s="131"/>
      <c r="O171" s="131"/>
      <c r="P171" s="131"/>
      <c r="Q171" s="131"/>
      <c r="R171" s="131"/>
      <c r="S171" s="131"/>
      <c r="T171" s="131"/>
      <c r="U171" s="131"/>
      <c r="V171" s="131"/>
      <c r="W171" s="131"/>
      <c r="X171" s="131"/>
      <c r="Y171" s="131"/>
      <c r="Z171" s="131"/>
      <c r="AA171" s="131"/>
      <c r="AB171" s="131"/>
      <c r="AC171" s="131"/>
    </row>
    <row r="172" ht="15.75" customHeight="1">
      <c r="A172" s="130"/>
      <c r="B172" s="2"/>
      <c r="C172" s="2"/>
      <c r="D172" s="2"/>
      <c r="E172" s="2"/>
      <c r="F172" s="2"/>
      <c r="G172" s="6"/>
      <c r="H172" s="6"/>
      <c r="I172" s="6"/>
      <c r="J172" s="6"/>
      <c r="K172" s="131"/>
      <c r="L172" s="131"/>
      <c r="M172" s="131"/>
      <c r="N172" s="131"/>
      <c r="O172" s="131"/>
      <c r="P172" s="131"/>
      <c r="Q172" s="131"/>
      <c r="R172" s="131"/>
      <c r="S172" s="131"/>
      <c r="T172" s="131"/>
      <c r="U172" s="131"/>
      <c r="V172" s="131"/>
      <c r="W172" s="131"/>
      <c r="X172" s="131"/>
      <c r="Y172" s="131"/>
      <c r="Z172" s="131"/>
      <c r="AA172" s="131"/>
      <c r="AB172" s="131"/>
      <c r="AC172" s="131"/>
    </row>
    <row r="173" ht="15.75" customHeight="1">
      <c r="A173" s="130"/>
      <c r="B173" s="2"/>
      <c r="C173" s="2"/>
      <c r="D173" s="2"/>
      <c r="E173" s="2"/>
      <c r="F173" s="2"/>
      <c r="G173" s="6"/>
      <c r="H173" s="6"/>
      <c r="I173" s="6"/>
      <c r="J173" s="6"/>
      <c r="K173" s="131"/>
      <c r="L173" s="131"/>
      <c r="M173" s="131"/>
      <c r="N173" s="131"/>
      <c r="O173" s="131"/>
      <c r="P173" s="131"/>
      <c r="Q173" s="131"/>
      <c r="R173" s="131"/>
      <c r="S173" s="131"/>
      <c r="T173" s="131"/>
      <c r="U173" s="131"/>
      <c r="V173" s="131"/>
      <c r="W173" s="131"/>
      <c r="X173" s="131"/>
      <c r="Y173" s="131"/>
      <c r="Z173" s="131"/>
      <c r="AA173" s="131"/>
      <c r="AB173" s="131"/>
      <c r="AC173" s="131"/>
    </row>
    <row r="174" ht="15.75" customHeight="1">
      <c r="A174" s="130"/>
      <c r="B174" s="2"/>
      <c r="C174" s="2"/>
      <c r="D174" s="2"/>
      <c r="E174" s="2"/>
      <c r="F174" s="2"/>
      <c r="G174" s="6"/>
      <c r="H174" s="6"/>
      <c r="I174" s="6"/>
      <c r="J174" s="6"/>
      <c r="K174" s="131"/>
      <c r="L174" s="131"/>
      <c r="M174" s="131"/>
      <c r="N174" s="131"/>
      <c r="O174" s="131"/>
      <c r="P174" s="131"/>
      <c r="Q174" s="131"/>
      <c r="R174" s="131"/>
      <c r="S174" s="131"/>
      <c r="T174" s="131"/>
      <c r="U174" s="131"/>
      <c r="V174" s="131"/>
      <c r="W174" s="131"/>
      <c r="X174" s="131"/>
      <c r="Y174" s="131"/>
      <c r="Z174" s="131"/>
      <c r="AA174" s="131"/>
      <c r="AB174" s="131"/>
      <c r="AC174" s="131"/>
    </row>
    <row r="175" ht="15.75" customHeight="1">
      <c r="A175" s="130"/>
      <c r="B175" s="2"/>
      <c r="C175" s="2"/>
      <c r="D175" s="2"/>
      <c r="E175" s="2"/>
      <c r="F175" s="2"/>
      <c r="G175" s="6"/>
      <c r="H175" s="6"/>
      <c r="I175" s="6"/>
      <c r="J175" s="6"/>
      <c r="K175" s="131"/>
      <c r="L175" s="131"/>
      <c r="M175" s="131"/>
      <c r="N175" s="131"/>
      <c r="O175" s="131"/>
      <c r="P175" s="131"/>
      <c r="Q175" s="131"/>
      <c r="R175" s="131"/>
      <c r="S175" s="131"/>
      <c r="T175" s="131"/>
      <c r="U175" s="131"/>
      <c r="V175" s="131"/>
      <c r="W175" s="131"/>
      <c r="X175" s="131"/>
      <c r="Y175" s="131"/>
      <c r="Z175" s="131"/>
      <c r="AA175" s="131"/>
      <c r="AB175" s="131"/>
      <c r="AC175" s="131"/>
    </row>
    <row r="176" ht="15.75" customHeight="1">
      <c r="A176" s="130"/>
      <c r="B176" s="2"/>
      <c r="C176" s="2"/>
      <c r="D176" s="2"/>
      <c r="E176" s="2"/>
      <c r="F176" s="2"/>
      <c r="G176" s="6"/>
      <c r="H176" s="6"/>
      <c r="I176" s="6"/>
      <c r="J176" s="6"/>
      <c r="K176" s="131"/>
      <c r="L176" s="131"/>
      <c r="M176" s="131"/>
      <c r="N176" s="131"/>
      <c r="O176" s="131"/>
      <c r="P176" s="131"/>
      <c r="Q176" s="131"/>
      <c r="R176" s="131"/>
      <c r="S176" s="131"/>
      <c r="T176" s="131"/>
      <c r="U176" s="131"/>
      <c r="V176" s="131"/>
      <c r="W176" s="131"/>
      <c r="X176" s="131"/>
      <c r="Y176" s="131"/>
      <c r="Z176" s="131"/>
      <c r="AA176" s="131"/>
      <c r="AB176" s="131"/>
      <c r="AC176" s="131"/>
    </row>
    <row r="177" ht="15.75" customHeight="1">
      <c r="A177" s="130"/>
      <c r="B177" s="2"/>
      <c r="C177" s="2"/>
      <c r="D177" s="2"/>
      <c r="E177" s="2"/>
      <c r="F177" s="2"/>
      <c r="G177" s="6"/>
      <c r="H177" s="6"/>
      <c r="I177" s="6"/>
      <c r="J177" s="6"/>
      <c r="K177" s="131"/>
      <c r="L177" s="131"/>
      <c r="M177" s="131"/>
      <c r="N177" s="131"/>
      <c r="O177" s="131"/>
      <c r="P177" s="131"/>
      <c r="Q177" s="131"/>
      <c r="R177" s="131"/>
      <c r="S177" s="131"/>
      <c r="T177" s="131"/>
      <c r="U177" s="131"/>
      <c r="V177" s="131"/>
      <c r="W177" s="131"/>
      <c r="X177" s="131"/>
      <c r="Y177" s="131"/>
      <c r="Z177" s="131"/>
      <c r="AA177" s="131"/>
      <c r="AB177" s="131"/>
      <c r="AC177" s="131"/>
    </row>
    <row r="178" ht="15.75" customHeight="1">
      <c r="A178" s="130"/>
      <c r="B178" s="2"/>
      <c r="C178" s="2"/>
      <c r="D178" s="2"/>
      <c r="E178" s="2"/>
      <c r="F178" s="2"/>
      <c r="G178" s="6"/>
      <c r="H178" s="6"/>
      <c r="I178" s="6"/>
      <c r="J178" s="6"/>
      <c r="K178" s="131"/>
      <c r="L178" s="131"/>
      <c r="M178" s="131"/>
      <c r="N178" s="131"/>
      <c r="O178" s="131"/>
      <c r="P178" s="131"/>
      <c r="Q178" s="131"/>
      <c r="R178" s="131"/>
      <c r="S178" s="131"/>
      <c r="T178" s="131"/>
      <c r="U178" s="131"/>
      <c r="V178" s="131"/>
      <c r="W178" s="131"/>
      <c r="X178" s="131"/>
      <c r="Y178" s="131"/>
      <c r="Z178" s="131"/>
      <c r="AA178" s="131"/>
      <c r="AB178" s="131"/>
      <c r="AC178" s="131"/>
    </row>
    <row r="179" ht="15.75" customHeight="1">
      <c r="A179" s="130"/>
      <c r="B179" s="2"/>
      <c r="C179" s="2"/>
      <c r="D179" s="2"/>
      <c r="E179" s="2"/>
      <c r="F179" s="2"/>
      <c r="G179" s="6"/>
      <c r="H179" s="6"/>
      <c r="I179" s="6"/>
      <c r="J179" s="6"/>
      <c r="K179" s="131"/>
      <c r="L179" s="131"/>
      <c r="M179" s="131"/>
      <c r="N179" s="131"/>
      <c r="O179" s="131"/>
      <c r="P179" s="131"/>
      <c r="Q179" s="131"/>
      <c r="R179" s="131"/>
      <c r="S179" s="131"/>
      <c r="T179" s="131"/>
      <c r="U179" s="131"/>
      <c r="V179" s="131"/>
      <c r="W179" s="131"/>
      <c r="X179" s="131"/>
      <c r="Y179" s="131"/>
      <c r="Z179" s="131"/>
      <c r="AA179" s="131"/>
      <c r="AB179" s="131"/>
      <c r="AC179" s="131"/>
    </row>
    <row r="180" ht="15.75" customHeight="1">
      <c r="A180" s="130"/>
      <c r="B180" s="2"/>
      <c r="C180" s="2"/>
      <c r="D180" s="2"/>
      <c r="E180" s="2"/>
      <c r="F180" s="2"/>
      <c r="G180" s="6"/>
      <c r="H180" s="6"/>
      <c r="I180" s="6"/>
      <c r="J180" s="6"/>
      <c r="K180" s="131"/>
      <c r="L180" s="131"/>
      <c r="M180" s="131"/>
      <c r="N180" s="131"/>
      <c r="O180" s="131"/>
      <c r="P180" s="131"/>
      <c r="Q180" s="131"/>
      <c r="R180" s="131"/>
      <c r="S180" s="131"/>
      <c r="T180" s="131"/>
      <c r="U180" s="131"/>
      <c r="V180" s="131"/>
      <c r="W180" s="131"/>
      <c r="X180" s="131"/>
      <c r="Y180" s="131"/>
      <c r="Z180" s="131"/>
      <c r="AA180" s="131"/>
      <c r="AB180" s="131"/>
      <c r="AC180" s="131"/>
    </row>
    <row r="181" ht="15.75" customHeight="1">
      <c r="A181" s="130"/>
      <c r="B181" s="2"/>
      <c r="C181" s="2"/>
      <c r="D181" s="2"/>
      <c r="E181" s="2"/>
      <c r="F181" s="2"/>
      <c r="G181" s="6"/>
      <c r="H181" s="6"/>
      <c r="I181" s="6"/>
      <c r="J181" s="6"/>
      <c r="K181" s="131"/>
      <c r="L181" s="131"/>
      <c r="M181" s="131"/>
      <c r="N181" s="131"/>
      <c r="O181" s="131"/>
      <c r="P181" s="131"/>
      <c r="Q181" s="131"/>
      <c r="R181" s="131"/>
      <c r="S181" s="131"/>
      <c r="T181" s="131"/>
      <c r="U181" s="131"/>
      <c r="V181" s="131"/>
      <c r="W181" s="131"/>
      <c r="X181" s="131"/>
      <c r="Y181" s="131"/>
      <c r="Z181" s="131"/>
      <c r="AA181" s="131"/>
      <c r="AB181" s="131"/>
      <c r="AC181" s="131"/>
    </row>
    <row r="182" ht="15.75" customHeight="1">
      <c r="A182" s="130"/>
      <c r="B182" s="2"/>
      <c r="C182" s="2"/>
      <c r="D182" s="2"/>
      <c r="E182" s="2"/>
      <c r="F182" s="2"/>
      <c r="G182" s="6"/>
      <c r="H182" s="6"/>
      <c r="I182" s="6"/>
      <c r="J182" s="6"/>
      <c r="K182" s="131"/>
      <c r="L182" s="131"/>
      <c r="M182" s="131"/>
      <c r="N182" s="131"/>
      <c r="O182" s="131"/>
      <c r="P182" s="131"/>
      <c r="Q182" s="131"/>
      <c r="R182" s="131"/>
      <c r="S182" s="131"/>
      <c r="T182" s="131"/>
      <c r="U182" s="131"/>
      <c r="V182" s="131"/>
      <c r="W182" s="131"/>
      <c r="X182" s="131"/>
      <c r="Y182" s="131"/>
      <c r="Z182" s="131"/>
      <c r="AA182" s="131"/>
      <c r="AB182" s="131"/>
      <c r="AC182" s="131"/>
    </row>
    <row r="183" ht="15.75" customHeight="1">
      <c r="A183" s="130"/>
      <c r="B183" s="2"/>
      <c r="C183" s="2"/>
      <c r="D183" s="2"/>
      <c r="E183" s="2"/>
      <c r="F183" s="2"/>
      <c r="G183" s="6"/>
      <c r="H183" s="6"/>
      <c r="I183" s="6"/>
      <c r="J183" s="6"/>
      <c r="K183" s="131"/>
      <c r="L183" s="131"/>
      <c r="M183" s="131"/>
      <c r="N183" s="131"/>
      <c r="O183" s="131"/>
      <c r="P183" s="131"/>
      <c r="Q183" s="131"/>
      <c r="R183" s="131"/>
      <c r="S183" s="131"/>
      <c r="T183" s="131"/>
      <c r="U183" s="131"/>
      <c r="V183" s="131"/>
      <c r="W183" s="131"/>
      <c r="X183" s="131"/>
      <c r="Y183" s="131"/>
      <c r="Z183" s="131"/>
      <c r="AA183" s="131"/>
      <c r="AB183" s="131"/>
      <c r="AC183" s="131"/>
    </row>
    <row r="184" ht="15.75" customHeight="1">
      <c r="A184" s="130"/>
      <c r="B184" s="2"/>
      <c r="C184" s="2"/>
      <c r="D184" s="2"/>
      <c r="E184" s="2"/>
      <c r="F184" s="2"/>
      <c r="G184" s="6"/>
      <c r="H184" s="6"/>
      <c r="I184" s="6"/>
      <c r="J184" s="6"/>
      <c r="K184" s="131"/>
      <c r="L184" s="131"/>
      <c r="M184" s="131"/>
      <c r="N184" s="131"/>
      <c r="O184" s="131"/>
      <c r="P184" s="131"/>
      <c r="Q184" s="131"/>
      <c r="R184" s="131"/>
      <c r="S184" s="131"/>
      <c r="T184" s="131"/>
      <c r="U184" s="131"/>
      <c r="V184" s="131"/>
      <c r="W184" s="131"/>
      <c r="X184" s="131"/>
      <c r="Y184" s="131"/>
      <c r="Z184" s="131"/>
      <c r="AA184" s="131"/>
      <c r="AB184" s="131"/>
      <c r="AC184" s="131"/>
    </row>
    <row r="185" ht="15.75" customHeight="1">
      <c r="A185" s="130"/>
      <c r="B185" s="2"/>
      <c r="C185" s="2"/>
      <c r="D185" s="2"/>
      <c r="E185" s="2"/>
      <c r="F185" s="2"/>
      <c r="G185" s="6"/>
      <c r="H185" s="6"/>
      <c r="I185" s="6"/>
      <c r="J185" s="6"/>
      <c r="K185" s="131"/>
      <c r="L185" s="131"/>
      <c r="M185" s="131"/>
      <c r="N185" s="131"/>
      <c r="O185" s="131"/>
      <c r="P185" s="131"/>
      <c r="Q185" s="131"/>
      <c r="R185" s="131"/>
      <c r="S185" s="131"/>
      <c r="T185" s="131"/>
      <c r="U185" s="131"/>
      <c r="V185" s="131"/>
      <c r="W185" s="131"/>
      <c r="X185" s="131"/>
      <c r="Y185" s="131"/>
      <c r="Z185" s="131"/>
      <c r="AA185" s="131"/>
      <c r="AB185" s="131"/>
      <c r="AC185" s="131"/>
    </row>
    <row r="186" ht="15.75" customHeight="1">
      <c r="A186" s="130"/>
      <c r="B186" s="2"/>
      <c r="C186" s="2"/>
      <c r="D186" s="2"/>
      <c r="E186" s="2"/>
      <c r="F186" s="2"/>
      <c r="G186" s="6"/>
      <c r="H186" s="6"/>
      <c r="I186" s="6"/>
      <c r="J186" s="6"/>
      <c r="K186" s="131"/>
      <c r="L186" s="131"/>
      <c r="M186" s="131"/>
      <c r="N186" s="131"/>
      <c r="O186" s="131"/>
      <c r="P186" s="131"/>
      <c r="Q186" s="131"/>
      <c r="R186" s="131"/>
      <c r="S186" s="131"/>
      <c r="T186" s="131"/>
      <c r="U186" s="131"/>
      <c r="V186" s="131"/>
      <c r="W186" s="131"/>
      <c r="X186" s="131"/>
      <c r="Y186" s="131"/>
      <c r="Z186" s="131"/>
      <c r="AA186" s="131"/>
      <c r="AB186" s="131"/>
      <c r="AC186" s="131"/>
    </row>
    <row r="187" ht="15.75" customHeight="1">
      <c r="A187" s="130"/>
      <c r="B187" s="2"/>
      <c r="C187" s="2"/>
      <c r="D187" s="2"/>
      <c r="E187" s="2"/>
      <c r="F187" s="2"/>
      <c r="G187" s="6"/>
      <c r="H187" s="6"/>
      <c r="I187" s="6"/>
      <c r="J187" s="6"/>
      <c r="K187" s="131"/>
      <c r="L187" s="131"/>
      <c r="M187" s="131"/>
      <c r="N187" s="131"/>
      <c r="O187" s="131"/>
      <c r="P187" s="131"/>
      <c r="Q187" s="131"/>
      <c r="R187" s="131"/>
      <c r="S187" s="131"/>
      <c r="T187" s="131"/>
      <c r="U187" s="131"/>
      <c r="V187" s="131"/>
      <c r="W187" s="131"/>
      <c r="X187" s="131"/>
      <c r="Y187" s="131"/>
      <c r="Z187" s="131"/>
      <c r="AA187" s="131"/>
      <c r="AB187" s="131"/>
      <c r="AC187" s="131"/>
    </row>
    <row r="188" ht="15.75" customHeight="1">
      <c r="A188" s="130"/>
      <c r="B188" s="2"/>
      <c r="C188" s="2"/>
      <c r="D188" s="2"/>
      <c r="E188" s="2"/>
      <c r="F188" s="2"/>
      <c r="G188" s="6"/>
      <c r="H188" s="6"/>
      <c r="I188" s="6"/>
      <c r="J188" s="6"/>
      <c r="K188" s="131"/>
      <c r="L188" s="131"/>
      <c r="M188" s="131"/>
      <c r="N188" s="131"/>
      <c r="O188" s="131"/>
      <c r="P188" s="131"/>
      <c r="Q188" s="131"/>
      <c r="R188" s="131"/>
      <c r="S188" s="131"/>
      <c r="T188" s="131"/>
      <c r="U188" s="131"/>
      <c r="V188" s="131"/>
      <c r="W188" s="131"/>
      <c r="X188" s="131"/>
      <c r="Y188" s="131"/>
      <c r="Z188" s="131"/>
      <c r="AA188" s="131"/>
      <c r="AB188" s="131"/>
      <c r="AC188" s="131"/>
    </row>
    <row r="189" ht="15.75" customHeight="1">
      <c r="A189" s="130"/>
      <c r="B189" s="2"/>
      <c r="C189" s="2"/>
      <c r="D189" s="2"/>
      <c r="E189" s="2"/>
      <c r="F189" s="2"/>
      <c r="G189" s="6"/>
      <c r="H189" s="6"/>
      <c r="I189" s="6"/>
      <c r="J189" s="6"/>
      <c r="K189" s="131"/>
      <c r="L189" s="131"/>
      <c r="M189" s="131"/>
      <c r="N189" s="131"/>
      <c r="O189" s="131"/>
      <c r="P189" s="131"/>
      <c r="Q189" s="131"/>
      <c r="R189" s="131"/>
      <c r="S189" s="131"/>
      <c r="T189" s="131"/>
      <c r="U189" s="131"/>
      <c r="V189" s="131"/>
      <c r="W189" s="131"/>
      <c r="X189" s="131"/>
      <c r="Y189" s="131"/>
      <c r="Z189" s="131"/>
      <c r="AA189" s="131"/>
      <c r="AB189" s="131"/>
      <c r="AC189" s="131"/>
    </row>
    <row r="190" ht="15.75" customHeight="1">
      <c r="A190" s="130"/>
      <c r="B190" s="2"/>
      <c r="C190" s="2"/>
      <c r="D190" s="2"/>
      <c r="E190" s="2"/>
      <c r="F190" s="2"/>
      <c r="G190" s="6"/>
      <c r="H190" s="6"/>
      <c r="I190" s="6"/>
      <c r="J190" s="6"/>
      <c r="K190" s="131"/>
      <c r="L190" s="131"/>
      <c r="M190" s="131"/>
      <c r="N190" s="131"/>
      <c r="O190" s="131"/>
      <c r="P190" s="131"/>
      <c r="Q190" s="131"/>
      <c r="R190" s="131"/>
      <c r="S190" s="131"/>
      <c r="T190" s="131"/>
      <c r="U190" s="131"/>
      <c r="V190" s="131"/>
      <c r="W190" s="131"/>
      <c r="X190" s="131"/>
      <c r="Y190" s="131"/>
      <c r="Z190" s="131"/>
      <c r="AA190" s="131"/>
      <c r="AB190" s="131"/>
      <c r="AC190" s="131"/>
    </row>
    <row r="191" ht="15.75" customHeight="1">
      <c r="A191" s="130"/>
      <c r="B191" s="2"/>
      <c r="C191" s="2"/>
      <c r="D191" s="2"/>
      <c r="E191" s="2"/>
      <c r="F191" s="2"/>
      <c r="G191" s="6"/>
      <c r="H191" s="6"/>
      <c r="I191" s="6"/>
      <c r="J191" s="6"/>
      <c r="K191" s="131"/>
      <c r="L191" s="131"/>
      <c r="M191" s="131"/>
      <c r="N191" s="131"/>
      <c r="O191" s="131"/>
      <c r="P191" s="131"/>
      <c r="Q191" s="131"/>
      <c r="R191" s="131"/>
      <c r="S191" s="131"/>
      <c r="T191" s="131"/>
      <c r="U191" s="131"/>
      <c r="V191" s="131"/>
      <c r="W191" s="131"/>
      <c r="X191" s="131"/>
      <c r="Y191" s="131"/>
      <c r="Z191" s="131"/>
      <c r="AA191" s="131"/>
      <c r="AB191" s="131"/>
      <c r="AC191" s="131"/>
    </row>
    <row r="192" ht="15.75" customHeight="1">
      <c r="A192" s="130"/>
      <c r="B192" s="2"/>
      <c r="C192" s="2"/>
      <c r="D192" s="2"/>
      <c r="E192" s="2"/>
      <c r="F192" s="2"/>
      <c r="G192" s="6"/>
      <c r="H192" s="6"/>
      <c r="I192" s="6"/>
      <c r="J192" s="6"/>
      <c r="K192" s="131"/>
      <c r="L192" s="131"/>
      <c r="M192" s="131"/>
      <c r="N192" s="131"/>
      <c r="O192" s="131"/>
      <c r="P192" s="131"/>
      <c r="Q192" s="131"/>
      <c r="R192" s="131"/>
      <c r="S192" s="131"/>
      <c r="T192" s="131"/>
      <c r="U192" s="131"/>
      <c r="V192" s="131"/>
      <c r="W192" s="131"/>
      <c r="X192" s="131"/>
      <c r="Y192" s="131"/>
      <c r="Z192" s="131"/>
      <c r="AA192" s="131"/>
      <c r="AB192" s="131"/>
      <c r="AC192" s="131"/>
    </row>
    <row r="193" ht="15.75" customHeight="1">
      <c r="A193" s="130"/>
      <c r="B193" s="2"/>
      <c r="C193" s="2"/>
      <c r="D193" s="2"/>
      <c r="E193" s="2"/>
      <c r="F193" s="2"/>
      <c r="G193" s="6"/>
      <c r="H193" s="6"/>
      <c r="I193" s="6"/>
      <c r="J193" s="6"/>
      <c r="K193" s="131"/>
      <c r="L193" s="131"/>
      <c r="M193" s="131"/>
      <c r="N193" s="131"/>
      <c r="O193" s="131"/>
      <c r="P193" s="131"/>
      <c r="Q193" s="131"/>
      <c r="R193" s="131"/>
      <c r="S193" s="131"/>
      <c r="T193" s="131"/>
      <c r="U193" s="131"/>
      <c r="V193" s="131"/>
      <c r="W193" s="131"/>
      <c r="X193" s="131"/>
      <c r="Y193" s="131"/>
      <c r="Z193" s="131"/>
      <c r="AA193" s="131"/>
      <c r="AB193" s="131"/>
      <c r="AC193" s="131"/>
    </row>
    <row r="194" ht="15.75" customHeight="1">
      <c r="A194" s="130"/>
      <c r="B194" s="2"/>
      <c r="C194" s="2"/>
      <c r="D194" s="2"/>
      <c r="E194" s="2"/>
      <c r="F194" s="2"/>
      <c r="G194" s="6"/>
      <c r="H194" s="6"/>
      <c r="I194" s="6"/>
      <c r="J194" s="6"/>
      <c r="K194" s="131"/>
      <c r="L194" s="131"/>
      <c r="M194" s="131"/>
      <c r="N194" s="131"/>
      <c r="O194" s="131"/>
      <c r="P194" s="131"/>
      <c r="Q194" s="131"/>
      <c r="R194" s="131"/>
      <c r="S194" s="131"/>
      <c r="T194" s="131"/>
      <c r="U194" s="131"/>
      <c r="V194" s="131"/>
      <c r="W194" s="131"/>
      <c r="X194" s="131"/>
      <c r="Y194" s="131"/>
      <c r="Z194" s="131"/>
      <c r="AA194" s="131"/>
      <c r="AB194" s="131"/>
      <c r="AC194" s="131"/>
    </row>
    <row r="195" ht="15.75" customHeight="1">
      <c r="A195" s="130"/>
      <c r="B195" s="2"/>
      <c r="C195" s="2"/>
      <c r="D195" s="2"/>
      <c r="E195" s="2"/>
      <c r="F195" s="2"/>
      <c r="G195" s="6"/>
      <c r="H195" s="6"/>
      <c r="I195" s="6"/>
      <c r="J195" s="6"/>
      <c r="K195" s="131"/>
      <c r="L195" s="131"/>
      <c r="M195" s="131"/>
      <c r="N195" s="131"/>
      <c r="O195" s="131"/>
      <c r="P195" s="131"/>
      <c r="Q195" s="131"/>
      <c r="R195" s="131"/>
      <c r="S195" s="131"/>
      <c r="T195" s="131"/>
      <c r="U195" s="131"/>
      <c r="V195" s="131"/>
      <c r="W195" s="131"/>
      <c r="X195" s="131"/>
      <c r="Y195" s="131"/>
      <c r="Z195" s="131"/>
      <c r="AA195" s="131"/>
      <c r="AB195" s="131"/>
      <c r="AC195" s="131"/>
    </row>
    <row r="196" ht="15.75" customHeight="1">
      <c r="A196" s="130"/>
      <c r="B196" s="2"/>
      <c r="C196" s="2"/>
      <c r="D196" s="2"/>
      <c r="E196" s="2"/>
      <c r="F196" s="2"/>
      <c r="G196" s="6"/>
      <c r="H196" s="6"/>
      <c r="I196" s="6"/>
      <c r="J196" s="6"/>
      <c r="K196" s="131"/>
      <c r="L196" s="131"/>
      <c r="M196" s="131"/>
      <c r="N196" s="131"/>
      <c r="O196" s="131"/>
      <c r="P196" s="131"/>
      <c r="Q196" s="131"/>
      <c r="R196" s="131"/>
      <c r="S196" s="131"/>
      <c r="T196" s="131"/>
      <c r="U196" s="131"/>
      <c r="V196" s="131"/>
      <c r="W196" s="131"/>
      <c r="X196" s="131"/>
      <c r="Y196" s="131"/>
      <c r="Z196" s="131"/>
      <c r="AA196" s="131"/>
      <c r="AB196" s="131"/>
      <c r="AC196" s="131"/>
    </row>
    <row r="197" ht="15.75" customHeight="1">
      <c r="A197" s="130"/>
      <c r="B197" s="2"/>
      <c r="C197" s="2"/>
      <c r="D197" s="2"/>
      <c r="E197" s="2"/>
      <c r="F197" s="2"/>
      <c r="G197" s="6"/>
      <c r="H197" s="6"/>
      <c r="I197" s="6"/>
      <c r="J197" s="6"/>
      <c r="K197" s="131"/>
      <c r="L197" s="131"/>
      <c r="M197" s="131"/>
      <c r="N197" s="131"/>
      <c r="O197" s="131"/>
      <c r="P197" s="131"/>
      <c r="Q197" s="131"/>
      <c r="R197" s="131"/>
      <c r="S197" s="131"/>
      <c r="T197" s="131"/>
      <c r="U197" s="131"/>
      <c r="V197" s="131"/>
      <c r="W197" s="131"/>
      <c r="X197" s="131"/>
      <c r="Y197" s="131"/>
      <c r="Z197" s="131"/>
      <c r="AA197" s="131"/>
      <c r="AB197" s="131"/>
      <c r="AC197" s="131"/>
    </row>
    <row r="198" ht="15.75" customHeight="1">
      <c r="A198" s="130"/>
      <c r="B198" s="2"/>
      <c r="C198" s="2"/>
      <c r="D198" s="2"/>
      <c r="E198" s="2"/>
      <c r="F198" s="2"/>
      <c r="G198" s="6"/>
      <c r="H198" s="6"/>
      <c r="I198" s="6"/>
      <c r="J198" s="6"/>
      <c r="K198" s="131"/>
      <c r="L198" s="131"/>
      <c r="M198" s="131"/>
      <c r="N198" s="131"/>
      <c r="O198" s="131"/>
      <c r="P198" s="131"/>
      <c r="Q198" s="131"/>
      <c r="R198" s="131"/>
      <c r="S198" s="131"/>
      <c r="T198" s="131"/>
      <c r="U198" s="131"/>
      <c r="V198" s="131"/>
      <c r="W198" s="131"/>
      <c r="X198" s="131"/>
      <c r="Y198" s="131"/>
      <c r="Z198" s="131"/>
      <c r="AA198" s="131"/>
      <c r="AB198" s="131"/>
      <c r="AC198" s="131"/>
    </row>
    <row r="199" ht="15.75" customHeight="1">
      <c r="A199" s="130"/>
      <c r="B199" s="2"/>
      <c r="C199" s="2"/>
      <c r="D199" s="2"/>
      <c r="E199" s="2"/>
      <c r="F199" s="2"/>
      <c r="G199" s="6"/>
      <c r="H199" s="6"/>
      <c r="I199" s="6"/>
      <c r="J199" s="6"/>
      <c r="K199" s="131"/>
      <c r="L199" s="131"/>
      <c r="M199" s="131"/>
      <c r="N199" s="131"/>
      <c r="O199" s="131"/>
      <c r="P199" s="131"/>
      <c r="Q199" s="131"/>
      <c r="R199" s="131"/>
      <c r="S199" s="131"/>
      <c r="T199" s="131"/>
      <c r="U199" s="131"/>
      <c r="V199" s="131"/>
      <c r="W199" s="131"/>
      <c r="X199" s="131"/>
      <c r="Y199" s="131"/>
      <c r="Z199" s="131"/>
      <c r="AA199" s="131"/>
      <c r="AB199" s="131"/>
      <c r="AC199" s="131"/>
    </row>
    <row r="200" ht="15.75" customHeight="1">
      <c r="A200" s="130"/>
      <c r="B200" s="2"/>
      <c r="C200" s="2"/>
      <c r="D200" s="2"/>
      <c r="E200" s="2"/>
      <c r="F200" s="2"/>
      <c r="G200" s="6"/>
      <c r="H200" s="6"/>
      <c r="I200" s="6"/>
      <c r="J200" s="6"/>
      <c r="K200" s="131"/>
      <c r="L200" s="131"/>
      <c r="M200" s="131"/>
      <c r="N200" s="131"/>
      <c r="O200" s="131"/>
      <c r="P200" s="131"/>
      <c r="Q200" s="131"/>
      <c r="R200" s="131"/>
      <c r="S200" s="131"/>
      <c r="T200" s="131"/>
      <c r="U200" s="131"/>
      <c r="V200" s="131"/>
      <c r="W200" s="131"/>
      <c r="X200" s="131"/>
      <c r="Y200" s="131"/>
      <c r="Z200" s="131"/>
      <c r="AA200" s="131"/>
      <c r="AB200" s="131"/>
      <c r="AC200" s="131"/>
    </row>
    <row r="201" ht="15.75" customHeight="1">
      <c r="A201" s="130"/>
      <c r="B201" s="2"/>
      <c r="C201" s="2"/>
      <c r="D201" s="2"/>
      <c r="E201" s="2"/>
      <c r="F201" s="2"/>
      <c r="G201" s="6"/>
      <c r="H201" s="6"/>
      <c r="I201" s="6"/>
      <c r="J201" s="6"/>
      <c r="K201" s="131"/>
      <c r="L201" s="131"/>
      <c r="M201" s="131"/>
      <c r="N201" s="131"/>
      <c r="O201" s="131"/>
      <c r="P201" s="131"/>
      <c r="Q201" s="131"/>
      <c r="R201" s="131"/>
      <c r="S201" s="131"/>
      <c r="T201" s="131"/>
      <c r="U201" s="131"/>
      <c r="V201" s="131"/>
      <c r="W201" s="131"/>
      <c r="X201" s="131"/>
      <c r="Y201" s="131"/>
      <c r="Z201" s="131"/>
      <c r="AA201" s="131"/>
      <c r="AB201" s="131"/>
      <c r="AC201" s="131"/>
    </row>
    <row r="202" ht="15.75" customHeight="1">
      <c r="A202" s="130"/>
      <c r="B202" s="2"/>
      <c r="C202" s="2"/>
      <c r="D202" s="2"/>
      <c r="E202" s="2"/>
      <c r="F202" s="2"/>
      <c r="G202" s="6"/>
      <c r="H202" s="6"/>
      <c r="I202" s="6"/>
      <c r="J202" s="6"/>
      <c r="K202" s="131"/>
      <c r="L202" s="131"/>
      <c r="M202" s="131"/>
      <c r="N202" s="131"/>
      <c r="O202" s="131"/>
      <c r="P202" s="131"/>
      <c r="Q202" s="131"/>
      <c r="R202" s="131"/>
      <c r="S202" s="131"/>
      <c r="T202" s="131"/>
      <c r="U202" s="131"/>
      <c r="V202" s="131"/>
      <c r="W202" s="131"/>
      <c r="X202" s="131"/>
      <c r="Y202" s="131"/>
      <c r="Z202" s="131"/>
      <c r="AA202" s="131"/>
      <c r="AB202" s="131"/>
      <c r="AC202" s="131"/>
    </row>
    <row r="203" ht="15.75" customHeight="1">
      <c r="A203" s="130"/>
      <c r="B203" s="2"/>
      <c r="C203" s="2"/>
      <c r="D203" s="2"/>
      <c r="E203" s="2"/>
      <c r="F203" s="2"/>
      <c r="G203" s="6"/>
      <c r="H203" s="6"/>
      <c r="I203" s="6"/>
      <c r="J203" s="6"/>
      <c r="K203" s="131"/>
      <c r="L203" s="131"/>
      <c r="M203" s="131"/>
      <c r="N203" s="131"/>
      <c r="O203" s="131"/>
      <c r="P203" s="131"/>
      <c r="Q203" s="131"/>
      <c r="R203" s="131"/>
      <c r="S203" s="131"/>
      <c r="T203" s="131"/>
      <c r="U203" s="131"/>
      <c r="V203" s="131"/>
      <c r="W203" s="131"/>
      <c r="X203" s="131"/>
      <c r="Y203" s="131"/>
      <c r="Z203" s="131"/>
      <c r="AA203" s="131"/>
      <c r="AB203" s="131"/>
      <c r="AC203" s="131"/>
    </row>
    <row r="204" ht="15.75" customHeight="1">
      <c r="A204" s="130"/>
      <c r="B204" s="2"/>
      <c r="C204" s="2"/>
      <c r="D204" s="2"/>
      <c r="E204" s="2"/>
      <c r="F204" s="2"/>
      <c r="G204" s="6"/>
      <c r="H204" s="6"/>
      <c r="I204" s="6"/>
      <c r="J204" s="6"/>
      <c r="K204" s="131"/>
      <c r="L204" s="131"/>
      <c r="M204" s="131"/>
      <c r="N204" s="131"/>
      <c r="O204" s="131"/>
      <c r="P204" s="131"/>
      <c r="Q204" s="131"/>
      <c r="R204" s="131"/>
      <c r="S204" s="131"/>
      <c r="T204" s="131"/>
      <c r="U204" s="131"/>
      <c r="V204" s="131"/>
      <c r="W204" s="131"/>
      <c r="X204" s="131"/>
      <c r="Y204" s="131"/>
      <c r="Z204" s="131"/>
      <c r="AA204" s="131"/>
      <c r="AB204" s="131"/>
      <c r="AC204" s="131"/>
    </row>
    <row r="205" ht="15.75" customHeight="1">
      <c r="A205" s="130"/>
      <c r="B205" s="2"/>
      <c r="C205" s="2"/>
      <c r="D205" s="2"/>
      <c r="E205" s="2"/>
      <c r="F205" s="2"/>
      <c r="G205" s="6"/>
      <c r="H205" s="6"/>
      <c r="I205" s="6"/>
      <c r="J205" s="6"/>
      <c r="K205" s="131"/>
      <c r="L205" s="131"/>
      <c r="M205" s="131"/>
      <c r="N205" s="131"/>
      <c r="O205" s="131"/>
      <c r="P205" s="131"/>
      <c r="Q205" s="131"/>
      <c r="R205" s="131"/>
      <c r="S205" s="131"/>
      <c r="T205" s="131"/>
      <c r="U205" s="131"/>
      <c r="V205" s="131"/>
      <c r="W205" s="131"/>
      <c r="X205" s="131"/>
      <c r="Y205" s="131"/>
      <c r="Z205" s="131"/>
      <c r="AA205" s="131"/>
      <c r="AB205" s="131"/>
      <c r="AC205" s="131"/>
    </row>
    <row r="206" ht="15.75" customHeight="1">
      <c r="A206" s="130"/>
      <c r="B206" s="2"/>
      <c r="C206" s="2"/>
      <c r="D206" s="2"/>
      <c r="E206" s="2"/>
      <c r="F206" s="2"/>
      <c r="G206" s="6"/>
      <c r="H206" s="6"/>
      <c r="I206" s="6"/>
      <c r="J206" s="6"/>
      <c r="K206" s="131"/>
      <c r="L206" s="131"/>
      <c r="M206" s="131"/>
      <c r="N206" s="131"/>
      <c r="O206" s="131"/>
      <c r="P206" s="131"/>
      <c r="Q206" s="131"/>
      <c r="R206" s="131"/>
      <c r="S206" s="131"/>
      <c r="T206" s="131"/>
      <c r="U206" s="131"/>
      <c r="V206" s="131"/>
      <c r="W206" s="131"/>
      <c r="X206" s="131"/>
      <c r="Y206" s="131"/>
      <c r="Z206" s="131"/>
      <c r="AA206" s="131"/>
      <c r="AB206" s="131"/>
      <c r="AC206" s="131"/>
    </row>
    <row r="207" ht="15.75" customHeight="1">
      <c r="A207" s="130"/>
      <c r="B207" s="2"/>
      <c r="C207" s="2"/>
      <c r="D207" s="2"/>
      <c r="E207" s="2"/>
      <c r="F207" s="2"/>
      <c r="G207" s="6"/>
      <c r="H207" s="6"/>
      <c r="I207" s="6"/>
      <c r="J207" s="6"/>
      <c r="K207" s="131"/>
      <c r="L207" s="131"/>
      <c r="M207" s="131"/>
      <c r="N207" s="131"/>
      <c r="O207" s="131"/>
      <c r="P207" s="131"/>
      <c r="Q207" s="131"/>
      <c r="R207" s="131"/>
      <c r="S207" s="131"/>
      <c r="T207" s="131"/>
      <c r="U207" s="131"/>
      <c r="V207" s="131"/>
      <c r="W207" s="131"/>
      <c r="X207" s="131"/>
      <c r="Y207" s="131"/>
      <c r="Z207" s="131"/>
      <c r="AA207" s="131"/>
      <c r="AB207" s="131"/>
      <c r="AC207" s="131"/>
    </row>
    <row r="208" ht="15.75" customHeight="1">
      <c r="A208" s="130"/>
      <c r="B208" s="2"/>
      <c r="C208" s="2"/>
      <c r="D208" s="2"/>
      <c r="E208" s="2"/>
      <c r="F208" s="2"/>
      <c r="G208" s="6"/>
      <c r="H208" s="6"/>
      <c r="I208" s="6"/>
      <c r="J208" s="6"/>
      <c r="K208" s="131"/>
      <c r="L208" s="131"/>
      <c r="M208" s="131"/>
      <c r="N208" s="131"/>
      <c r="O208" s="131"/>
      <c r="P208" s="131"/>
      <c r="Q208" s="131"/>
      <c r="R208" s="131"/>
      <c r="S208" s="131"/>
      <c r="T208" s="131"/>
      <c r="U208" s="131"/>
      <c r="V208" s="131"/>
      <c r="W208" s="131"/>
      <c r="X208" s="131"/>
      <c r="Y208" s="131"/>
      <c r="Z208" s="131"/>
      <c r="AA208" s="131"/>
      <c r="AB208" s="131"/>
      <c r="AC208" s="131"/>
    </row>
    <row r="209" ht="15.75" customHeight="1">
      <c r="A209" s="130"/>
      <c r="B209" s="2"/>
      <c r="C209" s="2"/>
      <c r="D209" s="2"/>
      <c r="E209" s="2"/>
      <c r="F209" s="2"/>
      <c r="G209" s="6"/>
      <c r="H209" s="6"/>
      <c r="I209" s="6"/>
      <c r="J209" s="6"/>
      <c r="K209" s="131"/>
      <c r="L209" s="131"/>
      <c r="M209" s="131"/>
      <c r="N209" s="131"/>
      <c r="O209" s="131"/>
      <c r="P209" s="131"/>
      <c r="Q209" s="131"/>
      <c r="R209" s="131"/>
      <c r="S209" s="131"/>
      <c r="T209" s="131"/>
      <c r="U209" s="131"/>
      <c r="V209" s="131"/>
      <c r="W209" s="131"/>
      <c r="X209" s="131"/>
      <c r="Y209" s="131"/>
      <c r="Z209" s="131"/>
      <c r="AA209" s="131"/>
      <c r="AB209" s="131"/>
      <c r="AC209" s="131"/>
    </row>
    <row r="210" ht="15.75" customHeight="1">
      <c r="A210" s="130"/>
      <c r="B210" s="2"/>
      <c r="C210" s="2"/>
      <c r="D210" s="2"/>
      <c r="E210" s="2"/>
      <c r="F210" s="2"/>
      <c r="G210" s="6"/>
      <c r="H210" s="6"/>
      <c r="I210" s="6"/>
      <c r="J210" s="6"/>
      <c r="K210" s="131"/>
      <c r="L210" s="131"/>
      <c r="M210" s="131"/>
      <c r="N210" s="131"/>
      <c r="O210" s="131"/>
      <c r="P210" s="131"/>
      <c r="Q210" s="131"/>
      <c r="R210" s="131"/>
      <c r="S210" s="131"/>
      <c r="T210" s="131"/>
      <c r="U210" s="131"/>
      <c r="V210" s="131"/>
      <c r="W210" s="131"/>
      <c r="X210" s="131"/>
      <c r="Y210" s="131"/>
      <c r="Z210" s="131"/>
      <c r="AA210" s="131"/>
      <c r="AB210" s="131"/>
      <c r="AC210" s="131"/>
    </row>
    <row r="211" ht="15.75" customHeight="1">
      <c r="A211" s="130"/>
      <c r="B211" s="2"/>
      <c r="C211" s="2"/>
      <c r="D211" s="2"/>
      <c r="E211" s="2"/>
      <c r="F211" s="2"/>
      <c r="G211" s="6"/>
      <c r="H211" s="6"/>
      <c r="I211" s="6"/>
      <c r="J211" s="6"/>
      <c r="K211" s="131"/>
      <c r="L211" s="131"/>
      <c r="M211" s="131"/>
      <c r="N211" s="131"/>
      <c r="O211" s="131"/>
      <c r="P211" s="131"/>
      <c r="Q211" s="131"/>
      <c r="R211" s="131"/>
      <c r="S211" s="131"/>
      <c r="T211" s="131"/>
      <c r="U211" s="131"/>
      <c r="V211" s="131"/>
      <c r="W211" s="131"/>
      <c r="X211" s="131"/>
      <c r="Y211" s="131"/>
      <c r="Z211" s="131"/>
      <c r="AA211" s="131"/>
      <c r="AB211" s="131"/>
      <c r="AC211" s="131"/>
    </row>
    <row r="212" ht="15.75" customHeight="1">
      <c r="A212" s="130"/>
      <c r="B212" s="2"/>
      <c r="C212" s="2"/>
      <c r="D212" s="2"/>
      <c r="E212" s="2"/>
      <c r="F212" s="2"/>
      <c r="G212" s="6"/>
      <c r="H212" s="6"/>
      <c r="I212" s="6"/>
      <c r="J212" s="6"/>
      <c r="K212" s="131"/>
      <c r="L212" s="131"/>
      <c r="M212" s="131"/>
      <c r="N212" s="131"/>
      <c r="O212" s="131"/>
      <c r="P212" s="131"/>
      <c r="Q212" s="131"/>
      <c r="R212" s="131"/>
      <c r="S212" s="131"/>
      <c r="T212" s="131"/>
      <c r="U212" s="131"/>
      <c r="V212" s="131"/>
      <c r="W212" s="131"/>
      <c r="X212" s="131"/>
      <c r="Y212" s="131"/>
      <c r="Z212" s="131"/>
      <c r="AA212" s="131"/>
      <c r="AB212" s="131"/>
      <c r="AC212" s="131"/>
    </row>
    <row r="213" ht="15.75" customHeight="1">
      <c r="A213" s="130"/>
      <c r="B213" s="2"/>
      <c r="C213" s="2"/>
      <c r="D213" s="2"/>
      <c r="E213" s="2"/>
      <c r="F213" s="2"/>
      <c r="G213" s="6"/>
      <c r="H213" s="6"/>
      <c r="I213" s="6"/>
      <c r="J213" s="6"/>
      <c r="K213" s="131"/>
      <c r="L213" s="131"/>
      <c r="M213" s="131"/>
      <c r="N213" s="131"/>
      <c r="O213" s="131"/>
      <c r="P213" s="131"/>
      <c r="Q213" s="131"/>
      <c r="R213" s="131"/>
      <c r="S213" s="131"/>
      <c r="T213" s="131"/>
      <c r="U213" s="131"/>
      <c r="V213" s="131"/>
      <c r="W213" s="131"/>
      <c r="X213" s="131"/>
      <c r="Y213" s="131"/>
      <c r="Z213" s="131"/>
      <c r="AA213" s="131"/>
      <c r="AB213" s="131"/>
      <c r="AC213" s="131"/>
    </row>
    <row r="214" ht="15.75" customHeight="1">
      <c r="A214" s="130"/>
      <c r="B214" s="2"/>
      <c r="C214" s="2"/>
      <c r="D214" s="2"/>
      <c r="E214" s="2"/>
      <c r="F214" s="2"/>
      <c r="G214" s="6"/>
      <c r="H214" s="6"/>
      <c r="I214" s="6"/>
      <c r="J214" s="6"/>
      <c r="K214" s="131"/>
      <c r="L214" s="131"/>
      <c r="M214" s="131"/>
      <c r="N214" s="131"/>
      <c r="O214" s="131"/>
      <c r="P214" s="131"/>
      <c r="Q214" s="131"/>
      <c r="R214" s="131"/>
      <c r="S214" s="131"/>
      <c r="T214" s="131"/>
      <c r="U214" s="131"/>
      <c r="V214" s="131"/>
      <c r="W214" s="131"/>
      <c r="X214" s="131"/>
      <c r="Y214" s="131"/>
      <c r="Z214" s="131"/>
      <c r="AA214" s="131"/>
      <c r="AB214" s="131"/>
      <c r="AC214" s="131"/>
    </row>
    <row r="215" ht="15.75" customHeight="1">
      <c r="A215" s="130"/>
      <c r="B215" s="2"/>
      <c r="C215" s="2"/>
      <c r="D215" s="2"/>
      <c r="E215" s="2"/>
      <c r="F215" s="2"/>
      <c r="G215" s="6"/>
      <c r="H215" s="6"/>
      <c r="I215" s="6"/>
      <c r="J215" s="6"/>
      <c r="K215" s="131"/>
      <c r="L215" s="131"/>
      <c r="M215" s="131"/>
      <c r="N215" s="131"/>
      <c r="O215" s="131"/>
      <c r="P215" s="131"/>
      <c r="Q215" s="131"/>
      <c r="R215" s="131"/>
      <c r="S215" s="131"/>
      <c r="T215" s="131"/>
      <c r="U215" s="131"/>
      <c r="V215" s="131"/>
      <c r="W215" s="131"/>
      <c r="X215" s="131"/>
      <c r="Y215" s="131"/>
      <c r="Z215" s="131"/>
      <c r="AA215" s="131"/>
      <c r="AB215" s="131"/>
      <c r="AC215" s="131"/>
    </row>
    <row r="216" ht="15.75" customHeight="1">
      <c r="A216" s="130"/>
      <c r="B216" s="2"/>
      <c r="C216" s="2"/>
      <c r="D216" s="2"/>
      <c r="E216" s="2"/>
      <c r="F216" s="2"/>
      <c r="G216" s="6"/>
      <c r="H216" s="6"/>
      <c r="I216" s="6"/>
      <c r="J216" s="6"/>
      <c r="K216" s="131"/>
      <c r="L216" s="131"/>
      <c r="M216" s="131"/>
      <c r="N216" s="131"/>
      <c r="O216" s="131"/>
      <c r="P216" s="131"/>
      <c r="Q216" s="131"/>
      <c r="R216" s="131"/>
      <c r="S216" s="131"/>
      <c r="T216" s="131"/>
      <c r="U216" s="131"/>
      <c r="V216" s="131"/>
      <c r="W216" s="131"/>
      <c r="X216" s="131"/>
      <c r="Y216" s="131"/>
      <c r="Z216" s="131"/>
      <c r="AA216" s="131"/>
      <c r="AB216" s="131"/>
      <c r="AC216" s="131"/>
    </row>
    <row r="217" ht="15.75" customHeight="1">
      <c r="A217" s="130"/>
      <c r="B217" s="2"/>
      <c r="C217" s="2"/>
      <c r="D217" s="2"/>
      <c r="E217" s="2"/>
      <c r="F217" s="2"/>
      <c r="G217" s="6"/>
      <c r="H217" s="6"/>
      <c r="I217" s="6"/>
      <c r="J217" s="6"/>
      <c r="K217" s="131"/>
      <c r="L217" s="131"/>
      <c r="M217" s="131"/>
      <c r="N217" s="131"/>
      <c r="O217" s="131"/>
      <c r="P217" s="131"/>
      <c r="Q217" s="131"/>
      <c r="R217" s="131"/>
      <c r="S217" s="131"/>
      <c r="T217" s="131"/>
      <c r="U217" s="131"/>
      <c r="V217" s="131"/>
      <c r="W217" s="131"/>
      <c r="X217" s="131"/>
      <c r="Y217" s="131"/>
      <c r="Z217" s="131"/>
      <c r="AA217" s="131"/>
      <c r="AB217" s="131"/>
      <c r="AC217" s="131"/>
    </row>
    <row r="218" ht="15.75" customHeight="1">
      <c r="A218" s="130"/>
      <c r="B218" s="2"/>
      <c r="C218" s="2"/>
      <c r="D218" s="2"/>
      <c r="E218" s="2"/>
      <c r="F218" s="2"/>
      <c r="G218" s="6"/>
      <c r="H218" s="6"/>
      <c r="I218" s="6"/>
      <c r="J218" s="6"/>
      <c r="K218" s="131"/>
      <c r="L218" s="131"/>
      <c r="M218" s="131"/>
      <c r="N218" s="131"/>
      <c r="O218" s="131"/>
      <c r="P218" s="131"/>
      <c r="Q218" s="131"/>
      <c r="R218" s="131"/>
      <c r="S218" s="131"/>
      <c r="T218" s="131"/>
      <c r="U218" s="131"/>
      <c r="V218" s="131"/>
      <c r="W218" s="131"/>
      <c r="X218" s="131"/>
      <c r="Y218" s="131"/>
      <c r="Z218" s="131"/>
      <c r="AA218" s="131"/>
      <c r="AB218" s="131"/>
      <c r="AC218" s="131"/>
    </row>
    <row r="219" ht="15.75" customHeight="1">
      <c r="A219" s="130"/>
      <c r="B219" s="2"/>
      <c r="C219" s="2"/>
      <c r="D219" s="2"/>
      <c r="E219" s="2"/>
      <c r="F219" s="2"/>
      <c r="G219" s="6"/>
      <c r="H219" s="6"/>
      <c r="I219" s="6"/>
      <c r="J219" s="6"/>
      <c r="K219" s="131"/>
      <c r="L219" s="131"/>
      <c r="M219" s="131"/>
      <c r="N219" s="131"/>
      <c r="O219" s="131"/>
      <c r="P219" s="131"/>
      <c r="Q219" s="131"/>
      <c r="R219" s="131"/>
      <c r="S219" s="131"/>
      <c r="T219" s="131"/>
      <c r="U219" s="131"/>
      <c r="V219" s="131"/>
      <c r="W219" s="131"/>
      <c r="X219" s="131"/>
      <c r="Y219" s="131"/>
      <c r="Z219" s="131"/>
      <c r="AA219" s="131"/>
      <c r="AB219" s="131"/>
      <c r="AC219" s="131"/>
    </row>
    <row r="220" ht="15.75" customHeight="1">
      <c r="A220" s="130"/>
      <c r="B220" s="2"/>
      <c r="C220" s="2"/>
      <c r="D220" s="2"/>
      <c r="E220" s="2"/>
      <c r="F220" s="2"/>
      <c r="G220" s="6"/>
      <c r="H220" s="6"/>
      <c r="I220" s="6"/>
      <c r="J220" s="6"/>
      <c r="K220" s="131"/>
      <c r="L220" s="131"/>
      <c r="M220" s="131"/>
      <c r="N220" s="131"/>
      <c r="O220" s="131"/>
      <c r="P220" s="131"/>
      <c r="Q220" s="131"/>
      <c r="R220" s="131"/>
      <c r="S220" s="131"/>
      <c r="T220" s="131"/>
      <c r="U220" s="131"/>
      <c r="V220" s="131"/>
      <c r="W220" s="131"/>
      <c r="X220" s="131"/>
      <c r="Y220" s="131"/>
      <c r="Z220" s="131"/>
      <c r="AA220" s="131"/>
      <c r="AB220" s="131"/>
      <c r="AC220" s="131"/>
    </row>
    <row r="221" ht="15.75" customHeight="1">
      <c r="A221" s="130"/>
      <c r="B221" s="2"/>
      <c r="C221" s="2"/>
      <c r="D221" s="2"/>
      <c r="E221" s="2"/>
      <c r="F221" s="2"/>
      <c r="G221" s="6"/>
      <c r="H221" s="6"/>
      <c r="I221" s="6"/>
      <c r="J221" s="6"/>
      <c r="K221" s="131"/>
      <c r="L221" s="131"/>
      <c r="M221" s="131"/>
      <c r="N221" s="131"/>
      <c r="O221" s="131"/>
      <c r="P221" s="131"/>
      <c r="Q221" s="131"/>
      <c r="R221" s="131"/>
      <c r="S221" s="131"/>
      <c r="T221" s="131"/>
      <c r="U221" s="131"/>
      <c r="V221" s="131"/>
      <c r="W221" s="131"/>
      <c r="X221" s="131"/>
      <c r="Y221" s="131"/>
      <c r="Z221" s="131"/>
      <c r="AA221" s="131"/>
      <c r="AB221" s="131"/>
      <c r="AC221" s="131"/>
    </row>
    <row r="222" ht="15.75" customHeight="1">
      <c r="A222" s="130"/>
      <c r="B222" s="2"/>
      <c r="C222" s="2"/>
      <c r="D222" s="2"/>
      <c r="E222" s="2"/>
      <c r="F222" s="2"/>
      <c r="G222" s="6"/>
      <c r="H222" s="6"/>
      <c r="I222" s="6"/>
      <c r="J222" s="6"/>
      <c r="K222" s="131"/>
      <c r="L222" s="131"/>
      <c r="M222" s="131"/>
      <c r="N222" s="131"/>
      <c r="O222" s="131"/>
      <c r="P222" s="131"/>
      <c r="Q222" s="131"/>
      <c r="R222" s="131"/>
      <c r="S222" s="131"/>
      <c r="T222" s="131"/>
      <c r="U222" s="131"/>
      <c r="V222" s="131"/>
      <c r="W222" s="131"/>
      <c r="X222" s="131"/>
      <c r="Y222" s="131"/>
      <c r="Z222" s="131"/>
      <c r="AA222" s="131"/>
      <c r="AB222" s="131"/>
      <c r="AC222" s="131"/>
    </row>
    <row r="223" ht="15.75" customHeight="1">
      <c r="A223" s="130"/>
      <c r="B223" s="2"/>
      <c r="C223" s="2"/>
      <c r="D223" s="2"/>
      <c r="E223" s="2"/>
      <c r="F223" s="2"/>
      <c r="G223" s="6"/>
      <c r="H223" s="6"/>
      <c r="I223" s="6"/>
      <c r="J223" s="6"/>
      <c r="K223" s="131"/>
      <c r="L223" s="131"/>
      <c r="M223" s="131"/>
      <c r="N223" s="131"/>
      <c r="O223" s="131"/>
      <c r="P223" s="131"/>
      <c r="Q223" s="131"/>
      <c r="R223" s="131"/>
      <c r="S223" s="131"/>
      <c r="T223" s="131"/>
      <c r="U223" s="131"/>
      <c r="V223" s="131"/>
      <c r="W223" s="131"/>
      <c r="X223" s="131"/>
      <c r="Y223" s="131"/>
      <c r="Z223" s="131"/>
      <c r="AA223" s="131"/>
      <c r="AB223" s="131"/>
      <c r="AC223" s="131"/>
    </row>
    <row r="224" ht="15.75" customHeight="1">
      <c r="A224" s="130"/>
      <c r="B224" s="2"/>
      <c r="C224" s="2"/>
      <c r="D224" s="2"/>
      <c r="E224" s="2"/>
      <c r="F224" s="2"/>
      <c r="G224" s="6"/>
      <c r="H224" s="6"/>
      <c r="I224" s="6"/>
      <c r="J224" s="6"/>
      <c r="K224" s="131"/>
      <c r="L224" s="131"/>
      <c r="M224" s="131"/>
      <c r="N224" s="131"/>
      <c r="O224" s="131"/>
      <c r="P224" s="131"/>
      <c r="Q224" s="131"/>
      <c r="R224" s="131"/>
      <c r="S224" s="131"/>
      <c r="T224" s="131"/>
      <c r="U224" s="131"/>
      <c r="V224" s="131"/>
      <c r="W224" s="131"/>
      <c r="X224" s="131"/>
      <c r="Y224" s="131"/>
      <c r="Z224" s="131"/>
      <c r="AA224" s="131"/>
      <c r="AB224" s="131"/>
      <c r="AC224" s="131"/>
    </row>
    <row r="225" ht="15.75" customHeight="1">
      <c r="A225" s="130"/>
      <c r="B225" s="2"/>
      <c r="C225" s="2"/>
      <c r="D225" s="2"/>
      <c r="E225" s="2"/>
      <c r="F225" s="2"/>
      <c r="G225" s="6"/>
      <c r="H225" s="6"/>
      <c r="I225" s="6"/>
      <c r="J225" s="6"/>
      <c r="K225" s="131"/>
      <c r="L225" s="131"/>
      <c r="M225" s="131"/>
      <c r="N225" s="131"/>
      <c r="O225" s="131"/>
      <c r="P225" s="131"/>
      <c r="Q225" s="131"/>
      <c r="R225" s="131"/>
      <c r="S225" s="131"/>
      <c r="T225" s="131"/>
      <c r="U225" s="131"/>
      <c r="V225" s="131"/>
      <c r="W225" s="131"/>
      <c r="X225" s="131"/>
      <c r="Y225" s="131"/>
      <c r="Z225" s="131"/>
      <c r="AA225" s="131"/>
      <c r="AB225" s="131"/>
      <c r="AC225" s="131"/>
    </row>
    <row r="226" ht="15.75" customHeight="1">
      <c r="A226" s="130"/>
      <c r="B226" s="2"/>
      <c r="C226" s="2"/>
      <c r="D226" s="2"/>
      <c r="E226" s="2"/>
      <c r="F226" s="2"/>
      <c r="G226" s="6"/>
      <c r="H226" s="6"/>
      <c r="I226" s="6"/>
      <c r="J226" s="6"/>
      <c r="K226" s="131"/>
      <c r="L226" s="131"/>
      <c r="M226" s="131"/>
      <c r="N226" s="131"/>
      <c r="O226" s="131"/>
      <c r="P226" s="131"/>
      <c r="Q226" s="131"/>
      <c r="R226" s="131"/>
      <c r="S226" s="131"/>
      <c r="T226" s="131"/>
      <c r="U226" s="131"/>
      <c r="V226" s="131"/>
      <c r="W226" s="131"/>
      <c r="X226" s="131"/>
      <c r="Y226" s="131"/>
      <c r="Z226" s="131"/>
      <c r="AA226" s="131"/>
      <c r="AB226" s="131"/>
      <c r="AC226" s="131"/>
    </row>
    <row r="227" ht="15.75" customHeight="1">
      <c r="A227" s="130"/>
      <c r="B227" s="2"/>
      <c r="C227" s="2"/>
      <c r="D227" s="2"/>
      <c r="E227" s="2"/>
      <c r="F227" s="2"/>
      <c r="G227" s="6"/>
      <c r="H227" s="6"/>
      <c r="I227" s="6"/>
      <c r="J227" s="6"/>
      <c r="K227" s="131"/>
      <c r="L227" s="131"/>
      <c r="M227" s="131"/>
      <c r="N227" s="131"/>
      <c r="O227" s="131"/>
      <c r="P227" s="131"/>
      <c r="Q227" s="131"/>
      <c r="R227" s="131"/>
      <c r="S227" s="131"/>
      <c r="T227" s="131"/>
      <c r="U227" s="131"/>
      <c r="V227" s="131"/>
      <c r="W227" s="131"/>
      <c r="X227" s="131"/>
      <c r="Y227" s="131"/>
      <c r="Z227" s="131"/>
      <c r="AA227" s="131"/>
      <c r="AB227" s="131"/>
      <c r="AC227" s="131"/>
    </row>
    <row r="228" ht="15.75" customHeight="1">
      <c r="A228" s="130"/>
      <c r="B228" s="2"/>
      <c r="C228" s="2"/>
      <c r="D228" s="2"/>
      <c r="E228" s="2"/>
      <c r="F228" s="2"/>
      <c r="G228" s="6"/>
      <c r="H228" s="6"/>
      <c r="I228" s="6"/>
      <c r="J228" s="6"/>
      <c r="K228" s="131"/>
      <c r="L228" s="131"/>
      <c r="M228" s="131"/>
      <c r="N228" s="131"/>
      <c r="O228" s="131"/>
      <c r="P228" s="131"/>
      <c r="Q228" s="131"/>
      <c r="R228" s="131"/>
      <c r="S228" s="131"/>
      <c r="T228" s="131"/>
      <c r="U228" s="131"/>
      <c r="V228" s="131"/>
      <c r="W228" s="131"/>
      <c r="X228" s="131"/>
      <c r="Y228" s="131"/>
      <c r="Z228" s="131"/>
      <c r="AA228" s="131"/>
      <c r="AB228" s="131"/>
      <c r="AC228" s="131"/>
    </row>
    <row r="229" ht="15.75" customHeight="1">
      <c r="A229" s="130"/>
      <c r="B229" s="2"/>
      <c r="C229" s="2"/>
      <c r="D229" s="2"/>
      <c r="E229" s="2"/>
      <c r="F229" s="2"/>
      <c r="G229" s="6"/>
      <c r="H229" s="6"/>
      <c r="I229" s="6"/>
      <c r="J229" s="6"/>
      <c r="K229" s="131"/>
      <c r="L229" s="131"/>
      <c r="M229" s="131"/>
      <c r="N229" s="131"/>
      <c r="O229" s="131"/>
      <c r="P229" s="131"/>
      <c r="Q229" s="131"/>
      <c r="R229" s="131"/>
      <c r="S229" s="131"/>
      <c r="T229" s="131"/>
      <c r="U229" s="131"/>
      <c r="V229" s="131"/>
      <c r="W229" s="131"/>
      <c r="X229" s="131"/>
      <c r="Y229" s="131"/>
      <c r="Z229" s="131"/>
      <c r="AA229" s="131"/>
      <c r="AB229" s="131"/>
      <c r="AC229" s="131"/>
    </row>
    <row r="230" ht="15.75" customHeight="1">
      <c r="A230" s="130"/>
      <c r="B230" s="2"/>
      <c r="C230" s="2"/>
      <c r="D230" s="2"/>
      <c r="E230" s="2"/>
      <c r="F230" s="2"/>
      <c r="G230" s="6"/>
      <c r="H230" s="6"/>
      <c r="I230" s="6"/>
      <c r="J230" s="6"/>
      <c r="K230" s="131"/>
      <c r="L230" s="131"/>
      <c r="M230" s="131"/>
      <c r="N230" s="131"/>
      <c r="O230" s="131"/>
      <c r="P230" s="131"/>
      <c r="Q230" s="131"/>
      <c r="R230" s="131"/>
      <c r="S230" s="131"/>
      <c r="T230" s="131"/>
      <c r="U230" s="131"/>
      <c r="V230" s="131"/>
      <c r="W230" s="131"/>
      <c r="X230" s="131"/>
      <c r="Y230" s="131"/>
      <c r="Z230" s="131"/>
      <c r="AA230" s="131"/>
      <c r="AB230" s="131"/>
      <c r="AC230" s="131"/>
    </row>
    <row r="231" ht="15.75" customHeight="1">
      <c r="A231" s="130"/>
      <c r="B231" s="2"/>
      <c r="C231" s="2"/>
      <c r="D231" s="2"/>
      <c r="E231" s="2"/>
      <c r="F231" s="2"/>
      <c r="G231" s="6"/>
      <c r="H231" s="6"/>
      <c r="I231" s="6"/>
      <c r="J231" s="6"/>
      <c r="K231" s="131"/>
      <c r="L231" s="131"/>
      <c r="M231" s="131"/>
      <c r="N231" s="131"/>
      <c r="O231" s="131"/>
      <c r="P231" s="131"/>
      <c r="Q231" s="131"/>
      <c r="R231" s="131"/>
      <c r="S231" s="131"/>
      <c r="T231" s="131"/>
      <c r="U231" s="131"/>
      <c r="V231" s="131"/>
      <c r="W231" s="131"/>
      <c r="X231" s="131"/>
      <c r="Y231" s="131"/>
      <c r="Z231" s="131"/>
      <c r="AA231" s="131"/>
      <c r="AB231" s="131"/>
      <c r="AC231" s="131"/>
    </row>
    <row r="232" ht="15.75" customHeight="1">
      <c r="A232" s="130"/>
      <c r="B232" s="2"/>
      <c r="C232" s="2"/>
      <c r="D232" s="2"/>
      <c r="E232" s="2"/>
      <c r="F232" s="2"/>
      <c r="G232" s="6"/>
      <c r="H232" s="6"/>
      <c r="I232" s="6"/>
      <c r="J232" s="6"/>
      <c r="K232" s="131"/>
      <c r="L232" s="131"/>
      <c r="M232" s="131"/>
      <c r="N232" s="131"/>
      <c r="O232" s="131"/>
      <c r="P232" s="131"/>
      <c r="Q232" s="131"/>
      <c r="R232" s="131"/>
      <c r="S232" s="131"/>
      <c r="T232" s="131"/>
      <c r="U232" s="131"/>
      <c r="V232" s="131"/>
      <c r="W232" s="131"/>
      <c r="X232" s="131"/>
      <c r="Y232" s="131"/>
      <c r="Z232" s="131"/>
      <c r="AA232" s="131"/>
      <c r="AB232" s="131"/>
      <c r="AC232" s="131"/>
    </row>
    <row r="233" ht="15.75" customHeight="1">
      <c r="A233" s="130"/>
      <c r="B233" s="2"/>
      <c r="C233" s="2"/>
      <c r="D233" s="2"/>
      <c r="E233" s="2"/>
      <c r="F233" s="2"/>
      <c r="G233" s="6"/>
      <c r="H233" s="6"/>
      <c r="I233" s="6"/>
      <c r="J233" s="6"/>
      <c r="K233" s="131"/>
      <c r="L233" s="131"/>
      <c r="M233" s="131"/>
      <c r="N233" s="131"/>
      <c r="O233" s="131"/>
      <c r="P233" s="131"/>
      <c r="Q233" s="131"/>
      <c r="R233" s="131"/>
      <c r="S233" s="131"/>
      <c r="T233" s="131"/>
      <c r="U233" s="131"/>
      <c r="V233" s="131"/>
      <c r="W233" s="131"/>
      <c r="X233" s="131"/>
      <c r="Y233" s="131"/>
      <c r="Z233" s="131"/>
      <c r="AA233" s="131"/>
      <c r="AB233" s="131"/>
      <c r="AC233" s="131"/>
    </row>
    <row r="234" ht="15.75" customHeight="1">
      <c r="A234" s="130"/>
      <c r="B234" s="2"/>
      <c r="C234" s="2"/>
      <c r="D234" s="2"/>
      <c r="E234" s="2"/>
      <c r="F234" s="2"/>
      <c r="G234" s="6"/>
      <c r="H234" s="6"/>
      <c r="I234" s="6"/>
      <c r="J234" s="6"/>
      <c r="K234" s="131"/>
      <c r="L234" s="131"/>
      <c r="M234" s="131"/>
      <c r="N234" s="131"/>
      <c r="O234" s="131"/>
      <c r="P234" s="131"/>
      <c r="Q234" s="131"/>
      <c r="R234" s="131"/>
      <c r="S234" s="131"/>
      <c r="T234" s="131"/>
      <c r="U234" s="131"/>
      <c r="V234" s="131"/>
      <c r="W234" s="131"/>
      <c r="X234" s="131"/>
      <c r="Y234" s="131"/>
      <c r="Z234" s="131"/>
      <c r="AA234" s="131"/>
      <c r="AB234" s="131"/>
      <c r="AC234" s="131"/>
    </row>
    <row r="235" ht="15.75" customHeight="1">
      <c r="A235" s="130"/>
      <c r="B235" s="2"/>
      <c r="C235" s="2"/>
      <c r="D235" s="2"/>
      <c r="E235" s="2"/>
      <c r="F235" s="2"/>
      <c r="G235" s="6"/>
      <c r="H235" s="6"/>
      <c r="I235" s="6"/>
      <c r="J235" s="6"/>
      <c r="K235" s="131"/>
      <c r="L235" s="131"/>
      <c r="M235" s="131"/>
      <c r="N235" s="131"/>
      <c r="O235" s="131"/>
      <c r="P235" s="131"/>
      <c r="Q235" s="131"/>
      <c r="R235" s="131"/>
      <c r="S235" s="131"/>
      <c r="T235" s="131"/>
      <c r="U235" s="131"/>
      <c r="V235" s="131"/>
      <c r="W235" s="131"/>
      <c r="X235" s="131"/>
      <c r="Y235" s="131"/>
      <c r="Z235" s="131"/>
      <c r="AA235" s="131"/>
      <c r="AB235" s="131"/>
      <c r="AC235" s="131"/>
    </row>
    <row r="236" ht="15.75" customHeight="1">
      <c r="A236" s="130"/>
      <c r="B236" s="2"/>
      <c r="C236" s="2"/>
      <c r="D236" s="2"/>
      <c r="E236" s="2"/>
      <c r="F236" s="2"/>
      <c r="G236" s="6"/>
      <c r="H236" s="6"/>
      <c r="I236" s="6"/>
      <c r="J236" s="6"/>
      <c r="K236" s="131"/>
      <c r="L236" s="131"/>
      <c r="M236" s="131"/>
      <c r="N236" s="131"/>
      <c r="O236" s="131"/>
      <c r="P236" s="131"/>
      <c r="Q236" s="131"/>
      <c r="R236" s="131"/>
      <c r="S236" s="131"/>
      <c r="T236" s="131"/>
      <c r="U236" s="131"/>
      <c r="V236" s="131"/>
      <c r="W236" s="131"/>
      <c r="X236" s="131"/>
      <c r="Y236" s="131"/>
      <c r="Z236" s="131"/>
      <c r="AA236" s="131"/>
      <c r="AB236" s="131"/>
      <c r="AC236" s="131"/>
    </row>
    <row r="237" ht="15.75" customHeight="1">
      <c r="A237" s="130"/>
      <c r="B237" s="2"/>
      <c r="C237" s="2"/>
      <c r="D237" s="2"/>
      <c r="E237" s="2"/>
      <c r="F237" s="2"/>
      <c r="G237" s="6"/>
      <c r="H237" s="6"/>
      <c r="I237" s="6"/>
      <c r="J237" s="6"/>
      <c r="K237" s="131"/>
      <c r="L237" s="131"/>
      <c r="M237" s="131"/>
      <c r="N237" s="131"/>
      <c r="O237" s="131"/>
      <c r="P237" s="131"/>
      <c r="Q237" s="131"/>
      <c r="R237" s="131"/>
      <c r="S237" s="131"/>
      <c r="T237" s="131"/>
      <c r="U237" s="131"/>
      <c r="V237" s="131"/>
      <c r="W237" s="131"/>
      <c r="X237" s="131"/>
      <c r="Y237" s="131"/>
      <c r="Z237" s="131"/>
      <c r="AA237" s="131"/>
      <c r="AB237" s="131"/>
      <c r="AC237" s="131"/>
    </row>
    <row r="238" ht="15.75" customHeight="1">
      <c r="A238" s="130"/>
      <c r="B238" s="2"/>
      <c r="C238" s="2"/>
      <c r="D238" s="2"/>
      <c r="E238" s="2"/>
      <c r="F238" s="2"/>
      <c r="G238" s="6"/>
      <c r="H238" s="6"/>
      <c r="I238" s="6"/>
      <c r="J238" s="6"/>
      <c r="K238" s="131"/>
      <c r="L238" s="131"/>
      <c r="M238" s="131"/>
      <c r="N238" s="131"/>
      <c r="O238" s="131"/>
      <c r="P238" s="131"/>
      <c r="Q238" s="131"/>
      <c r="R238" s="131"/>
      <c r="S238" s="131"/>
      <c r="T238" s="131"/>
      <c r="U238" s="131"/>
      <c r="V238" s="131"/>
      <c r="W238" s="131"/>
      <c r="X238" s="131"/>
      <c r="Y238" s="131"/>
      <c r="Z238" s="131"/>
      <c r="AA238" s="131"/>
      <c r="AB238" s="131"/>
      <c r="AC238" s="131"/>
    </row>
    <row r="239" ht="15.75" customHeight="1">
      <c r="A239" s="130"/>
      <c r="B239" s="2"/>
      <c r="C239" s="2"/>
      <c r="D239" s="2"/>
      <c r="E239" s="2"/>
      <c r="F239" s="2"/>
      <c r="G239" s="6"/>
      <c r="H239" s="6"/>
      <c r="I239" s="6"/>
      <c r="J239" s="6"/>
      <c r="K239" s="131"/>
      <c r="L239" s="131"/>
      <c r="M239" s="131"/>
      <c r="N239" s="131"/>
      <c r="O239" s="131"/>
      <c r="P239" s="131"/>
      <c r="Q239" s="131"/>
      <c r="R239" s="131"/>
      <c r="S239" s="131"/>
      <c r="T239" s="131"/>
      <c r="U239" s="131"/>
      <c r="V239" s="131"/>
      <c r="W239" s="131"/>
      <c r="X239" s="131"/>
      <c r="Y239" s="131"/>
      <c r="Z239" s="131"/>
      <c r="AA239" s="131"/>
      <c r="AB239" s="131"/>
      <c r="AC239" s="131"/>
    </row>
    <row r="240" ht="15.75" customHeight="1">
      <c r="A240" s="130"/>
      <c r="B240" s="2"/>
      <c r="C240" s="2"/>
      <c r="D240" s="2"/>
      <c r="E240" s="2"/>
      <c r="F240" s="2"/>
      <c r="G240" s="6"/>
      <c r="H240" s="6"/>
      <c r="I240" s="6"/>
      <c r="J240" s="6"/>
      <c r="K240" s="131"/>
      <c r="L240" s="131"/>
      <c r="M240" s="131"/>
      <c r="N240" s="131"/>
      <c r="O240" s="131"/>
      <c r="P240" s="131"/>
      <c r="Q240" s="131"/>
      <c r="R240" s="131"/>
      <c r="S240" s="131"/>
      <c r="T240" s="131"/>
      <c r="U240" s="131"/>
      <c r="V240" s="131"/>
      <c r="W240" s="131"/>
      <c r="X240" s="131"/>
      <c r="Y240" s="131"/>
      <c r="Z240" s="131"/>
      <c r="AA240" s="131"/>
      <c r="AB240" s="131"/>
      <c r="AC240" s="131"/>
    </row>
    <row r="241" ht="15.75" customHeight="1">
      <c r="A241" s="130"/>
      <c r="B241" s="2"/>
      <c r="C241" s="2"/>
      <c r="D241" s="2"/>
      <c r="E241" s="2"/>
      <c r="F241" s="2"/>
      <c r="G241" s="6"/>
      <c r="H241" s="6"/>
      <c r="I241" s="6"/>
      <c r="J241" s="6"/>
      <c r="K241" s="131"/>
      <c r="L241" s="131"/>
      <c r="M241" s="131"/>
      <c r="N241" s="131"/>
      <c r="O241" s="131"/>
      <c r="P241" s="131"/>
      <c r="Q241" s="131"/>
      <c r="R241" s="131"/>
      <c r="S241" s="131"/>
      <c r="T241" s="131"/>
      <c r="U241" s="131"/>
      <c r="V241" s="131"/>
      <c r="W241" s="131"/>
      <c r="X241" s="131"/>
      <c r="Y241" s="131"/>
      <c r="Z241" s="131"/>
      <c r="AA241" s="131"/>
      <c r="AB241" s="131"/>
      <c r="AC241" s="131"/>
    </row>
    <row r="242" ht="15.75" customHeight="1">
      <c r="A242" s="130"/>
      <c r="B242" s="2"/>
      <c r="C242" s="2"/>
      <c r="D242" s="2"/>
      <c r="E242" s="2"/>
      <c r="F242" s="2"/>
      <c r="G242" s="6"/>
      <c r="H242" s="6"/>
      <c r="I242" s="6"/>
      <c r="J242" s="6"/>
      <c r="K242" s="131"/>
      <c r="L242" s="131"/>
      <c r="M242" s="131"/>
      <c r="N242" s="131"/>
      <c r="O242" s="131"/>
      <c r="P242" s="131"/>
      <c r="Q242" s="131"/>
      <c r="R242" s="131"/>
      <c r="S242" s="131"/>
      <c r="T242" s="131"/>
      <c r="U242" s="131"/>
      <c r="V242" s="131"/>
      <c r="W242" s="131"/>
      <c r="X242" s="131"/>
      <c r="Y242" s="131"/>
      <c r="Z242" s="131"/>
      <c r="AA242" s="131"/>
      <c r="AB242" s="131"/>
      <c r="AC242" s="131"/>
    </row>
    <row r="243" ht="15.75" customHeight="1">
      <c r="A243" s="130"/>
      <c r="B243" s="2"/>
      <c r="C243" s="2"/>
      <c r="D243" s="2"/>
      <c r="E243" s="2"/>
      <c r="F243" s="2"/>
      <c r="G243" s="6"/>
      <c r="H243" s="6"/>
      <c r="I243" s="6"/>
      <c r="J243" s="6"/>
      <c r="K243" s="131"/>
      <c r="L243" s="131"/>
      <c r="M243" s="131"/>
      <c r="N243" s="131"/>
      <c r="O243" s="131"/>
      <c r="P243" s="131"/>
      <c r="Q243" s="131"/>
      <c r="R243" s="131"/>
      <c r="S243" s="131"/>
      <c r="T243" s="131"/>
      <c r="U243" s="131"/>
      <c r="V243" s="131"/>
      <c r="W243" s="131"/>
      <c r="X243" s="131"/>
      <c r="Y243" s="131"/>
      <c r="Z243" s="131"/>
      <c r="AA243" s="131"/>
      <c r="AB243" s="131"/>
      <c r="AC243" s="131"/>
    </row>
    <row r="244" ht="15.75" customHeight="1">
      <c r="A244" s="130"/>
      <c r="B244" s="2"/>
      <c r="C244" s="2"/>
      <c r="D244" s="2"/>
      <c r="E244" s="2"/>
      <c r="F244" s="2"/>
      <c r="G244" s="6"/>
      <c r="H244" s="6"/>
      <c r="I244" s="6"/>
      <c r="J244" s="6"/>
      <c r="K244" s="131"/>
      <c r="L244" s="131"/>
      <c r="M244" s="131"/>
      <c r="N244" s="131"/>
      <c r="O244" s="131"/>
      <c r="P244" s="131"/>
      <c r="Q244" s="131"/>
      <c r="R244" s="131"/>
      <c r="S244" s="131"/>
      <c r="T244" s="131"/>
      <c r="U244" s="131"/>
      <c r="V244" s="131"/>
      <c r="W244" s="131"/>
      <c r="X244" s="131"/>
      <c r="Y244" s="131"/>
      <c r="Z244" s="131"/>
      <c r="AA244" s="131"/>
      <c r="AB244" s="131"/>
      <c r="AC244" s="131"/>
    </row>
    <row r="245" ht="15.75" customHeight="1">
      <c r="A245" s="130"/>
      <c r="B245" s="2"/>
      <c r="C245" s="2"/>
      <c r="D245" s="2"/>
      <c r="E245" s="2"/>
      <c r="F245" s="2"/>
      <c r="G245" s="6"/>
      <c r="H245" s="6"/>
      <c r="I245" s="6"/>
      <c r="J245" s="6"/>
      <c r="K245" s="131"/>
      <c r="L245" s="131"/>
      <c r="M245" s="131"/>
      <c r="N245" s="131"/>
      <c r="O245" s="131"/>
      <c r="P245" s="131"/>
      <c r="Q245" s="131"/>
      <c r="R245" s="131"/>
      <c r="S245" s="131"/>
      <c r="T245" s="131"/>
      <c r="U245" s="131"/>
      <c r="V245" s="131"/>
      <c r="W245" s="131"/>
      <c r="X245" s="131"/>
      <c r="Y245" s="131"/>
      <c r="Z245" s="131"/>
      <c r="AA245" s="131"/>
      <c r="AB245" s="131"/>
      <c r="AC245" s="131"/>
    </row>
    <row r="246" ht="15.75" customHeight="1">
      <c r="A246" s="130"/>
      <c r="B246" s="2"/>
      <c r="C246" s="2"/>
      <c r="D246" s="2"/>
      <c r="E246" s="2"/>
      <c r="F246" s="2"/>
      <c r="G246" s="6"/>
      <c r="H246" s="6"/>
      <c r="I246" s="6"/>
      <c r="J246" s="6"/>
      <c r="K246" s="131"/>
      <c r="L246" s="131"/>
      <c r="M246" s="131"/>
      <c r="N246" s="131"/>
      <c r="O246" s="131"/>
      <c r="P246" s="131"/>
      <c r="Q246" s="131"/>
      <c r="R246" s="131"/>
      <c r="S246" s="131"/>
      <c r="T246" s="131"/>
      <c r="U246" s="131"/>
      <c r="V246" s="131"/>
      <c r="W246" s="131"/>
      <c r="X246" s="131"/>
      <c r="Y246" s="131"/>
      <c r="Z246" s="131"/>
      <c r="AA246" s="131"/>
      <c r="AB246" s="131"/>
      <c r="AC246" s="131"/>
    </row>
    <row r="247" ht="15.75" customHeight="1">
      <c r="A247" s="130"/>
      <c r="B247" s="2"/>
      <c r="C247" s="2"/>
      <c r="D247" s="2"/>
      <c r="E247" s="2"/>
      <c r="F247" s="2"/>
      <c r="G247" s="6"/>
      <c r="H247" s="6"/>
      <c r="I247" s="6"/>
      <c r="J247" s="6"/>
      <c r="K247" s="131"/>
      <c r="L247" s="131"/>
      <c r="M247" s="131"/>
      <c r="N247" s="131"/>
      <c r="O247" s="131"/>
      <c r="P247" s="131"/>
      <c r="Q247" s="131"/>
      <c r="R247" s="131"/>
      <c r="S247" s="131"/>
      <c r="T247" s="131"/>
      <c r="U247" s="131"/>
      <c r="V247" s="131"/>
      <c r="W247" s="131"/>
      <c r="X247" s="131"/>
      <c r="Y247" s="131"/>
      <c r="Z247" s="131"/>
      <c r="AA247" s="131"/>
      <c r="AB247" s="131"/>
      <c r="AC247" s="131"/>
    </row>
    <row r="248" ht="15.75" customHeight="1">
      <c r="A248" s="130"/>
      <c r="B248" s="2"/>
      <c r="C248" s="2"/>
      <c r="D248" s="2"/>
      <c r="E248" s="2"/>
      <c r="F248" s="2"/>
      <c r="G248" s="6"/>
      <c r="H248" s="6"/>
      <c r="I248" s="6"/>
      <c r="J248" s="6"/>
      <c r="K248" s="131"/>
      <c r="L248" s="131"/>
      <c r="M248" s="131"/>
      <c r="N248" s="131"/>
      <c r="O248" s="131"/>
      <c r="P248" s="131"/>
      <c r="Q248" s="131"/>
      <c r="R248" s="131"/>
      <c r="S248" s="131"/>
      <c r="T248" s="131"/>
      <c r="U248" s="131"/>
      <c r="V248" s="131"/>
      <c r="W248" s="131"/>
      <c r="X248" s="131"/>
      <c r="Y248" s="131"/>
      <c r="Z248" s="131"/>
      <c r="AA248" s="131"/>
      <c r="AB248" s="131"/>
      <c r="AC248" s="131"/>
    </row>
    <row r="249" ht="15.75" customHeight="1">
      <c r="A249" s="130"/>
      <c r="B249" s="2"/>
      <c r="C249" s="2"/>
      <c r="D249" s="2"/>
      <c r="E249" s="2"/>
      <c r="F249" s="2"/>
      <c r="G249" s="6"/>
      <c r="H249" s="6"/>
      <c r="I249" s="6"/>
      <c r="J249" s="6"/>
      <c r="K249" s="131"/>
      <c r="L249" s="131"/>
      <c r="M249" s="131"/>
      <c r="N249" s="131"/>
      <c r="O249" s="131"/>
      <c r="P249" s="131"/>
      <c r="Q249" s="131"/>
      <c r="R249" s="131"/>
      <c r="S249" s="131"/>
      <c r="T249" s="131"/>
      <c r="U249" s="131"/>
      <c r="V249" s="131"/>
      <c r="W249" s="131"/>
      <c r="X249" s="131"/>
      <c r="Y249" s="131"/>
      <c r="Z249" s="131"/>
      <c r="AA249" s="131"/>
      <c r="AB249" s="131"/>
      <c r="AC249" s="131"/>
    </row>
    <row r="250" ht="15.75" customHeight="1">
      <c r="A250" s="130"/>
      <c r="B250" s="2"/>
      <c r="C250" s="2"/>
      <c r="D250" s="2"/>
      <c r="E250" s="2"/>
      <c r="F250" s="2"/>
      <c r="G250" s="6"/>
      <c r="H250" s="6"/>
      <c r="I250" s="6"/>
      <c r="J250" s="6"/>
      <c r="K250" s="131"/>
      <c r="L250" s="131"/>
      <c r="M250" s="131"/>
      <c r="N250" s="131"/>
      <c r="O250" s="131"/>
      <c r="P250" s="131"/>
      <c r="Q250" s="131"/>
      <c r="R250" s="131"/>
      <c r="S250" s="131"/>
      <c r="T250" s="131"/>
      <c r="U250" s="131"/>
      <c r="V250" s="131"/>
      <c r="W250" s="131"/>
      <c r="X250" s="131"/>
      <c r="Y250" s="131"/>
      <c r="Z250" s="131"/>
      <c r="AA250" s="131"/>
      <c r="AB250" s="131"/>
      <c r="AC250" s="131"/>
    </row>
    <row r="251" ht="15.75" customHeight="1">
      <c r="A251" s="130"/>
      <c r="B251" s="2"/>
      <c r="C251" s="2"/>
      <c r="D251" s="2"/>
      <c r="E251" s="2"/>
      <c r="F251" s="2"/>
      <c r="G251" s="6"/>
      <c r="H251" s="6"/>
      <c r="I251" s="6"/>
      <c r="J251" s="6"/>
      <c r="K251" s="131"/>
      <c r="L251" s="131"/>
      <c r="M251" s="131"/>
      <c r="N251" s="131"/>
      <c r="O251" s="131"/>
      <c r="P251" s="131"/>
      <c r="Q251" s="131"/>
      <c r="R251" s="131"/>
      <c r="S251" s="131"/>
      <c r="T251" s="131"/>
      <c r="U251" s="131"/>
      <c r="V251" s="131"/>
      <c r="W251" s="131"/>
      <c r="X251" s="131"/>
      <c r="Y251" s="131"/>
      <c r="Z251" s="131"/>
      <c r="AA251" s="131"/>
      <c r="AB251" s="131"/>
      <c r="AC251" s="131"/>
    </row>
    <row r="252" ht="15.75" customHeight="1">
      <c r="A252" s="130"/>
      <c r="B252" s="2"/>
      <c r="C252" s="2"/>
      <c r="D252" s="2"/>
      <c r="E252" s="2"/>
      <c r="F252" s="2"/>
      <c r="G252" s="6"/>
      <c r="H252" s="6"/>
      <c r="I252" s="6"/>
      <c r="J252" s="6"/>
      <c r="K252" s="131"/>
      <c r="L252" s="131"/>
      <c r="M252" s="131"/>
      <c r="N252" s="131"/>
      <c r="O252" s="131"/>
      <c r="P252" s="131"/>
      <c r="Q252" s="131"/>
      <c r="R252" s="131"/>
      <c r="S252" s="131"/>
      <c r="T252" s="131"/>
      <c r="U252" s="131"/>
      <c r="V252" s="131"/>
      <c r="W252" s="131"/>
      <c r="X252" s="131"/>
      <c r="Y252" s="131"/>
      <c r="Z252" s="131"/>
      <c r="AA252" s="131"/>
      <c r="AB252" s="131"/>
      <c r="AC252" s="131"/>
    </row>
    <row r="253" ht="15.75" customHeight="1">
      <c r="A253" s="130"/>
      <c r="B253" s="2"/>
      <c r="C253" s="2"/>
      <c r="D253" s="2"/>
      <c r="E253" s="2"/>
      <c r="F253" s="2"/>
      <c r="G253" s="6"/>
      <c r="H253" s="6"/>
      <c r="I253" s="6"/>
      <c r="J253" s="6"/>
      <c r="K253" s="131"/>
      <c r="L253" s="131"/>
      <c r="M253" s="131"/>
      <c r="N253" s="131"/>
      <c r="O253" s="131"/>
      <c r="P253" s="131"/>
      <c r="Q253" s="131"/>
      <c r="R253" s="131"/>
      <c r="S253" s="131"/>
      <c r="T253" s="131"/>
      <c r="U253" s="131"/>
      <c r="V253" s="131"/>
      <c r="W253" s="131"/>
      <c r="X253" s="131"/>
      <c r="Y253" s="131"/>
      <c r="Z253" s="131"/>
      <c r="AA253" s="131"/>
      <c r="AB253" s="131"/>
      <c r="AC253" s="131"/>
    </row>
    <row r="254" ht="15.75" customHeight="1">
      <c r="A254" s="130"/>
      <c r="B254" s="2"/>
      <c r="C254" s="2"/>
      <c r="D254" s="2"/>
      <c r="E254" s="2"/>
      <c r="F254" s="2"/>
      <c r="G254" s="6"/>
      <c r="H254" s="6"/>
      <c r="I254" s="6"/>
      <c r="J254" s="6"/>
      <c r="K254" s="131"/>
      <c r="L254" s="131"/>
      <c r="M254" s="131"/>
      <c r="N254" s="131"/>
      <c r="O254" s="131"/>
      <c r="P254" s="131"/>
      <c r="Q254" s="131"/>
      <c r="R254" s="131"/>
      <c r="S254" s="131"/>
      <c r="T254" s="131"/>
      <c r="U254" s="131"/>
      <c r="V254" s="131"/>
      <c r="W254" s="131"/>
      <c r="X254" s="131"/>
      <c r="Y254" s="131"/>
      <c r="Z254" s="131"/>
      <c r="AA254" s="131"/>
      <c r="AB254" s="131"/>
      <c r="AC254" s="131"/>
    </row>
    <row r="255" ht="15.75" customHeight="1">
      <c r="A255" s="130"/>
      <c r="B255" s="2"/>
      <c r="C255" s="2"/>
      <c r="D255" s="2"/>
      <c r="E255" s="2"/>
      <c r="F255" s="2"/>
      <c r="G255" s="6"/>
      <c r="H255" s="6"/>
      <c r="I255" s="6"/>
      <c r="J255" s="6"/>
      <c r="K255" s="131"/>
      <c r="L255" s="131"/>
      <c r="M255" s="131"/>
      <c r="N255" s="131"/>
      <c r="O255" s="131"/>
      <c r="P255" s="131"/>
      <c r="Q255" s="131"/>
      <c r="R255" s="131"/>
      <c r="S255" s="131"/>
      <c r="T255" s="131"/>
      <c r="U255" s="131"/>
      <c r="V255" s="131"/>
      <c r="W255" s="131"/>
      <c r="X255" s="131"/>
      <c r="Y255" s="131"/>
      <c r="Z255" s="131"/>
      <c r="AA255" s="131"/>
      <c r="AB255" s="131"/>
      <c r="AC255" s="131"/>
    </row>
    <row r="256" ht="15.75" customHeight="1">
      <c r="A256" s="130"/>
      <c r="B256" s="2"/>
      <c r="C256" s="2"/>
      <c r="D256" s="2"/>
      <c r="E256" s="2"/>
      <c r="F256" s="2"/>
      <c r="G256" s="6"/>
      <c r="H256" s="6"/>
      <c r="I256" s="6"/>
      <c r="J256" s="6"/>
      <c r="K256" s="131"/>
      <c r="L256" s="131"/>
      <c r="M256" s="131"/>
      <c r="N256" s="131"/>
      <c r="O256" s="131"/>
      <c r="P256" s="131"/>
      <c r="Q256" s="131"/>
      <c r="R256" s="131"/>
      <c r="S256" s="131"/>
      <c r="T256" s="131"/>
      <c r="U256" s="131"/>
      <c r="V256" s="131"/>
      <c r="W256" s="131"/>
      <c r="X256" s="131"/>
      <c r="Y256" s="131"/>
      <c r="Z256" s="131"/>
      <c r="AA256" s="131"/>
      <c r="AB256" s="131"/>
      <c r="AC256" s="131"/>
    </row>
    <row r="257" ht="15.75" customHeight="1">
      <c r="A257" s="130"/>
      <c r="B257" s="2"/>
      <c r="C257" s="2"/>
      <c r="D257" s="2"/>
      <c r="E257" s="2"/>
      <c r="F257" s="2"/>
      <c r="G257" s="6"/>
      <c r="H257" s="6"/>
      <c r="I257" s="6"/>
      <c r="J257" s="6"/>
      <c r="K257" s="131"/>
      <c r="L257" s="131"/>
      <c r="M257" s="131"/>
      <c r="N257" s="131"/>
      <c r="O257" s="131"/>
      <c r="P257" s="131"/>
      <c r="Q257" s="131"/>
      <c r="R257" s="131"/>
      <c r="S257" s="131"/>
      <c r="T257" s="131"/>
      <c r="U257" s="131"/>
      <c r="V257" s="131"/>
      <c r="W257" s="131"/>
      <c r="X257" s="131"/>
      <c r="Y257" s="131"/>
      <c r="Z257" s="131"/>
      <c r="AA257" s="131"/>
      <c r="AB257" s="131"/>
      <c r="AC257" s="131"/>
    </row>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0">
    <mergeCell ref="I47:I50"/>
    <mergeCell ref="J47:J50"/>
    <mergeCell ref="H40:H42"/>
    <mergeCell ref="I40:I42"/>
    <mergeCell ref="J40:J42"/>
    <mergeCell ref="H43:H46"/>
    <mergeCell ref="I43:I46"/>
    <mergeCell ref="J43:J46"/>
    <mergeCell ref="H47:H50"/>
    <mergeCell ref="A9:A11"/>
    <mergeCell ref="B9:C9"/>
    <mergeCell ref="H9:H11"/>
    <mergeCell ref="I9:I11"/>
    <mergeCell ref="J9:J11"/>
    <mergeCell ref="B12:C12"/>
    <mergeCell ref="J12:J14"/>
    <mergeCell ref="B15:C15"/>
    <mergeCell ref="H12:H14"/>
    <mergeCell ref="I12:I14"/>
    <mergeCell ref="H15:H17"/>
    <mergeCell ref="I15:I17"/>
    <mergeCell ref="J15:J17"/>
    <mergeCell ref="K15:K17"/>
    <mergeCell ref="H18:H20"/>
    <mergeCell ref="A26:A30"/>
    <mergeCell ref="A31:A34"/>
    <mergeCell ref="A35:A39"/>
    <mergeCell ref="A40:A42"/>
    <mergeCell ref="A43:A46"/>
    <mergeCell ref="A47:A50"/>
    <mergeCell ref="A51:A55"/>
    <mergeCell ref="I18:I20"/>
    <mergeCell ref="J18:J20"/>
    <mergeCell ref="H21:H25"/>
    <mergeCell ref="I21:I25"/>
    <mergeCell ref="J21:J25"/>
    <mergeCell ref="I26:I30"/>
    <mergeCell ref="J26:J30"/>
    <mergeCell ref="B31:C31"/>
    <mergeCell ref="B35:C35"/>
    <mergeCell ref="B40:C40"/>
    <mergeCell ref="B43:C43"/>
    <mergeCell ref="B51:C51"/>
    <mergeCell ref="A12:A14"/>
    <mergeCell ref="A15:A17"/>
    <mergeCell ref="A18:A20"/>
    <mergeCell ref="B18:C18"/>
    <mergeCell ref="A21:A25"/>
    <mergeCell ref="B21:C21"/>
    <mergeCell ref="B26:C26"/>
    <mergeCell ref="H51:H55"/>
    <mergeCell ref="I51:I55"/>
    <mergeCell ref="J51:J55"/>
    <mergeCell ref="H26:H30"/>
    <mergeCell ref="H31:H34"/>
    <mergeCell ref="I31:I34"/>
    <mergeCell ref="J31:J34"/>
    <mergeCell ref="H35:H39"/>
    <mergeCell ref="I35:I39"/>
    <mergeCell ref="J35:J39"/>
  </mergeCells>
  <hyperlinks>
    <hyperlink r:id="rId1" ref="E9"/>
    <hyperlink r:id="rId2" ref="E10"/>
    <hyperlink r:id="rId3" ref="E11"/>
    <hyperlink r:id="rId4" ref="E12"/>
    <hyperlink r:id="rId5" ref="E13"/>
    <hyperlink r:id="rId6" ref="E14"/>
    <hyperlink r:id="rId7" ref="E16"/>
    <hyperlink r:id="rId8" ref="E19"/>
    <hyperlink r:id="rId9" ref="E22"/>
    <hyperlink r:id="rId10" ref="E23"/>
    <hyperlink r:id="rId11" ref="E27"/>
    <hyperlink r:id="rId12" ref="E28"/>
    <hyperlink r:id="rId13" ref="E29"/>
    <hyperlink r:id="rId14" ref="E32"/>
    <hyperlink r:id="rId15" ref="E33"/>
    <hyperlink r:id="rId16" ref="E34"/>
    <hyperlink r:id="rId17" ref="E36"/>
    <hyperlink r:id="rId18" ref="E37"/>
    <hyperlink r:id="rId19" ref="E38"/>
    <hyperlink r:id="rId20" ref="E40"/>
    <hyperlink r:id="rId21" ref="E41"/>
    <hyperlink r:id="rId22" ref="E42"/>
    <hyperlink r:id="rId23" ref="E45"/>
    <hyperlink r:id="rId24" ref="E47"/>
    <hyperlink r:id="rId25" ref="E48"/>
    <hyperlink r:id="rId26" ref="E49"/>
    <hyperlink r:id="rId27" ref="E52"/>
    <hyperlink r:id="rId28" ref="E53"/>
  </hyperlinks>
  <printOptions/>
  <pageMargins bottom="0.75" footer="0.0" header="0.0" left="1.25" right="0.25" top="0.75"/>
  <pageSetup paperSize="5" scale="60" orientation="landscape"/>
  <drawing r:id="rId2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4.88"/>
    <col customWidth="1" min="2" max="2" width="63.88"/>
    <col customWidth="1" min="3" max="3" width="13.75"/>
    <col customWidth="1" min="4" max="4" width="20.75"/>
    <col customWidth="1" min="5" max="6" width="23.5"/>
    <col customWidth="1" min="7" max="8" width="51.38"/>
    <col customWidth="1" min="9" max="9" width="33.88"/>
    <col customWidth="1" min="10" max="10" width="31.63"/>
  </cols>
  <sheetData>
    <row r="1" ht="8.25" customHeight="1">
      <c r="A1" s="130"/>
      <c r="B1" s="2"/>
      <c r="C1" s="2"/>
      <c r="D1" s="2"/>
      <c r="E1" s="2"/>
      <c r="F1" s="2"/>
      <c r="G1" s="337"/>
      <c r="H1" s="337"/>
      <c r="I1" s="337"/>
      <c r="J1" s="337"/>
      <c r="K1" s="6"/>
      <c r="L1" s="6"/>
      <c r="M1" s="6"/>
      <c r="N1" s="6"/>
      <c r="O1" s="6"/>
      <c r="P1" s="6"/>
      <c r="Q1" s="6"/>
      <c r="R1" s="6"/>
      <c r="S1" s="6"/>
      <c r="T1" s="6"/>
      <c r="U1" s="6"/>
      <c r="V1" s="6"/>
      <c r="W1" s="6"/>
      <c r="X1" s="6"/>
      <c r="Y1" s="6"/>
      <c r="Z1" s="6"/>
    </row>
    <row r="2" ht="6.0" customHeight="1">
      <c r="A2" s="130"/>
      <c r="B2" s="2"/>
      <c r="C2" s="2"/>
      <c r="D2" s="2"/>
      <c r="E2" s="2"/>
      <c r="F2" s="2"/>
      <c r="G2" s="337"/>
      <c r="H2" s="337"/>
      <c r="I2" s="337"/>
      <c r="J2" s="337"/>
      <c r="K2" s="6"/>
      <c r="L2" s="6"/>
      <c r="M2" s="6"/>
      <c r="N2" s="6"/>
      <c r="O2" s="6"/>
      <c r="P2" s="6"/>
      <c r="Q2" s="6"/>
      <c r="R2" s="6"/>
      <c r="S2" s="6"/>
      <c r="T2" s="6"/>
      <c r="U2" s="6"/>
      <c r="V2" s="6"/>
      <c r="W2" s="6"/>
      <c r="X2" s="6"/>
      <c r="Y2" s="6"/>
      <c r="Z2" s="6"/>
    </row>
    <row r="3" ht="15.75" customHeight="1">
      <c r="A3" s="130"/>
      <c r="B3" s="2"/>
      <c r="C3" s="2"/>
      <c r="D3" s="2"/>
      <c r="E3" s="2"/>
      <c r="F3" s="2"/>
      <c r="G3" s="337"/>
      <c r="H3" s="337"/>
      <c r="I3" s="337"/>
      <c r="J3" s="337"/>
      <c r="K3" s="6"/>
      <c r="L3" s="6"/>
      <c r="M3" s="6"/>
      <c r="N3" s="6"/>
      <c r="O3" s="6"/>
      <c r="P3" s="6"/>
      <c r="Q3" s="6"/>
      <c r="R3" s="6"/>
      <c r="S3" s="6"/>
      <c r="T3" s="6"/>
      <c r="U3" s="6"/>
      <c r="V3" s="6"/>
      <c r="W3" s="6"/>
      <c r="X3" s="6"/>
      <c r="Y3" s="6"/>
      <c r="Z3" s="6"/>
    </row>
    <row r="4" ht="15.75" customHeight="1">
      <c r="A4" s="130"/>
      <c r="B4" s="2"/>
      <c r="C4" s="2"/>
      <c r="D4" s="2"/>
      <c r="E4" s="2"/>
      <c r="F4" s="2"/>
      <c r="G4" s="337"/>
      <c r="H4" s="337"/>
      <c r="I4" s="337"/>
      <c r="J4" s="337"/>
      <c r="K4" s="6"/>
      <c r="L4" s="6"/>
      <c r="M4" s="6"/>
      <c r="N4" s="6"/>
      <c r="O4" s="6"/>
      <c r="P4" s="6"/>
      <c r="Q4" s="6"/>
      <c r="R4" s="6"/>
      <c r="S4" s="6"/>
      <c r="T4" s="6"/>
      <c r="U4" s="6"/>
      <c r="V4" s="6"/>
      <c r="W4" s="6"/>
      <c r="X4" s="6"/>
      <c r="Y4" s="6"/>
      <c r="Z4" s="6"/>
    </row>
    <row r="5" ht="15.75" customHeight="1">
      <c r="A5" s="130"/>
      <c r="B5" s="2"/>
      <c r="C5" s="2"/>
      <c r="D5" s="2"/>
      <c r="E5" s="2"/>
      <c r="F5" s="2"/>
      <c r="G5" s="337"/>
      <c r="H5" s="337"/>
      <c r="I5" s="337"/>
      <c r="J5" s="337"/>
      <c r="K5" s="6"/>
      <c r="L5" s="6"/>
      <c r="M5" s="6"/>
      <c r="N5" s="6"/>
      <c r="O5" s="6"/>
      <c r="P5" s="6"/>
      <c r="Q5" s="6"/>
      <c r="R5" s="6"/>
      <c r="S5" s="6"/>
      <c r="T5" s="6"/>
      <c r="U5" s="6"/>
      <c r="V5" s="6"/>
      <c r="W5" s="6"/>
      <c r="X5" s="6"/>
      <c r="Y5" s="6"/>
      <c r="Z5" s="6"/>
    </row>
    <row r="6" ht="15.75" customHeight="1">
      <c r="A6" s="130"/>
      <c r="B6" s="2"/>
      <c r="C6" s="2"/>
      <c r="D6" s="2"/>
      <c r="E6" s="2"/>
      <c r="F6" s="2"/>
      <c r="G6" s="337"/>
      <c r="H6" s="337"/>
      <c r="I6" s="337"/>
      <c r="J6" s="337"/>
      <c r="K6" s="6"/>
      <c r="L6" s="6"/>
      <c r="M6" s="6"/>
      <c r="N6" s="6"/>
      <c r="O6" s="6"/>
      <c r="P6" s="6"/>
      <c r="Q6" s="6"/>
      <c r="R6" s="6"/>
      <c r="S6" s="6"/>
      <c r="T6" s="6"/>
      <c r="U6" s="6"/>
      <c r="V6" s="6"/>
      <c r="W6" s="6"/>
      <c r="X6" s="6"/>
      <c r="Y6" s="6"/>
      <c r="Z6" s="6"/>
    </row>
    <row r="7" ht="18.75" customHeight="1">
      <c r="A7" s="130"/>
      <c r="B7" s="7"/>
      <c r="C7" s="7"/>
      <c r="D7" s="7"/>
      <c r="E7" s="7"/>
      <c r="F7" s="7"/>
      <c r="G7" s="337"/>
      <c r="H7" s="337"/>
      <c r="I7" s="337"/>
      <c r="J7" s="337"/>
      <c r="K7" s="6"/>
      <c r="L7" s="6"/>
      <c r="M7" s="6"/>
      <c r="N7" s="6"/>
      <c r="O7" s="6"/>
      <c r="P7" s="6"/>
      <c r="Q7" s="6"/>
      <c r="R7" s="6"/>
      <c r="S7" s="6"/>
      <c r="T7" s="6"/>
      <c r="U7" s="6"/>
      <c r="V7" s="6"/>
      <c r="W7" s="6"/>
      <c r="X7" s="6"/>
      <c r="Y7" s="6"/>
      <c r="Z7" s="6"/>
    </row>
    <row r="8" ht="18.75" customHeight="1">
      <c r="A8" s="338"/>
      <c r="B8" s="7"/>
      <c r="C8" s="7"/>
      <c r="D8" s="7"/>
      <c r="E8" s="7"/>
      <c r="F8" s="7"/>
      <c r="G8" s="337"/>
      <c r="H8" s="337"/>
      <c r="I8" s="337"/>
      <c r="J8" s="337"/>
      <c r="K8" s="6"/>
      <c r="L8" s="6"/>
      <c r="M8" s="6"/>
      <c r="N8" s="6"/>
      <c r="O8" s="6"/>
      <c r="P8" s="6"/>
      <c r="Q8" s="6"/>
      <c r="R8" s="6"/>
      <c r="S8" s="6"/>
      <c r="T8" s="6"/>
      <c r="U8" s="6"/>
      <c r="V8" s="6"/>
      <c r="W8" s="6"/>
      <c r="X8" s="6"/>
      <c r="Y8" s="6"/>
      <c r="Z8" s="6"/>
    </row>
    <row r="9" ht="37.5" customHeight="1">
      <c r="A9" s="253" t="s">
        <v>0</v>
      </c>
      <c r="B9" s="255" t="s">
        <v>1072</v>
      </c>
      <c r="C9" s="255" t="s">
        <v>2</v>
      </c>
      <c r="D9" s="12" t="s">
        <v>3</v>
      </c>
      <c r="E9" s="12" t="s">
        <v>4</v>
      </c>
      <c r="F9" s="12" t="s">
        <v>5</v>
      </c>
      <c r="G9" s="12" t="s">
        <v>6</v>
      </c>
      <c r="H9" s="316" t="s">
        <v>7</v>
      </c>
      <c r="I9" s="316" t="s">
        <v>8</v>
      </c>
      <c r="J9" s="316" t="s">
        <v>9</v>
      </c>
      <c r="K9" s="339"/>
      <c r="L9" s="339"/>
      <c r="M9" s="339"/>
      <c r="N9" s="339"/>
      <c r="O9" s="339"/>
      <c r="P9" s="339"/>
      <c r="Q9" s="339"/>
      <c r="R9" s="339"/>
      <c r="S9" s="339"/>
      <c r="T9" s="339"/>
      <c r="U9" s="339"/>
      <c r="V9" s="339"/>
      <c r="W9" s="339"/>
      <c r="X9" s="339"/>
      <c r="Y9" s="339"/>
      <c r="Z9" s="339"/>
    </row>
    <row r="10" ht="21.0" customHeight="1">
      <c r="A10" s="137">
        <v>1.0</v>
      </c>
      <c r="B10" s="19" t="s">
        <v>1073</v>
      </c>
      <c r="C10" s="29"/>
      <c r="D10" s="301"/>
      <c r="E10" s="93" t="s">
        <v>1074</v>
      </c>
      <c r="F10" s="29"/>
      <c r="G10" s="59"/>
      <c r="H10" s="302" t="s">
        <v>1075</v>
      </c>
      <c r="I10" s="164" t="s">
        <v>1076</v>
      </c>
      <c r="J10" s="302" t="s">
        <v>1077</v>
      </c>
      <c r="K10" s="6"/>
      <c r="L10" s="6"/>
      <c r="M10" s="6"/>
      <c r="N10" s="6"/>
      <c r="O10" s="6"/>
      <c r="P10" s="6"/>
      <c r="Q10" s="6"/>
      <c r="R10" s="6"/>
      <c r="S10" s="6"/>
      <c r="T10" s="6"/>
      <c r="U10" s="6"/>
      <c r="V10" s="6"/>
      <c r="W10" s="6"/>
      <c r="X10" s="6"/>
      <c r="Y10" s="6"/>
      <c r="Z10" s="6"/>
    </row>
    <row r="11" ht="21.0" customHeight="1">
      <c r="A11" s="24"/>
      <c r="B11" s="51" t="s">
        <v>1078</v>
      </c>
      <c r="C11" s="29">
        <v>100.0</v>
      </c>
      <c r="D11" s="200">
        <v>100.0</v>
      </c>
      <c r="E11" s="93" t="s">
        <v>1079</v>
      </c>
      <c r="F11" s="29">
        <v>100.0</v>
      </c>
      <c r="G11" s="59"/>
      <c r="H11" s="24"/>
      <c r="I11" s="24"/>
      <c r="J11" s="24"/>
      <c r="K11" s="6"/>
      <c r="L11" s="6"/>
      <c r="M11" s="6"/>
      <c r="N11" s="6"/>
      <c r="O11" s="6"/>
      <c r="P11" s="6"/>
      <c r="Q11" s="6"/>
      <c r="R11" s="6"/>
      <c r="S11" s="6"/>
      <c r="T11" s="6"/>
      <c r="U11" s="6"/>
      <c r="V11" s="6"/>
      <c r="W11" s="6"/>
      <c r="X11" s="6"/>
      <c r="Y11" s="6"/>
      <c r="Z11" s="6"/>
    </row>
    <row r="12" ht="21.0" customHeight="1">
      <c r="A12" s="24"/>
      <c r="B12" s="19" t="s">
        <v>1080</v>
      </c>
      <c r="C12" s="111">
        <v>0.0</v>
      </c>
      <c r="D12" s="200"/>
      <c r="E12" s="93" t="s">
        <v>1081</v>
      </c>
      <c r="F12" s="29"/>
      <c r="G12" s="59"/>
      <c r="H12" s="32"/>
      <c r="I12" s="32"/>
      <c r="J12" s="32"/>
      <c r="K12" s="6"/>
      <c r="L12" s="6"/>
      <c r="M12" s="6"/>
      <c r="N12" s="6"/>
      <c r="O12" s="6"/>
      <c r="P12" s="6"/>
      <c r="Q12" s="6"/>
      <c r="R12" s="6"/>
      <c r="S12" s="6"/>
      <c r="T12" s="6"/>
      <c r="U12" s="6"/>
      <c r="V12" s="6"/>
      <c r="W12" s="6"/>
      <c r="X12" s="6"/>
      <c r="Y12" s="6"/>
      <c r="Z12" s="6"/>
    </row>
    <row r="13" ht="67.5" customHeight="1">
      <c r="A13" s="137">
        <v>2.0</v>
      </c>
      <c r="B13" s="148" t="s">
        <v>1082</v>
      </c>
      <c r="C13" s="16"/>
      <c r="D13" s="238"/>
      <c r="E13" s="93" t="s">
        <v>1083</v>
      </c>
      <c r="G13" s="59"/>
      <c r="H13" s="302" t="s">
        <v>1084</v>
      </c>
      <c r="I13" s="302" t="s">
        <v>1085</v>
      </c>
      <c r="J13" s="302" t="s">
        <v>1086</v>
      </c>
      <c r="K13" s="6"/>
      <c r="L13" s="6"/>
      <c r="M13" s="6"/>
      <c r="N13" s="6"/>
      <c r="O13" s="6"/>
      <c r="P13" s="6"/>
      <c r="Q13" s="6"/>
      <c r="R13" s="6"/>
      <c r="S13" s="6"/>
      <c r="T13" s="6"/>
      <c r="U13" s="6"/>
      <c r="V13" s="6"/>
      <c r="W13" s="6"/>
      <c r="X13" s="6"/>
      <c r="Y13" s="6"/>
      <c r="Z13" s="6"/>
    </row>
    <row r="14" ht="21.0" customHeight="1">
      <c r="A14" s="24"/>
      <c r="B14" s="102" t="s">
        <v>88</v>
      </c>
      <c r="C14" s="29">
        <v>100.0</v>
      </c>
      <c r="D14" s="200">
        <v>100.0</v>
      </c>
      <c r="E14" s="93" t="s">
        <v>1087</v>
      </c>
      <c r="F14" s="86">
        <v>100.0</v>
      </c>
      <c r="G14" s="59"/>
      <c r="H14" s="24"/>
      <c r="I14" s="24"/>
      <c r="J14" s="24"/>
      <c r="K14" s="6"/>
      <c r="L14" s="6"/>
      <c r="M14" s="6"/>
      <c r="N14" s="6"/>
      <c r="O14" s="6"/>
      <c r="P14" s="6"/>
      <c r="Q14" s="6"/>
      <c r="R14" s="6"/>
      <c r="S14" s="6"/>
      <c r="T14" s="6"/>
      <c r="U14" s="6"/>
      <c r="V14" s="6"/>
      <c r="W14" s="6"/>
      <c r="X14" s="6"/>
      <c r="Y14" s="6"/>
      <c r="Z14" s="6"/>
    </row>
    <row r="15" ht="21.0" customHeight="1">
      <c r="A15" s="32"/>
      <c r="B15" s="102" t="s">
        <v>1088</v>
      </c>
      <c r="C15" s="29">
        <v>0.0</v>
      </c>
      <c r="D15" s="200"/>
      <c r="E15" s="93" t="s">
        <v>1089</v>
      </c>
      <c r="F15" s="29"/>
      <c r="G15" s="59"/>
      <c r="H15" s="32"/>
      <c r="I15" s="32"/>
      <c r="J15" s="32"/>
      <c r="K15" s="6"/>
      <c r="L15" s="6"/>
      <c r="M15" s="6"/>
      <c r="N15" s="6"/>
      <c r="O15" s="6"/>
      <c r="P15" s="6"/>
      <c r="Q15" s="6"/>
      <c r="R15" s="6"/>
      <c r="S15" s="6"/>
      <c r="T15" s="6"/>
      <c r="U15" s="6"/>
      <c r="V15" s="6"/>
      <c r="W15" s="6"/>
      <c r="X15" s="6"/>
      <c r="Y15" s="6"/>
      <c r="Z15" s="6"/>
    </row>
    <row r="16" ht="28.5" customHeight="1">
      <c r="A16" s="137">
        <v>3.0</v>
      </c>
      <c r="B16" s="340" t="s">
        <v>1090</v>
      </c>
      <c r="C16" s="16"/>
      <c r="D16" s="238"/>
      <c r="E16" s="93" t="s">
        <v>1091</v>
      </c>
      <c r="F16" s="158"/>
      <c r="G16" s="59"/>
      <c r="H16" s="302" t="s">
        <v>1092</v>
      </c>
      <c r="I16" s="302" t="s">
        <v>1093</v>
      </c>
      <c r="J16" s="302" t="s">
        <v>1094</v>
      </c>
      <c r="K16" s="6"/>
      <c r="L16" s="6"/>
      <c r="M16" s="6"/>
      <c r="N16" s="6"/>
      <c r="O16" s="6"/>
      <c r="P16" s="6"/>
      <c r="Q16" s="6"/>
      <c r="R16" s="6"/>
      <c r="S16" s="6"/>
      <c r="T16" s="6"/>
      <c r="U16" s="6"/>
      <c r="V16" s="6"/>
      <c r="W16" s="6"/>
      <c r="X16" s="6"/>
      <c r="Y16" s="6"/>
      <c r="Z16" s="6"/>
    </row>
    <row r="17" ht="21.0" customHeight="1">
      <c r="A17" s="24"/>
      <c r="B17" s="102" t="s">
        <v>1095</v>
      </c>
      <c r="C17" s="29">
        <v>100.0</v>
      </c>
      <c r="D17" s="200">
        <v>100.0</v>
      </c>
      <c r="E17" s="93" t="s">
        <v>1096</v>
      </c>
      <c r="F17" s="29">
        <v>100.0</v>
      </c>
      <c r="G17" s="59"/>
      <c r="H17" s="24"/>
      <c r="I17" s="24"/>
      <c r="J17" s="24"/>
      <c r="K17" s="6"/>
      <c r="L17" s="6"/>
      <c r="M17" s="6"/>
      <c r="N17" s="6"/>
      <c r="O17" s="6"/>
      <c r="P17" s="6"/>
      <c r="Q17" s="6"/>
      <c r="R17" s="6"/>
      <c r="S17" s="6"/>
      <c r="T17" s="6"/>
      <c r="U17" s="6"/>
      <c r="V17" s="6"/>
      <c r="W17" s="6"/>
      <c r="X17" s="6"/>
      <c r="Y17" s="6"/>
      <c r="Z17" s="6"/>
    </row>
    <row r="18" ht="21.0" customHeight="1">
      <c r="A18" s="32"/>
      <c r="B18" s="102" t="s">
        <v>1097</v>
      </c>
      <c r="C18" s="29">
        <v>0.0</v>
      </c>
      <c r="D18" s="200"/>
      <c r="E18" s="93" t="s">
        <v>1098</v>
      </c>
      <c r="F18" s="29"/>
      <c r="G18" s="59"/>
      <c r="H18" s="32"/>
      <c r="I18" s="32"/>
      <c r="J18" s="32"/>
      <c r="K18" s="6"/>
      <c r="L18" s="6"/>
      <c r="M18" s="6"/>
      <c r="N18" s="6"/>
      <c r="O18" s="6"/>
      <c r="P18" s="6"/>
      <c r="Q18" s="6"/>
      <c r="R18" s="6"/>
      <c r="S18" s="6"/>
      <c r="T18" s="6"/>
      <c r="U18" s="6"/>
      <c r="V18" s="6"/>
      <c r="W18" s="6"/>
      <c r="X18" s="6"/>
      <c r="Y18" s="6"/>
      <c r="Z18" s="6"/>
    </row>
    <row r="19" ht="40.5" customHeight="1">
      <c r="A19" s="137">
        <v>4.0</v>
      </c>
      <c r="B19" s="148" t="s">
        <v>1099</v>
      </c>
      <c r="C19" s="16"/>
      <c r="D19" s="225"/>
      <c r="E19" s="93" t="s">
        <v>1100</v>
      </c>
      <c r="F19" s="59"/>
      <c r="G19" s="59"/>
      <c r="H19" s="302" t="s">
        <v>1101</v>
      </c>
      <c r="I19" s="302" t="s">
        <v>1102</v>
      </c>
      <c r="J19" s="302" t="s">
        <v>1103</v>
      </c>
      <c r="K19" s="6"/>
      <c r="L19" s="6"/>
      <c r="M19" s="6"/>
      <c r="N19" s="6"/>
      <c r="O19" s="6"/>
      <c r="P19" s="6"/>
      <c r="Q19" s="6"/>
      <c r="R19" s="6"/>
      <c r="S19" s="6"/>
      <c r="T19" s="6"/>
      <c r="U19" s="6"/>
      <c r="V19" s="6"/>
      <c r="W19" s="6"/>
      <c r="X19" s="6"/>
      <c r="Y19" s="6"/>
      <c r="Z19" s="6"/>
    </row>
    <row r="20" ht="36.0" customHeight="1">
      <c r="A20" s="24"/>
      <c r="B20" s="51" t="s">
        <v>1104</v>
      </c>
      <c r="C20" s="29">
        <v>100.0</v>
      </c>
      <c r="D20" s="200">
        <v>100.0</v>
      </c>
      <c r="E20" s="93" t="s">
        <v>1105</v>
      </c>
      <c r="F20" s="29">
        <v>0.0</v>
      </c>
      <c r="G20" s="59"/>
      <c r="H20" s="24"/>
      <c r="I20" s="24"/>
      <c r="J20" s="24"/>
      <c r="K20" s="6"/>
      <c r="L20" s="6"/>
      <c r="M20" s="6"/>
      <c r="N20" s="6"/>
      <c r="O20" s="6"/>
      <c r="P20" s="6"/>
      <c r="Q20" s="6"/>
      <c r="R20" s="6"/>
      <c r="S20" s="6"/>
      <c r="T20" s="6"/>
      <c r="U20" s="6"/>
      <c r="V20" s="6"/>
      <c r="W20" s="6"/>
      <c r="X20" s="6"/>
      <c r="Y20" s="6"/>
      <c r="Z20" s="6"/>
    </row>
    <row r="21" ht="21.0" customHeight="1">
      <c r="A21" s="32"/>
      <c r="B21" s="51" t="s">
        <v>1106</v>
      </c>
      <c r="C21" s="29">
        <v>0.0</v>
      </c>
      <c r="D21" s="200"/>
      <c r="E21" s="93" t="s">
        <v>1107</v>
      </c>
      <c r="F21" s="29"/>
      <c r="G21" s="59"/>
      <c r="H21" s="32"/>
      <c r="I21" s="32"/>
      <c r="J21" s="32"/>
      <c r="K21" s="6"/>
      <c r="L21" s="6"/>
      <c r="M21" s="6"/>
      <c r="N21" s="6"/>
      <c r="O21" s="6"/>
      <c r="P21" s="6"/>
      <c r="Q21" s="6"/>
      <c r="R21" s="6"/>
      <c r="S21" s="6"/>
      <c r="T21" s="6"/>
      <c r="U21" s="6"/>
      <c r="V21" s="6"/>
      <c r="W21" s="6"/>
      <c r="X21" s="6"/>
      <c r="Y21" s="6"/>
      <c r="Z21" s="6"/>
    </row>
    <row r="22" ht="56.25" customHeight="1">
      <c r="A22" s="137">
        <v>5.0</v>
      </c>
      <c r="B22" s="340" t="s">
        <v>1108</v>
      </c>
      <c r="C22" s="16"/>
      <c r="D22" s="238"/>
      <c r="E22" s="93" t="s">
        <v>1109</v>
      </c>
      <c r="F22" s="86"/>
      <c r="G22" s="59"/>
      <c r="H22" s="302" t="s">
        <v>1110</v>
      </c>
      <c r="I22" s="302" t="s">
        <v>1111</v>
      </c>
      <c r="J22" s="302" t="s">
        <v>1112</v>
      </c>
      <c r="K22" s="6"/>
      <c r="L22" s="6"/>
      <c r="M22" s="6"/>
      <c r="N22" s="6"/>
      <c r="O22" s="6"/>
      <c r="P22" s="6"/>
      <c r="Q22" s="6"/>
      <c r="R22" s="6"/>
      <c r="S22" s="6"/>
      <c r="T22" s="6"/>
      <c r="U22" s="6"/>
      <c r="V22" s="6"/>
      <c r="W22" s="6"/>
      <c r="X22" s="6"/>
      <c r="Y22" s="6"/>
      <c r="Z22" s="6"/>
    </row>
    <row r="23" ht="21.0" customHeight="1">
      <c r="A23" s="24"/>
      <c r="B23" s="59" t="s">
        <v>1113</v>
      </c>
      <c r="C23" s="29">
        <v>100.0</v>
      </c>
      <c r="D23" s="225">
        <v>100.0</v>
      </c>
      <c r="E23" s="93" t="s">
        <v>1114</v>
      </c>
      <c r="F23" s="29">
        <v>100.0</v>
      </c>
      <c r="G23" s="59"/>
      <c r="H23" s="24"/>
      <c r="I23" s="24"/>
      <c r="J23" s="24"/>
      <c r="K23" s="6"/>
      <c r="L23" s="6"/>
      <c r="M23" s="6"/>
      <c r="N23" s="6"/>
      <c r="O23" s="6"/>
      <c r="P23" s="6"/>
      <c r="Q23" s="6"/>
      <c r="R23" s="6"/>
      <c r="S23" s="6"/>
      <c r="T23" s="6"/>
      <c r="U23" s="6"/>
      <c r="V23" s="6"/>
      <c r="W23" s="6"/>
      <c r="X23" s="6"/>
      <c r="Y23" s="6"/>
      <c r="Z23" s="6"/>
    </row>
    <row r="24" ht="21.0" customHeight="1">
      <c r="A24" s="32"/>
      <c r="B24" s="59" t="s">
        <v>1115</v>
      </c>
      <c r="C24" s="29">
        <v>0.0</v>
      </c>
      <c r="D24" s="200"/>
      <c r="E24" s="93" t="s">
        <v>1116</v>
      </c>
      <c r="F24" s="29"/>
      <c r="G24" s="59"/>
      <c r="H24" s="32"/>
      <c r="I24" s="32"/>
      <c r="J24" s="32"/>
      <c r="K24" s="6"/>
      <c r="L24" s="6"/>
      <c r="M24" s="6"/>
      <c r="N24" s="6"/>
      <c r="O24" s="6"/>
      <c r="P24" s="6"/>
      <c r="Q24" s="6"/>
      <c r="R24" s="6"/>
      <c r="S24" s="6"/>
      <c r="T24" s="6"/>
      <c r="U24" s="6"/>
      <c r="V24" s="6"/>
      <c r="W24" s="6"/>
      <c r="X24" s="6"/>
      <c r="Y24" s="6"/>
      <c r="Z24" s="6"/>
    </row>
    <row r="25" ht="27.0" customHeight="1">
      <c r="A25" s="137">
        <v>6.0</v>
      </c>
      <c r="B25" s="148" t="s">
        <v>1117</v>
      </c>
      <c r="C25" s="16"/>
      <c r="D25" s="341"/>
      <c r="E25" s="342"/>
      <c r="F25" s="207"/>
      <c r="G25" s="302"/>
      <c r="H25" s="302" t="s">
        <v>1118</v>
      </c>
      <c r="I25" s="164" t="s">
        <v>1076</v>
      </c>
      <c r="J25" s="302" t="s">
        <v>1119</v>
      </c>
      <c r="K25" s="6"/>
      <c r="L25" s="6"/>
      <c r="M25" s="6"/>
      <c r="N25" s="6"/>
      <c r="O25" s="6"/>
      <c r="P25" s="6"/>
      <c r="Q25" s="6"/>
      <c r="R25" s="6"/>
      <c r="S25" s="6"/>
      <c r="T25" s="6"/>
      <c r="U25" s="6"/>
      <c r="V25" s="6"/>
      <c r="W25" s="6"/>
      <c r="X25" s="6"/>
      <c r="Y25" s="6"/>
      <c r="Z25" s="6"/>
    </row>
    <row r="26" ht="21.0" customHeight="1">
      <c r="A26" s="24"/>
      <c r="B26" s="102" t="s">
        <v>1120</v>
      </c>
      <c r="C26" s="29">
        <v>100.0</v>
      </c>
      <c r="D26" s="343">
        <v>100.0</v>
      </c>
      <c r="E26" s="93" t="s">
        <v>1121</v>
      </c>
      <c r="F26" s="342">
        <v>100.0</v>
      </c>
      <c r="G26" s="309"/>
      <c r="H26" s="24"/>
      <c r="I26" s="24"/>
      <c r="J26" s="24"/>
      <c r="K26" s="6"/>
      <c r="L26" s="6"/>
      <c r="M26" s="6"/>
      <c r="N26" s="6"/>
      <c r="O26" s="6"/>
      <c r="P26" s="6"/>
      <c r="Q26" s="6"/>
      <c r="R26" s="6"/>
      <c r="S26" s="6"/>
      <c r="T26" s="6"/>
      <c r="U26" s="6"/>
      <c r="V26" s="6"/>
      <c r="W26" s="6"/>
      <c r="X26" s="6"/>
      <c r="Y26" s="6"/>
      <c r="Z26" s="6"/>
    </row>
    <row r="27" ht="21.0" customHeight="1">
      <c r="A27" s="24"/>
      <c r="B27" s="102" t="s">
        <v>1122</v>
      </c>
      <c r="C27" s="29">
        <v>50.0</v>
      </c>
      <c r="D27" s="238"/>
      <c r="E27" s="93" t="s">
        <v>1123</v>
      </c>
      <c r="F27" s="194"/>
      <c r="G27" s="308"/>
      <c r="H27" s="24"/>
      <c r="I27" s="24"/>
      <c r="J27" s="24"/>
      <c r="K27" s="6"/>
      <c r="L27" s="6"/>
      <c r="M27" s="6"/>
      <c r="N27" s="6"/>
      <c r="O27" s="6"/>
      <c r="P27" s="6"/>
      <c r="Q27" s="6"/>
      <c r="R27" s="6"/>
      <c r="S27" s="6"/>
      <c r="T27" s="6"/>
      <c r="U27" s="6"/>
      <c r="V27" s="6"/>
      <c r="W27" s="6"/>
      <c r="X27" s="6"/>
      <c r="Y27" s="6"/>
      <c r="Z27" s="6"/>
    </row>
    <row r="28" ht="21.0" customHeight="1">
      <c r="A28" s="24"/>
      <c r="B28" s="102" t="s">
        <v>1124</v>
      </c>
      <c r="C28" s="29">
        <v>25.0</v>
      </c>
      <c r="D28" s="225"/>
      <c r="E28" s="93" t="s">
        <v>1125</v>
      </c>
      <c r="F28" s="29"/>
      <c r="G28" s="59"/>
      <c r="H28" s="24"/>
      <c r="I28" s="24"/>
      <c r="J28" s="24"/>
      <c r="K28" s="6"/>
      <c r="L28" s="6"/>
      <c r="M28" s="6"/>
      <c r="N28" s="6"/>
      <c r="O28" s="6"/>
      <c r="P28" s="6"/>
      <c r="Q28" s="6"/>
      <c r="R28" s="6"/>
      <c r="S28" s="6"/>
      <c r="T28" s="6"/>
      <c r="U28" s="6"/>
      <c r="V28" s="6"/>
      <c r="W28" s="6"/>
      <c r="X28" s="6"/>
      <c r="Y28" s="6"/>
      <c r="Z28" s="6"/>
    </row>
    <row r="29" ht="17.25" customHeight="1">
      <c r="A29" s="32"/>
      <c r="B29" s="102" t="s">
        <v>399</v>
      </c>
      <c r="C29" s="29">
        <v>0.0</v>
      </c>
      <c r="D29" s="238"/>
      <c r="E29" s="93" t="s">
        <v>1126</v>
      </c>
      <c r="F29" s="158"/>
      <c r="G29" s="59"/>
      <c r="H29" s="32"/>
      <c r="I29" s="32"/>
      <c r="J29" s="32"/>
      <c r="K29" s="6"/>
      <c r="L29" s="6"/>
      <c r="M29" s="6"/>
      <c r="N29" s="6"/>
      <c r="O29" s="6"/>
      <c r="P29" s="6"/>
      <c r="Q29" s="6"/>
      <c r="R29" s="6"/>
      <c r="S29" s="6"/>
      <c r="T29" s="6"/>
      <c r="U29" s="6"/>
      <c r="V29" s="6"/>
      <c r="W29" s="6"/>
      <c r="X29" s="6"/>
      <c r="Y29" s="6"/>
      <c r="Z29" s="6"/>
    </row>
    <row r="30" ht="21.0" customHeight="1">
      <c r="A30" s="137">
        <v>7.0</v>
      </c>
      <c r="B30" s="163" t="s">
        <v>1127</v>
      </c>
      <c r="C30" s="16"/>
      <c r="D30" s="200"/>
      <c r="E30" s="45"/>
      <c r="F30" s="29"/>
      <c r="G30" s="59"/>
      <c r="H30" s="302" t="s">
        <v>1128</v>
      </c>
      <c r="I30" s="302" t="s">
        <v>1129</v>
      </c>
      <c r="J30" s="302" t="s">
        <v>1130</v>
      </c>
      <c r="K30" s="6"/>
      <c r="L30" s="6"/>
      <c r="M30" s="6"/>
      <c r="N30" s="6"/>
      <c r="O30" s="6"/>
      <c r="P30" s="6"/>
      <c r="Q30" s="6"/>
      <c r="R30" s="6"/>
      <c r="S30" s="6"/>
      <c r="T30" s="6"/>
      <c r="U30" s="6"/>
      <c r="V30" s="6"/>
      <c r="W30" s="6"/>
      <c r="X30" s="6"/>
      <c r="Y30" s="6"/>
      <c r="Z30" s="6"/>
    </row>
    <row r="31" ht="21.0" customHeight="1">
      <c r="A31" s="24"/>
      <c r="B31" s="102" t="s">
        <v>1131</v>
      </c>
      <c r="C31" s="29">
        <v>100.0</v>
      </c>
      <c r="D31" s="200">
        <v>100.0</v>
      </c>
      <c r="E31" s="93" t="s">
        <v>1132</v>
      </c>
      <c r="F31" s="29">
        <v>100.0</v>
      </c>
      <c r="G31" s="59"/>
      <c r="H31" s="24"/>
      <c r="I31" s="24"/>
      <c r="J31" s="24"/>
      <c r="K31" s="6"/>
      <c r="L31" s="6"/>
      <c r="M31" s="6"/>
      <c r="N31" s="6"/>
      <c r="O31" s="6"/>
      <c r="P31" s="6"/>
      <c r="Q31" s="6"/>
      <c r="R31" s="6"/>
      <c r="S31" s="6"/>
      <c r="T31" s="6"/>
      <c r="U31" s="6"/>
      <c r="V31" s="6"/>
      <c r="W31" s="6"/>
      <c r="X31" s="6"/>
      <c r="Y31" s="6"/>
      <c r="Z31" s="6"/>
    </row>
    <row r="32" ht="20.25" customHeight="1">
      <c r="A32" s="24"/>
      <c r="B32" s="102" t="s">
        <v>1133</v>
      </c>
      <c r="C32" s="29">
        <v>50.0</v>
      </c>
      <c r="D32" s="238"/>
      <c r="E32" s="93" t="s">
        <v>1134</v>
      </c>
      <c r="F32" s="158"/>
      <c r="G32" s="59"/>
      <c r="H32" s="24"/>
      <c r="I32" s="24"/>
      <c r="J32" s="24"/>
      <c r="K32" s="6"/>
      <c r="L32" s="6"/>
      <c r="M32" s="6"/>
      <c r="N32" s="6"/>
      <c r="O32" s="6"/>
      <c r="P32" s="6"/>
      <c r="Q32" s="6"/>
      <c r="R32" s="6"/>
      <c r="S32" s="6"/>
      <c r="T32" s="6"/>
      <c r="U32" s="6"/>
      <c r="V32" s="6"/>
      <c r="W32" s="6"/>
      <c r="X32" s="6"/>
      <c r="Y32" s="6"/>
      <c r="Z32" s="6"/>
    </row>
    <row r="33" ht="21.0" customHeight="1">
      <c r="A33" s="24"/>
      <c r="B33" s="102" t="s">
        <v>1135</v>
      </c>
      <c r="C33" s="29">
        <v>25.0</v>
      </c>
      <c r="D33" s="200"/>
      <c r="E33" s="93" t="s">
        <v>1136</v>
      </c>
      <c r="F33" s="29"/>
      <c r="G33" s="59"/>
      <c r="H33" s="24"/>
      <c r="I33" s="24"/>
      <c r="J33" s="24"/>
      <c r="K33" s="6"/>
      <c r="L33" s="6"/>
      <c r="M33" s="6"/>
      <c r="N33" s="6"/>
      <c r="O33" s="6"/>
      <c r="P33" s="6"/>
      <c r="Q33" s="6"/>
      <c r="R33" s="6"/>
      <c r="S33" s="6"/>
      <c r="T33" s="6"/>
      <c r="U33" s="6"/>
      <c r="V33" s="6"/>
      <c r="W33" s="6"/>
      <c r="X33" s="6"/>
      <c r="Y33" s="6"/>
      <c r="Z33" s="6"/>
    </row>
    <row r="34" ht="21.0" customHeight="1">
      <c r="A34" s="32"/>
      <c r="B34" s="102" t="s">
        <v>1137</v>
      </c>
      <c r="C34" s="29">
        <v>0.0</v>
      </c>
      <c r="D34" s="200"/>
      <c r="E34" s="93" t="s">
        <v>1138</v>
      </c>
      <c r="F34" s="29"/>
      <c r="G34" s="59"/>
      <c r="H34" s="32"/>
      <c r="I34" s="32"/>
      <c r="J34" s="32"/>
      <c r="K34" s="6"/>
      <c r="L34" s="6"/>
      <c r="M34" s="6"/>
      <c r="N34" s="6"/>
      <c r="O34" s="6"/>
      <c r="P34" s="6"/>
      <c r="Q34" s="6"/>
      <c r="R34" s="6"/>
      <c r="S34" s="6"/>
      <c r="T34" s="6"/>
      <c r="U34" s="6"/>
      <c r="V34" s="6"/>
      <c r="W34" s="6"/>
      <c r="X34" s="6"/>
      <c r="Y34" s="6"/>
      <c r="Z34" s="6"/>
    </row>
    <row r="35" ht="31.5" customHeight="1">
      <c r="A35" s="137">
        <v>8.0</v>
      </c>
      <c r="B35" s="340" t="s">
        <v>1139</v>
      </c>
      <c r="C35" s="16"/>
      <c r="D35" s="200"/>
      <c r="E35" s="45"/>
      <c r="F35" s="29"/>
      <c r="G35" s="59"/>
      <c r="H35" s="302" t="s">
        <v>1140</v>
      </c>
      <c r="I35" s="164" t="s">
        <v>1076</v>
      </c>
      <c r="J35" s="164" t="s">
        <v>1141</v>
      </c>
      <c r="K35" s="6"/>
      <c r="L35" s="6"/>
      <c r="M35" s="6"/>
      <c r="N35" s="6"/>
      <c r="O35" s="6"/>
      <c r="P35" s="6"/>
      <c r="Q35" s="6"/>
      <c r="R35" s="6"/>
      <c r="S35" s="6"/>
      <c r="T35" s="6"/>
      <c r="U35" s="6"/>
      <c r="V35" s="6"/>
      <c r="W35" s="6"/>
      <c r="X35" s="6"/>
      <c r="Y35" s="6"/>
      <c r="Z35" s="6"/>
    </row>
    <row r="36" ht="21.0" customHeight="1">
      <c r="A36" s="24"/>
      <c r="B36" s="102" t="s">
        <v>1142</v>
      </c>
      <c r="C36" s="29">
        <v>100.0</v>
      </c>
      <c r="D36" s="225">
        <v>100.0</v>
      </c>
      <c r="E36" s="93" t="s">
        <v>1143</v>
      </c>
      <c r="F36" s="29">
        <v>100.0</v>
      </c>
      <c r="G36" s="59"/>
      <c r="H36" s="24"/>
      <c r="I36" s="24"/>
      <c r="J36" s="24"/>
      <c r="K36" s="6"/>
      <c r="L36" s="6"/>
      <c r="M36" s="6"/>
      <c r="N36" s="6"/>
      <c r="O36" s="6"/>
      <c r="P36" s="6"/>
      <c r="Q36" s="6"/>
      <c r="R36" s="6"/>
      <c r="S36" s="6"/>
      <c r="T36" s="6"/>
      <c r="U36" s="6"/>
      <c r="V36" s="6"/>
      <c r="W36" s="6"/>
      <c r="X36" s="6"/>
      <c r="Y36" s="6"/>
      <c r="Z36" s="6"/>
    </row>
    <row r="37" ht="30.75" customHeight="1">
      <c r="A37" s="24"/>
      <c r="B37" s="102" t="s">
        <v>1144</v>
      </c>
      <c r="C37" s="29">
        <v>50.0</v>
      </c>
      <c r="D37" s="238"/>
      <c r="E37" s="93" t="s">
        <v>1145</v>
      </c>
      <c r="F37" s="86"/>
      <c r="G37" s="59"/>
      <c r="H37" s="24"/>
      <c r="I37" s="24"/>
      <c r="J37" s="24"/>
      <c r="K37" s="6"/>
      <c r="L37" s="6"/>
      <c r="M37" s="6"/>
      <c r="N37" s="6"/>
      <c r="O37" s="6"/>
      <c r="P37" s="6"/>
      <c r="Q37" s="6"/>
      <c r="R37" s="6"/>
      <c r="S37" s="6"/>
      <c r="T37" s="6"/>
      <c r="U37" s="6"/>
      <c r="V37" s="6"/>
      <c r="W37" s="6"/>
      <c r="X37" s="6"/>
      <c r="Y37" s="6"/>
      <c r="Z37" s="6"/>
    </row>
    <row r="38" ht="21.0" customHeight="1">
      <c r="A38" s="24"/>
      <c r="B38" s="102" t="s">
        <v>1146</v>
      </c>
      <c r="C38" s="29">
        <v>25.0</v>
      </c>
      <c r="D38" s="200"/>
      <c r="E38" s="93" t="s">
        <v>1147</v>
      </c>
      <c r="F38" s="29"/>
      <c r="G38" s="59"/>
      <c r="H38" s="24"/>
      <c r="I38" s="24"/>
      <c r="J38" s="24"/>
      <c r="K38" s="6"/>
      <c r="L38" s="6"/>
      <c r="M38" s="6"/>
      <c r="N38" s="6"/>
      <c r="O38" s="6"/>
      <c r="P38" s="6"/>
      <c r="Q38" s="6"/>
      <c r="R38" s="6"/>
      <c r="S38" s="6"/>
      <c r="T38" s="6"/>
      <c r="U38" s="6"/>
      <c r="V38" s="6"/>
      <c r="W38" s="6"/>
      <c r="X38" s="6"/>
      <c r="Y38" s="6"/>
      <c r="Z38" s="6"/>
    </row>
    <row r="39" ht="21.0" customHeight="1">
      <c r="A39" s="32"/>
      <c r="B39" s="102" t="s">
        <v>1148</v>
      </c>
      <c r="C39" s="29">
        <v>0.0</v>
      </c>
      <c r="D39" s="200"/>
      <c r="E39" s="93" t="s">
        <v>1149</v>
      </c>
      <c r="F39" s="29"/>
      <c r="G39" s="59"/>
      <c r="H39" s="32"/>
      <c r="I39" s="32"/>
      <c r="J39" s="32"/>
      <c r="K39" s="6"/>
      <c r="L39" s="6"/>
      <c r="M39" s="6"/>
      <c r="N39" s="6"/>
      <c r="O39" s="6"/>
      <c r="P39" s="6"/>
      <c r="Q39" s="6"/>
      <c r="R39" s="6"/>
      <c r="S39" s="6"/>
      <c r="T39" s="6"/>
      <c r="U39" s="6"/>
      <c r="V39" s="6"/>
      <c r="W39" s="6"/>
      <c r="X39" s="6"/>
      <c r="Y39" s="6"/>
      <c r="Z39" s="6"/>
    </row>
    <row r="40" ht="21.0" customHeight="1">
      <c r="A40" s="137">
        <v>9.0</v>
      </c>
      <c r="B40" s="340" t="s">
        <v>1150</v>
      </c>
      <c r="C40" s="16"/>
      <c r="D40" s="200"/>
      <c r="E40" s="45"/>
      <c r="F40" s="29"/>
      <c r="G40" s="59"/>
      <c r="H40" s="302" t="s">
        <v>1151</v>
      </c>
      <c r="I40" s="164" t="s">
        <v>1076</v>
      </c>
      <c r="J40" s="302" t="s">
        <v>1152</v>
      </c>
      <c r="K40" s="6"/>
      <c r="L40" s="6"/>
      <c r="M40" s="6"/>
      <c r="N40" s="6"/>
      <c r="O40" s="6"/>
      <c r="P40" s="6"/>
      <c r="Q40" s="6"/>
      <c r="R40" s="6"/>
      <c r="S40" s="6"/>
      <c r="T40" s="6"/>
      <c r="U40" s="6"/>
      <c r="V40" s="6"/>
      <c r="W40" s="6"/>
      <c r="X40" s="6"/>
      <c r="Y40" s="6"/>
      <c r="Z40" s="6"/>
    </row>
    <row r="41" ht="21.0" customHeight="1">
      <c r="A41" s="24"/>
      <c r="B41" s="102" t="s">
        <v>1153</v>
      </c>
      <c r="C41" s="29">
        <v>100.0</v>
      </c>
      <c r="D41" s="200">
        <v>100.0</v>
      </c>
      <c r="E41" s="93" t="s">
        <v>1154</v>
      </c>
      <c r="F41" s="29">
        <v>100.0</v>
      </c>
      <c r="G41" s="59"/>
      <c r="H41" s="24"/>
      <c r="I41" s="24"/>
      <c r="J41" s="24"/>
      <c r="K41" s="6"/>
      <c r="L41" s="6"/>
      <c r="M41" s="6"/>
      <c r="N41" s="6"/>
      <c r="O41" s="6"/>
      <c r="P41" s="6"/>
      <c r="Q41" s="6"/>
      <c r="R41" s="6"/>
      <c r="S41" s="6"/>
      <c r="T41" s="6"/>
      <c r="U41" s="6"/>
      <c r="V41" s="6"/>
      <c r="W41" s="6"/>
      <c r="X41" s="6"/>
      <c r="Y41" s="6"/>
      <c r="Z41" s="6"/>
    </row>
    <row r="42" ht="66.0" customHeight="1">
      <c r="A42" s="24"/>
      <c r="B42" s="102" t="s">
        <v>1155</v>
      </c>
      <c r="C42" s="29">
        <v>50.0</v>
      </c>
      <c r="D42" s="238"/>
      <c r="E42" s="93" t="s">
        <v>1156</v>
      </c>
      <c r="F42" s="19"/>
      <c r="G42" s="59"/>
      <c r="H42" s="24"/>
      <c r="I42" s="24"/>
      <c r="J42" s="24"/>
      <c r="K42" s="6"/>
      <c r="L42" s="6"/>
      <c r="M42" s="6"/>
      <c r="N42" s="6"/>
      <c r="O42" s="6"/>
      <c r="P42" s="6"/>
      <c r="Q42" s="6"/>
      <c r="R42" s="6"/>
      <c r="S42" s="6"/>
      <c r="T42" s="6"/>
      <c r="U42" s="6"/>
      <c r="V42" s="6"/>
      <c r="W42" s="6"/>
      <c r="X42" s="6"/>
      <c r="Y42" s="6"/>
      <c r="Z42" s="6"/>
    </row>
    <row r="43" ht="21.0" customHeight="1">
      <c r="A43" s="24"/>
      <c r="B43" s="102" t="s">
        <v>1157</v>
      </c>
      <c r="C43" s="29">
        <v>25.0</v>
      </c>
      <c r="D43" s="200"/>
      <c r="E43" s="93" t="s">
        <v>1158</v>
      </c>
      <c r="F43" s="29"/>
      <c r="G43" s="59"/>
      <c r="H43" s="24"/>
      <c r="I43" s="24"/>
      <c r="J43" s="24"/>
      <c r="K43" s="6"/>
      <c r="L43" s="6"/>
      <c r="M43" s="6"/>
      <c r="N43" s="6"/>
      <c r="O43" s="6"/>
      <c r="P43" s="6"/>
      <c r="Q43" s="6"/>
      <c r="R43" s="6"/>
      <c r="S43" s="6"/>
      <c r="T43" s="6"/>
      <c r="U43" s="6"/>
      <c r="V43" s="6"/>
      <c r="W43" s="6"/>
      <c r="X43" s="6"/>
      <c r="Y43" s="6"/>
      <c r="Z43" s="6"/>
    </row>
    <row r="44" ht="21.0" customHeight="1">
      <c r="A44" s="32"/>
      <c r="B44" s="102" t="s">
        <v>1159</v>
      </c>
      <c r="C44" s="29">
        <v>0.0</v>
      </c>
      <c r="D44" s="225"/>
      <c r="E44" s="93" t="s">
        <v>1160</v>
      </c>
      <c r="F44" s="29"/>
      <c r="G44" s="59"/>
      <c r="H44" s="32"/>
      <c r="I44" s="32"/>
      <c r="J44" s="32"/>
      <c r="K44" s="6"/>
      <c r="L44" s="6"/>
      <c r="M44" s="6"/>
      <c r="N44" s="6"/>
      <c r="O44" s="6"/>
      <c r="P44" s="6"/>
      <c r="Q44" s="6"/>
      <c r="R44" s="6"/>
      <c r="S44" s="6"/>
      <c r="T44" s="6"/>
      <c r="U44" s="6"/>
      <c r="V44" s="6"/>
      <c r="W44" s="6"/>
      <c r="X44" s="6"/>
      <c r="Y44" s="6"/>
      <c r="Z44" s="6"/>
    </row>
    <row r="45" ht="21.0" customHeight="1">
      <c r="A45" s="137">
        <v>10.0</v>
      </c>
      <c r="B45" s="344" t="s">
        <v>1161</v>
      </c>
      <c r="C45" s="16"/>
      <c r="D45" s="225"/>
      <c r="E45" s="45"/>
      <c r="F45" s="29"/>
      <c r="G45" s="59"/>
      <c r="H45" s="302" t="s">
        <v>1162</v>
      </c>
      <c r="I45" s="302" t="s">
        <v>1163</v>
      </c>
      <c r="J45" s="302" t="s">
        <v>1164</v>
      </c>
      <c r="K45" s="6"/>
      <c r="L45" s="6"/>
      <c r="M45" s="6"/>
      <c r="N45" s="6"/>
      <c r="O45" s="6"/>
      <c r="P45" s="6"/>
      <c r="Q45" s="6"/>
      <c r="R45" s="6"/>
      <c r="S45" s="6"/>
      <c r="T45" s="6"/>
      <c r="U45" s="6"/>
      <c r="V45" s="6"/>
      <c r="W45" s="6"/>
      <c r="X45" s="6"/>
      <c r="Y45" s="6"/>
      <c r="Z45" s="6"/>
    </row>
    <row r="46" ht="21.0" customHeight="1">
      <c r="A46" s="24"/>
      <c r="B46" s="102" t="s">
        <v>1165</v>
      </c>
      <c r="C46" s="29">
        <v>100.0</v>
      </c>
      <c r="D46" s="225">
        <v>100.0</v>
      </c>
      <c r="E46" s="93" t="s">
        <v>1166</v>
      </c>
      <c r="F46" s="29">
        <v>100.0</v>
      </c>
      <c r="G46" s="59"/>
      <c r="H46" s="24"/>
      <c r="I46" s="24"/>
      <c r="J46" s="24"/>
      <c r="K46" s="6"/>
      <c r="L46" s="6"/>
      <c r="M46" s="6"/>
      <c r="N46" s="6"/>
      <c r="O46" s="6"/>
      <c r="P46" s="6"/>
      <c r="Q46" s="6"/>
      <c r="R46" s="6"/>
      <c r="S46" s="6"/>
      <c r="T46" s="6"/>
      <c r="U46" s="6"/>
      <c r="V46" s="6"/>
      <c r="W46" s="6"/>
      <c r="X46" s="6"/>
      <c r="Y46" s="6"/>
      <c r="Z46" s="6"/>
    </row>
    <row r="47" ht="38.25" customHeight="1">
      <c r="A47" s="24"/>
      <c r="B47" s="102" t="s">
        <v>1167</v>
      </c>
      <c r="C47" s="29">
        <v>50.0</v>
      </c>
      <c r="D47" s="238"/>
      <c r="E47" s="93" t="s">
        <v>1168</v>
      </c>
      <c r="F47" s="158"/>
      <c r="G47" s="59"/>
      <c r="H47" s="24"/>
      <c r="I47" s="24"/>
      <c r="J47" s="24"/>
      <c r="K47" s="6"/>
      <c r="L47" s="6"/>
      <c r="M47" s="6"/>
      <c r="N47" s="6"/>
      <c r="O47" s="6"/>
      <c r="P47" s="6"/>
      <c r="Q47" s="6"/>
      <c r="R47" s="6"/>
      <c r="S47" s="6"/>
      <c r="T47" s="6"/>
      <c r="U47" s="6"/>
      <c r="V47" s="6"/>
      <c r="W47" s="6"/>
      <c r="X47" s="6"/>
      <c r="Y47" s="6"/>
      <c r="Z47" s="6"/>
    </row>
    <row r="48" ht="21.0" customHeight="1">
      <c r="A48" s="24"/>
      <c r="B48" s="102" t="s">
        <v>1169</v>
      </c>
      <c r="C48" s="29">
        <v>25.0</v>
      </c>
      <c r="D48" s="200"/>
      <c r="E48" s="93" t="s">
        <v>1170</v>
      </c>
      <c r="F48" s="29"/>
      <c r="G48" s="59"/>
      <c r="H48" s="24"/>
      <c r="I48" s="24"/>
      <c r="J48" s="24"/>
      <c r="K48" s="6"/>
      <c r="L48" s="6"/>
      <c r="M48" s="6"/>
      <c r="N48" s="6"/>
      <c r="O48" s="6"/>
      <c r="P48" s="6"/>
      <c r="Q48" s="6"/>
      <c r="R48" s="6"/>
      <c r="S48" s="6"/>
      <c r="T48" s="6"/>
      <c r="U48" s="6"/>
      <c r="V48" s="6"/>
      <c r="W48" s="6"/>
      <c r="X48" s="6"/>
      <c r="Y48" s="6"/>
      <c r="Z48" s="6"/>
    </row>
    <row r="49" ht="21.0" customHeight="1">
      <c r="A49" s="32"/>
      <c r="B49" s="102" t="s">
        <v>1171</v>
      </c>
      <c r="C49" s="29">
        <v>0.0</v>
      </c>
      <c r="D49" s="200"/>
      <c r="E49" s="93" t="s">
        <v>1172</v>
      </c>
      <c r="F49" s="29"/>
      <c r="G49" s="59"/>
      <c r="H49" s="32"/>
      <c r="I49" s="32"/>
      <c r="J49" s="32"/>
      <c r="K49" s="6"/>
      <c r="L49" s="6"/>
      <c r="M49" s="6"/>
      <c r="N49" s="6"/>
      <c r="O49" s="6"/>
      <c r="P49" s="6"/>
      <c r="Q49" s="6"/>
      <c r="R49" s="6"/>
      <c r="S49" s="6"/>
      <c r="T49" s="6"/>
      <c r="U49" s="6"/>
      <c r="V49" s="6"/>
      <c r="W49" s="6"/>
      <c r="X49" s="6"/>
      <c r="Y49" s="6"/>
      <c r="Z49" s="6"/>
    </row>
    <row r="50" ht="35.25" customHeight="1">
      <c r="A50" s="137">
        <v>11.0</v>
      </c>
      <c r="B50" s="340" t="s">
        <v>1173</v>
      </c>
      <c r="C50" s="16"/>
      <c r="D50" s="225"/>
      <c r="E50" s="45"/>
      <c r="F50" s="29"/>
      <c r="G50" s="59"/>
      <c r="H50" s="302" t="s">
        <v>1174</v>
      </c>
      <c r="I50" s="164" t="s">
        <v>1175</v>
      </c>
      <c r="J50" s="302" t="s">
        <v>1176</v>
      </c>
      <c r="K50" s="6"/>
      <c r="L50" s="6"/>
      <c r="M50" s="6"/>
      <c r="N50" s="6"/>
      <c r="O50" s="6"/>
      <c r="P50" s="6"/>
      <c r="Q50" s="6"/>
      <c r="R50" s="6"/>
      <c r="S50" s="6"/>
      <c r="T50" s="6"/>
      <c r="U50" s="6"/>
      <c r="V50" s="6"/>
      <c r="W50" s="6"/>
      <c r="X50" s="6"/>
      <c r="Y50" s="6"/>
      <c r="Z50" s="6"/>
    </row>
    <row r="51" ht="21.0" customHeight="1">
      <c r="A51" s="24"/>
      <c r="B51" s="102" t="s">
        <v>1177</v>
      </c>
      <c r="C51" s="29">
        <v>100.0</v>
      </c>
      <c r="D51" s="225">
        <v>100.0</v>
      </c>
      <c r="E51" s="93" t="s">
        <v>1178</v>
      </c>
      <c r="F51" s="29">
        <v>100.0</v>
      </c>
      <c r="G51" s="59"/>
      <c r="H51" s="24"/>
      <c r="I51" s="24"/>
      <c r="J51" s="24"/>
      <c r="K51" s="6"/>
      <c r="L51" s="6"/>
      <c r="M51" s="6"/>
      <c r="N51" s="6"/>
      <c r="O51" s="6"/>
      <c r="P51" s="6"/>
      <c r="Q51" s="6"/>
      <c r="R51" s="6"/>
      <c r="S51" s="6"/>
      <c r="T51" s="6"/>
      <c r="U51" s="6"/>
      <c r="V51" s="6"/>
      <c r="W51" s="6"/>
      <c r="X51" s="6"/>
      <c r="Y51" s="6"/>
      <c r="Z51" s="6"/>
    </row>
    <row r="52" ht="33.0" customHeight="1">
      <c r="A52" s="24"/>
      <c r="B52" s="102" t="s">
        <v>1179</v>
      </c>
      <c r="C52" s="29">
        <v>50.0</v>
      </c>
      <c r="D52" s="238"/>
      <c r="E52" s="93" t="s">
        <v>1180</v>
      </c>
      <c r="F52" s="158"/>
      <c r="G52" s="59"/>
      <c r="H52" s="24"/>
      <c r="I52" s="24"/>
      <c r="J52" s="24"/>
      <c r="K52" s="6"/>
      <c r="L52" s="6"/>
      <c r="M52" s="6"/>
      <c r="N52" s="6"/>
      <c r="O52" s="6"/>
      <c r="P52" s="6"/>
      <c r="Q52" s="6"/>
      <c r="R52" s="6"/>
      <c r="S52" s="6"/>
      <c r="T52" s="6"/>
      <c r="U52" s="6"/>
      <c r="V52" s="6"/>
      <c r="W52" s="6"/>
      <c r="X52" s="6"/>
      <c r="Y52" s="6"/>
      <c r="Z52" s="6"/>
    </row>
    <row r="53" ht="21.0" customHeight="1">
      <c r="A53" s="24"/>
      <c r="B53" s="102" t="s">
        <v>1181</v>
      </c>
      <c r="C53" s="29">
        <v>25.0</v>
      </c>
      <c r="D53" s="200"/>
      <c r="E53" s="93" t="s">
        <v>1182</v>
      </c>
      <c r="F53" s="29"/>
      <c r="G53" s="59"/>
      <c r="H53" s="24"/>
      <c r="I53" s="24"/>
      <c r="J53" s="24"/>
      <c r="K53" s="6"/>
      <c r="L53" s="6"/>
      <c r="M53" s="6"/>
      <c r="N53" s="6"/>
      <c r="O53" s="6"/>
      <c r="P53" s="6"/>
      <c r="Q53" s="6"/>
      <c r="R53" s="6"/>
      <c r="S53" s="6"/>
      <c r="T53" s="6"/>
      <c r="U53" s="6"/>
      <c r="V53" s="6"/>
      <c r="W53" s="6"/>
      <c r="X53" s="6"/>
      <c r="Y53" s="6"/>
      <c r="Z53" s="6"/>
    </row>
    <row r="54" ht="21.0" customHeight="1">
      <c r="A54" s="32"/>
      <c r="B54" s="102" t="s">
        <v>1183</v>
      </c>
      <c r="C54" s="29">
        <v>0.0</v>
      </c>
      <c r="D54" s="225"/>
      <c r="E54" s="93" t="s">
        <v>1184</v>
      </c>
      <c r="F54" s="29"/>
      <c r="G54" s="59"/>
      <c r="H54" s="32"/>
      <c r="I54" s="32"/>
      <c r="J54" s="32"/>
      <c r="K54" s="6"/>
      <c r="L54" s="6"/>
      <c r="M54" s="6"/>
      <c r="N54" s="6"/>
      <c r="O54" s="6"/>
      <c r="P54" s="6"/>
      <c r="Q54" s="6"/>
      <c r="R54" s="6"/>
      <c r="S54" s="6"/>
      <c r="T54" s="6"/>
      <c r="U54" s="6"/>
      <c r="V54" s="6"/>
      <c r="W54" s="6"/>
      <c r="X54" s="6"/>
      <c r="Y54" s="6"/>
      <c r="Z54" s="6"/>
    </row>
    <row r="55" ht="21.0" customHeight="1">
      <c r="A55" s="137">
        <v>12.0</v>
      </c>
      <c r="B55" s="340" t="s">
        <v>1185</v>
      </c>
      <c r="C55" s="16"/>
      <c r="D55" s="225"/>
      <c r="E55" s="45"/>
      <c r="F55" s="29"/>
      <c r="G55" s="59"/>
      <c r="H55" s="302" t="s">
        <v>1186</v>
      </c>
      <c r="I55" s="302" t="s">
        <v>1187</v>
      </c>
      <c r="J55" s="302" t="s">
        <v>1188</v>
      </c>
      <c r="K55" s="6"/>
      <c r="L55" s="6"/>
      <c r="M55" s="6"/>
      <c r="N55" s="6"/>
      <c r="O55" s="6"/>
      <c r="P55" s="6"/>
      <c r="Q55" s="6"/>
      <c r="R55" s="6"/>
      <c r="S55" s="6"/>
      <c r="T55" s="6"/>
      <c r="U55" s="6"/>
      <c r="V55" s="6"/>
      <c r="W55" s="6"/>
      <c r="X55" s="6"/>
      <c r="Y55" s="6"/>
      <c r="Z55" s="6"/>
    </row>
    <row r="56" ht="21.0" customHeight="1">
      <c r="A56" s="24"/>
      <c r="B56" s="303" t="s">
        <v>1189</v>
      </c>
      <c r="C56" s="29">
        <v>100.0</v>
      </c>
      <c r="D56" s="225">
        <v>100.0</v>
      </c>
      <c r="E56" s="93" t="s">
        <v>1190</v>
      </c>
      <c r="F56" s="29">
        <v>100.0</v>
      </c>
      <c r="G56" s="59"/>
      <c r="H56" s="24"/>
      <c r="I56" s="24"/>
      <c r="J56" s="24"/>
      <c r="K56" s="6"/>
      <c r="L56" s="6"/>
      <c r="M56" s="6"/>
      <c r="N56" s="6"/>
      <c r="O56" s="6"/>
      <c r="P56" s="6"/>
      <c r="Q56" s="6"/>
      <c r="R56" s="6"/>
      <c r="S56" s="6"/>
      <c r="T56" s="6"/>
      <c r="U56" s="6"/>
      <c r="V56" s="6"/>
      <c r="W56" s="6"/>
      <c r="X56" s="6"/>
      <c r="Y56" s="6"/>
      <c r="Z56" s="6"/>
    </row>
    <row r="57" ht="25.5" customHeight="1">
      <c r="A57" s="24"/>
      <c r="B57" s="303" t="s">
        <v>1191</v>
      </c>
      <c r="C57" s="29">
        <v>50.0</v>
      </c>
      <c r="D57" s="345"/>
      <c r="E57" s="93" t="s">
        <v>1192</v>
      </c>
      <c r="F57" s="346"/>
      <c r="G57" s="347"/>
      <c r="H57" s="24"/>
      <c r="I57" s="24"/>
      <c r="J57" s="24"/>
      <c r="K57" s="6"/>
      <c r="L57" s="6"/>
      <c r="M57" s="6"/>
      <c r="N57" s="6"/>
      <c r="O57" s="6"/>
      <c r="P57" s="6"/>
      <c r="Q57" s="6"/>
      <c r="R57" s="6"/>
      <c r="S57" s="6"/>
      <c r="T57" s="6"/>
      <c r="U57" s="6"/>
      <c r="V57" s="6"/>
      <c r="W57" s="6"/>
      <c r="X57" s="6"/>
      <c r="Y57" s="6"/>
      <c r="Z57" s="6"/>
    </row>
    <row r="58" ht="21.0" customHeight="1">
      <c r="A58" s="24"/>
      <c r="B58" s="303" t="s">
        <v>1193</v>
      </c>
      <c r="C58" s="29">
        <v>25.0</v>
      </c>
      <c r="D58" s="194"/>
      <c r="E58" s="93" t="s">
        <v>1194</v>
      </c>
      <c r="F58" s="86"/>
      <c r="G58" s="59"/>
      <c r="H58" s="24"/>
      <c r="I58" s="24"/>
      <c r="J58" s="24"/>
      <c r="K58" s="6"/>
      <c r="L58" s="6"/>
      <c r="M58" s="6"/>
      <c r="N58" s="6"/>
      <c r="O58" s="6"/>
      <c r="P58" s="6"/>
      <c r="Q58" s="6"/>
      <c r="R58" s="6"/>
      <c r="S58" s="6"/>
      <c r="T58" s="6"/>
      <c r="U58" s="6"/>
      <c r="V58" s="6"/>
      <c r="W58" s="6"/>
      <c r="X58" s="6"/>
      <c r="Y58" s="6"/>
      <c r="Z58" s="6"/>
    </row>
    <row r="59" ht="21.0" customHeight="1">
      <c r="A59" s="32"/>
      <c r="B59" s="303" t="s">
        <v>1195</v>
      </c>
      <c r="C59" s="29">
        <v>0.0</v>
      </c>
      <c r="D59" s="225"/>
      <c r="E59" s="93" t="s">
        <v>1196</v>
      </c>
      <c r="F59" s="29"/>
      <c r="G59" s="59"/>
      <c r="H59" s="32"/>
      <c r="I59" s="32"/>
      <c r="J59" s="32"/>
      <c r="K59" s="6"/>
      <c r="L59" s="6"/>
      <c r="M59" s="6"/>
      <c r="N59" s="6"/>
      <c r="O59" s="6"/>
      <c r="P59" s="6"/>
      <c r="Q59" s="6"/>
      <c r="R59" s="6"/>
      <c r="S59" s="6"/>
      <c r="T59" s="6"/>
      <c r="U59" s="6"/>
      <c r="V59" s="6"/>
      <c r="W59" s="6"/>
      <c r="X59" s="6"/>
      <c r="Y59" s="6"/>
      <c r="Z59" s="6"/>
    </row>
    <row r="60" ht="21.0" customHeight="1">
      <c r="A60" s="137">
        <v>13.0</v>
      </c>
      <c r="B60" s="344" t="s">
        <v>1197</v>
      </c>
      <c r="C60" s="16"/>
      <c r="D60" s="225"/>
      <c r="E60" s="348"/>
      <c r="F60" s="306"/>
      <c r="G60" s="59"/>
      <c r="H60" s="302" t="s">
        <v>1198</v>
      </c>
      <c r="I60" s="164" t="s">
        <v>1199</v>
      </c>
      <c r="J60" s="302" t="s">
        <v>1200</v>
      </c>
      <c r="K60" s="6"/>
      <c r="L60" s="6"/>
      <c r="M60" s="6"/>
      <c r="N60" s="6"/>
      <c r="O60" s="6"/>
      <c r="P60" s="6"/>
      <c r="Q60" s="6"/>
      <c r="R60" s="6"/>
      <c r="S60" s="6"/>
      <c r="T60" s="6"/>
      <c r="U60" s="6"/>
      <c r="V60" s="6"/>
      <c r="W60" s="6"/>
      <c r="X60" s="6"/>
      <c r="Y60" s="6"/>
      <c r="Z60" s="6"/>
    </row>
    <row r="61" ht="21.0" customHeight="1">
      <c r="A61" s="24"/>
      <c r="B61" s="102" t="s">
        <v>1201</v>
      </c>
      <c r="C61" s="306">
        <v>100.0</v>
      </c>
      <c r="D61" s="225">
        <v>100.0</v>
      </c>
      <c r="E61" s="93" t="s">
        <v>1202</v>
      </c>
      <c r="F61" s="306">
        <v>100.0</v>
      </c>
      <c r="G61" s="59"/>
      <c r="H61" s="24"/>
      <c r="I61" s="24"/>
      <c r="J61" s="24"/>
      <c r="K61" s="6"/>
      <c r="L61" s="6"/>
      <c r="M61" s="6"/>
      <c r="N61" s="6"/>
      <c r="O61" s="6"/>
      <c r="P61" s="6"/>
      <c r="Q61" s="6"/>
      <c r="R61" s="6"/>
      <c r="S61" s="6"/>
      <c r="T61" s="6"/>
      <c r="U61" s="6"/>
      <c r="V61" s="6"/>
      <c r="W61" s="6"/>
      <c r="X61" s="6"/>
      <c r="Y61" s="6"/>
      <c r="Z61" s="6"/>
    </row>
    <row r="62" ht="21.0" customHeight="1">
      <c r="A62" s="24"/>
      <c r="B62" s="303" t="s">
        <v>1203</v>
      </c>
      <c r="C62" s="306">
        <v>50.0</v>
      </c>
      <c r="D62" s="225"/>
      <c r="E62" s="93" t="s">
        <v>1204</v>
      </c>
      <c r="F62" s="306"/>
      <c r="G62" s="59"/>
      <c r="H62" s="24"/>
      <c r="I62" s="24"/>
      <c r="J62" s="24"/>
      <c r="K62" s="6"/>
      <c r="L62" s="6"/>
      <c r="M62" s="6"/>
      <c r="N62" s="6"/>
      <c r="O62" s="6"/>
      <c r="P62" s="6"/>
      <c r="Q62" s="6"/>
      <c r="R62" s="6"/>
      <c r="S62" s="6"/>
      <c r="T62" s="6"/>
      <c r="U62" s="6"/>
      <c r="V62" s="6"/>
      <c r="W62" s="6"/>
      <c r="X62" s="6"/>
      <c r="Y62" s="6"/>
      <c r="Z62" s="6"/>
    </row>
    <row r="63" ht="34.5" customHeight="1">
      <c r="A63" s="24"/>
      <c r="B63" s="102" t="s">
        <v>1205</v>
      </c>
      <c r="C63" s="306">
        <v>25.0</v>
      </c>
      <c r="D63" s="225"/>
      <c r="E63" s="93" t="s">
        <v>1206</v>
      </c>
      <c r="F63" s="303"/>
      <c r="G63" s="59"/>
      <c r="H63" s="24"/>
      <c r="I63" s="24"/>
      <c r="J63" s="24"/>
      <c r="K63" s="6"/>
      <c r="L63" s="6"/>
      <c r="M63" s="6"/>
      <c r="N63" s="6"/>
      <c r="O63" s="6"/>
      <c r="P63" s="6"/>
      <c r="Q63" s="6"/>
      <c r="R63" s="6"/>
      <c r="S63" s="6"/>
      <c r="T63" s="6"/>
      <c r="U63" s="6"/>
      <c r="V63" s="6"/>
      <c r="W63" s="6"/>
      <c r="X63" s="6"/>
      <c r="Y63" s="6"/>
      <c r="Z63" s="6"/>
    </row>
    <row r="64" ht="21.0" customHeight="1">
      <c r="A64" s="32"/>
      <c r="B64" s="51" t="s">
        <v>1207</v>
      </c>
      <c r="C64" s="306">
        <v>0.0</v>
      </c>
      <c r="D64" s="200"/>
      <c r="E64" s="93" t="s">
        <v>1208</v>
      </c>
      <c r="F64" s="29"/>
      <c r="G64" s="59"/>
      <c r="H64" s="32"/>
      <c r="I64" s="32"/>
      <c r="J64" s="32"/>
      <c r="K64" s="6"/>
      <c r="L64" s="6"/>
      <c r="M64" s="6"/>
      <c r="N64" s="6"/>
      <c r="O64" s="6"/>
      <c r="P64" s="6"/>
      <c r="Q64" s="6"/>
      <c r="R64" s="6"/>
      <c r="S64" s="6"/>
      <c r="T64" s="6"/>
      <c r="U64" s="6"/>
      <c r="V64" s="6"/>
      <c r="W64" s="6"/>
      <c r="X64" s="6"/>
      <c r="Y64" s="6"/>
      <c r="Z64" s="6"/>
    </row>
    <row r="65" ht="24.0" customHeight="1">
      <c r="A65" s="349"/>
      <c r="B65" s="350" t="s">
        <v>311</v>
      </c>
      <c r="C65" s="350"/>
      <c r="D65" s="351">
        <f>SUM(D10:D64)</f>
        <v>1300</v>
      </c>
      <c r="E65" s="351"/>
      <c r="F65" s="351">
        <f>SUM(F10:F64)</f>
        <v>1200</v>
      </c>
      <c r="G65" s="352"/>
      <c r="H65" s="352"/>
      <c r="I65" s="352"/>
      <c r="J65" s="353"/>
      <c r="K65" s="6"/>
      <c r="L65" s="6"/>
      <c r="M65" s="6"/>
      <c r="N65" s="6"/>
      <c r="O65" s="6"/>
      <c r="P65" s="6"/>
      <c r="Q65" s="6"/>
      <c r="R65" s="6"/>
      <c r="S65" s="6"/>
      <c r="T65" s="6"/>
      <c r="U65" s="6"/>
      <c r="V65" s="6"/>
      <c r="W65" s="6"/>
      <c r="X65" s="6"/>
      <c r="Y65" s="6"/>
      <c r="Z65" s="6"/>
    </row>
    <row r="66" ht="15.75" customHeight="1">
      <c r="A66" s="130"/>
      <c r="B66" s="2"/>
      <c r="C66" s="2"/>
      <c r="D66" s="2">
        <f>D65/1300*100</f>
        <v>100</v>
      </c>
      <c r="E66" s="2"/>
      <c r="F66" s="2">
        <f>F65/1300*100</f>
        <v>92.30769231</v>
      </c>
      <c r="G66" s="337"/>
      <c r="H66" s="337"/>
      <c r="I66" s="337"/>
      <c r="J66" s="337"/>
      <c r="K66" s="6"/>
      <c r="L66" s="6"/>
      <c r="M66" s="6"/>
      <c r="N66" s="6"/>
      <c r="O66" s="6"/>
      <c r="P66" s="6"/>
      <c r="Q66" s="6"/>
      <c r="R66" s="6"/>
      <c r="S66" s="6"/>
      <c r="T66" s="6"/>
      <c r="U66" s="6"/>
      <c r="V66" s="6"/>
      <c r="W66" s="6"/>
      <c r="X66" s="6"/>
      <c r="Y66" s="6"/>
      <c r="Z66" s="6"/>
    </row>
    <row r="67" ht="15.75" customHeight="1">
      <c r="A67" s="130"/>
      <c r="B67" s="2"/>
      <c r="C67" s="2"/>
      <c r="D67" s="2"/>
      <c r="E67" s="2"/>
      <c r="F67" s="2"/>
      <c r="G67" s="337"/>
      <c r="H67" s="337"/>
      <c r="I67" s="337"/>
      <c r="J67" s="337"/>
      <c r="K67" s="6"/>
      <c r="L67" s="6"/>
      <c r="M67" s="6"/>
      <c r="N67" s="6"/>
      <c r="O67" s="6"/>
      <c r="P67" s="6"/>
      <c r="Q67" s="6"/>
      <c r="R67" s="6"/>
      <c r="S67" s="6"/>
      <c r="T67" s="6"/>
      <c r="U67" s="6"/>
      <c r="V67" s="6"/>
      <c r="W67" s="6"/>
      <c r="X67" s="6"/>
      <c r="Y67" s="6"/>
      <c r="Z67" s="6"/>
    </row>
    <row r="68" ht="15.75" customHeight="1">
      <c r="A68" s="130"/>
      <c r="B68" s="2"/>
      <c r="C68" s="2"/>
      <c r="D68" s="2"/>
      <c r="E68" s="2"/>
      <c r="F68" s="2"/>
      <c r="G68" s="337"/>
      <c r="H68" s="337"/>
      <c r="I68" s="337"/>
      <c r="J68" s="337"/>
      <c r="K68" s="6"/>
      <c r="L68" s="6"/>
      <c r="M68" s="6"/>
      <c r="N68" s="6"/>
      <c r="O68" s="6"/>
      <c r="P68" s="6"/>
      <c r="Q68" s="6"/>
      <c r="R68" s="6"/>
      <c r="S68" s="6"/>
      <c r="T68" s="6"/>
      <c r="U68" s="6"/>
      <c r="V68" s="6"/>
      <c r="W68" s="6"/>
      <c r="X68" s="6"/>
      <c r="Y68" s="6"/>
      <c r="Z68" s="6"/>
    </row>
    <row r="69" ht="15.75" customHeight="1">
      <c r="A69" s="130"/>
      <c r="B69" s="2"/>
      <c r="C69" s="2"/>
      <c r="D69" s="2"/>
      <c r="E69" s="2"/>
      <c r="F69" s="2"/>
      <c r="G69" s="337"/>
      <c r="H69" s="337"/>
      <c r="I69" s="337"/>
      <c r="J69" s="337"/>
      <c r="K69" s="6"/>
      <c r="L69" s="6"/>
      <c r="M69" s="6"/>
      <c r="N69" s="6"/>
      <c r="O69" s="6"/>
      <c r="P69" s="6"/>
      <c r="Q69" s="6"/>
      <c r="R69" s="6"/>
      <c r="S69" s="6"/>
      <c r="T69" s="6"/>
      <c r="U69" s="6"/>
      <c r="V69" s="6"/>
      <c r="W69" s="6"/>
      <c r="X69" s="6"/>
      <c r="Y69" s="6"/>
      <c r="Z69" s="6"/>
    </row>
    <row r="70" ht="15.75" customHeight="1">
      <c r="A70" s="130"/>
      <c r="B70" s="2"/>
      <c r="C70" s="2"/>
      <c r="D70" s="2"/>
      <c r="E70" s="2"/>
      <c r="F70" s="2"/>
      <c r="G70" s="337"/>
      <c r="H70" s="337"/>
      <c r="I70" s="337"/>
      <c r="J70" s="337"/>
      <c r="K70" s="6"/>
      <c r="L70" s="6"/>
      <c r="M70" s="6"/>
      <c r="N70" s="6"/>
      <c r="O70" s="6"/>
      <c r="P70" s="6"/>
      <c r="Q70" s="6"/>
      <c r="R70" s="6"/>
      <c r="S70" s="6"/>
      <c r="T70" s="6"/>
      <c r="U70" s="6"/>
      <c r="V70" s="6"/>
      <c r="W70" s="6"/>
      <c r="X70" s="6"/>
      <c r="Y70" s="6"/>
      <c r="Z70" s="6"/>
    </row>
    <row r="71" ht="15.75" customHeight="1">
      <c r="A71" s="130"/>
      <c r="B71" s="2"/>
      <c r="C71" s="2"/>
      <c r="D71" s="2"/>
      <c r="E71" s="2"/>
      <c r="F71" s="2"/>
      <c r="G71" s="337"/>
      <c r="H71" s="337"/>
      <c r="I71" s="337"/>
      <c r="J71" s="337"/>
      <c r="K71" s="6"/>
      <c r="L71" s="6"/>
      <c r="M71" s="6"/>
      <c r="N71" s="6"/>
      <c r="O71" s="6"/>
      <c r="P71" s="6"/>
      <c r="Q71" s="6"/>
      <c r="R71" s="6"/>
      <c r="S71" s="6"/>
      <c r="T71" s="6"/>
      <c r="U71" s="6"/>
      <c r="V71" s="6"/>
      <c r="W71" s="6"/>
      <c r="X71" s="6"/>
      <c r="Y71" s="6"/>
      <c r="Z71" s="6"/>
    </row>
    <row r="72" ht="15.75" customHeight="1">
      <c r="A72" s="130"/>
      <c r="B72" s="2"/>
      <c r="C72" s="2"/>
      <c r="D72" s="2"/>
      <c r="E72" s="2"/>
      <c r="F72" s="2"/>
      <c r="G72" s="337"/>
      <c r="H72" s="337"/>
      <c r="I72" s="337"/>
      <c r="J72" s="337"/>
      <c r="K72" s="6"/>
      <c r="L72" s="6"/>
      <c r="M72" s="6"/>
      <c r="N72" s="6"/>
      <c r="O72" s="6"/>
      <c r="P72" s="6"/>
      <c r="Q72" s="6"/>
      <c r="R72" s="6"/>
      <c r="S72" s="6"/>
      <c r="T72" s="6"/>
      <c r="U72" s="6"/>
      <c r="V72" s="6"/>
      <c r="W72" s="6"/>
      <c r="X72" s="6"/>
      <c r="Y72" s="6"/>
      <c r="Z72" s="6"/>
    </row>
    <row r="73" ht="15.75" customHeight="1">
      <c r="A73" s="130"/>
      <c r="B73" s="2"/>
      <c r="C73" s="2"/>
      <c r="D73" s="2"/>
      <c r="E73" s="2"/>
      <c r="F73" s="2"/>
      <c r="G73" s="337"/>
      <c r="H73" s="337"/>
      <c r="I73" s="337"/>
      <c r="J73" s="337"/>
      <c r="K73" s="6"/>
      <c r="L73" s="6"/>
      <c r="M73" s="6"/>
      <c r="N73" s="6"/>
      <c r="O73" s="6"/>
      <c r="P73" s="6"/>
      <c r="Q73" s="6"/>
      <c r="R73" s="6"/>
      <c r="S73" s="6"/>
      <c r="T73" s="6"/>
      <c r="U73" s="6"/>
      <c r="V73" s="6"/>
      <c r="W73" s="6"/>
      <c r="X73" s="6"/>
      <c r="Y73" s="6"/>
      <c r="Z73" s="6"/>
    </row>
    <row r="74" ht="15.75" customHeight="1">
      <c r="A74" s="130"/>
      <c r="B74" s="2"/>
      <c r="C74" s="2"/>
      <c r="D74" s="2"/>
      <c r="E74" s="2"/>
      <c r="F74" s="2"/>
      <c r="G74" s="337"/>
      <c r="H74" s="337"/>
      <c r="I74" s="337"/>
      <c r="J74" s="337"/>
      <c r="K74" s="6"/>
      <c r="L74" s="6"/>
      <c r="M74" s="6"/>
      <c r="N74" s="6"/>
      <c r="O74" s="6"/>
      <c r="P74" s="6"/>
      <c r="Q74" s="6"/>
      <c r="R74" s="6"/>
      <c r="S74" s="6"/>
      <c r="T74" s="6"/>
      <c r="U74" s="6"/>
      <c r="V74" s="6"/>
      <c r="W74" s="6"/>
      <c r="X74" s="6"/>
      <c r="Y74" s="6"/>
      <c r="Z74" s="6"/>
    </row>
    <row r="75" ht="15.75" customHeight="1">
      <c r="A75" s="130"/>
      <c r="B75" s="2"/>
      <c r="C75" s="2"/>
      <c r="D75" s="2"/>
      <c r="E75" s="2"/>
      <c r="F75" s="2"/>
      <c r="G75" s="337"/>
      <c r="H75" s="337"/>
      <c r="I75" s="337"/>
      <c r="J75" s="337"/>
      <c r="K75" s="6"/>
      <c r="L75" s="6"/>
      <c r="M75" s="6"/>
      <c r="N75" s="6"/>
      <c r="O75" s="6"/>
      <c r="P75" s="6"/>
      <c r="Q75" s="6"/>
      <c r="R75" s="6"/>
      <c r="S75" s="6"/>
      <c r="T75" s="6"/>
      <c r="U75" s="6"/>
      <c r="V75" s="6"/>
      <c r="W75" s="6"/>
      <c r="X75" s="6"/>
      <c r="Y75" s="6"/>
      <c r="Z75" s="6"/>
    </row>
    <row r="76" ht="15.75" customHeight="1">
      <c r="A76" s="130"/>
      <c r="B76" s="2"/>
      <c r="C76" s="2"/>
      <c r="D76" s="2"/>
      <c r="E76" s="2"/>
      <c r="F76" s="2"/>
      <c r="G76" s="337"/>
      <c r="H76" s="337"/>
      <c r="I76" s="337"/>
      <c r="J76" s="337"/>
      <c r="K76" s="6"/>
      <c r="L76" s="6"/>
      <c r="M76" s="6"/>
      <c r="N76" s="6"/>
      <c r="O76" s="6"/>
      <c r="P76" s="6"/>
      <c r="Q76" s="6"/>
      <c r="R76" s="6"/>
      <c r="S76" s="6"/>
      <c r="T76" s="6"/>
      <c r="U76" s="6"/>
      <c r="V76" s="6"/>
      <c r="W76" s="6"/>
      <c r="X76" s="6"/>
      <c r="Y76" s="6"/>
      <c r="Z76" s="6"/>
    </row>
    <row r="77" ht="15.75" customHeight="1">
      <c r="A77" s="130"/>
      <c r="B77" s="2"/>
      <c r="C77" s="2"/>
      <c r="D77" s="2"/>
      <c r="E77" s="2"/>
      <c r="F77" s="2"/>
      <c r="G77" s="337"/>
      <c r="H77" s="337"/>
      <c r="I77" s="337"/>
      <c r="J77" s="337"/>
      <c r="K77" s="6"/>
      <c r="L77" s="6"/>
      <c r="M77" s="6"/>
      <c r="N77" s="6"/>
      <c r="O77" s="6"/>
      <c r="P77" s="6"/>
      <c r="Q77" s="6"/>
      <c r="R77" s="6"/>
      <c r="S77" s="6"/>
      <c r="T77" s="6"/>
      <c r="U77" s="6"/>
      <c r="V77" s="6"/>
      <c r="W77" s="6"/>
      <c r="X77" s="6"/>
      <c r="Y77" s="6"/>
      <c r="Z77" s="6"/>
    </row>
    <row r="78" ht="15.75" customHeight="1">
      <c r="A78" s="130"/>
      <c r="B78" s="2"/>
      <c r="C78" s="2"/>
      <c r="D78" s="2"/>
      <c r="E78" s="2"/>
      <c r="F78" s="2"/>
      <c r="G78" s="337"/>
      <c r="H78" s="337"/>
      <c r="I78" s="337"/>
      <c r="J78" s="337"/>
      <c r="K78" s="6"/>
      <c r="L78" s="6"/>
      <c r="M78" s="6"/>
      <c r="N78" s="6"/>
      <c r="O78" s="6"/>
      <c r="P78" s="6"/>
      <c r="Q78" s="6"/>
      <c r="R78" s="6"/>
      <c r="S78" s="6"/>
      <c r="T78" s="6"/>
      <c r="U78" s="6"/>
      <c r="V78" s="6"/>
      <c r="W78" s="6"/>
      <c r="X78" s="6"/>
      <c r="Y78" s="6"/>
      <c r="Z78" s="6"/>
    </row>
    <row r="79" ht="15.75" customHeight="1">
      <c r="A79" s="130"/>
      <c r="B79" s="2"/>
      <c r="C79" s="2"/>
      <c r="D79" s="2"/>
      <c r="E79" s="2"/>
      <c r="F79" s="2"/>
      <c r="G79" s="337"/>
      <c r="H79" s="337"/>
      <c r="I79" s="337"/>
      <c r="J79" s="337"/>
      <c r="K79" s="6"/>
      <c r="L79" s="6"/>
      <c r="M79" s="6"/>
      <c r="N79" s="6"/>
      <c r="O79" s="6"/>
      <c r="P79" s="6"/>
      <c r="Q79" s="6"/>
      <c r="R79" s="6"/>
      <c r="S79" s="6"/>
      <c r="T79" s="6"/>
      <c r="U79" s="6"/>
      <c r="V79" s="6"/>
      <c r="W79" s="6"/>
      <c r="X79" s="6"/>
      <c r="Y79" s="6"/>
      <c r="Z79" s="6"/>
    </row>
    <row r="80" ht="15.75" customHeight="1">
      <c r="A80" s="130"/>
      <c r="B80" s="2"/>
      <c r="C80" s="2"/>
      <c r="D80" s="2"/>
      <c r="E80" s="2"/>
      <c r="F80" s="2"/>
      <c r="G80" s="337"/>
      <c r="H80" s="337"/>
      <c r="I80" s="337"/>
      <c r="J80" s="337"/>
      <c r="K80" s="6"/>
      <c r="L80" s="6"/>
      <c r="M80" s="6"/>
      <c r="N80" s="6"/>
      <c r="O80" s="6"/>
      <c r="P80" s="6"/>
      <c r="Q80" s="6"/>
      <c r="R80" s="6"/>
      <c r="S80" s="6"/>
      <c r="T80" s="6"/>
      <c r="U80" s="6"/>
      <c r="V80" s="6"/>
      <c r="W80" s="6"/>
      <c r="X80" s="6"/>
      <c r="Y80" s="6"/>
      <c r="Z80" s="6"/>
    </row>
    <row r="81" ht="15.75" customHeight="1">
      <c r="A81" s="130"/>
      <c r="B81" s="2"/>
      <c r="C81" s="2"/>
      <c r="D81" s="2"/>
      <c r="E81" s="2"/>
      <c r="F81" s="2"/>
      <c r="G81" s="337"/>
      <c r="H81" s="337"/>
      <c r="I81" s="337"/>
      <c r="J81" s="337"/>
      <c r="K81" s="6"/>
      <c r="L81" s="6"/>
      <c r="M81" s="6"/>
      <c r="N81" s="6"/>
      <c r="O81" s="6"/>
      <c r="P81" s="6"/>
      <c r="Q81" s="6"/>
      <c r="R81" s="6"/>
      <c r="S81" s="6"/>
      <c r="T81" s="6"/>
      <c r="U81" s="6"/>
      <c r="V81" s="6"/>
      <c r="W81" s="6"/>
      <c r="X81" s="6"/>
      <c r="Y81" s="6"/>
      <c r="Z81" s="6"/>
    </row>
    <row r="82" ht="15.75" customHeight="1">
      <c r="A82" s="130"/>
      <c r="B82" s="2"/>
      <c r="C82" s="2"/>
      <c r="D82" s="2"/>
      <c r="E82" s="2"/>
      <c r="F82" s="2"/>
      <c r="G82" s="337"/>
      <c r="H82" s="337"/>
      <c r="I82" s="337"/>
      <c r="J82" s="337"/>
      <c r="K82" s="6"/>
      <c r="L82" s="6"/>
      <c r="M82" s="6"/>
      <c r="N82" s="6"/>
      <c r="O82" s="6"/>
      <c r="P82" s="6"/>
      <c r="Q82" s="6"/>
      <c r="R82" s="6"/>
      <c r="S82" s="6"/>
      <c r="T82" s="6"/>
      <c r="U82" s="6"/>
      <c r="V82" s="6"/>
      <c r="W82" s="6"/>
      <c r="X82" s="6"/>
      <c r="Y82" s="6"/>
      <c r="Z82" s="6"/>
    </row>
    <row r="83" ht="15.75" customHeight="1">
      <c r="A83" s="130"/>
      <c r="B83" s="2"/>
      <c r="C83" s="2"/>
      <c r="D83" s="2"/>
      <c r="E83" s="2"/>
      <c r="F83" s="2"/>
      <c r="G83" s="337"/>
      <c r="H83" s="337"/>
      <c r="I83" s="337"/>
      <c r="J83" s="337"/>
      <c r="K83" s="6"/>
      <c r="L83" s="6"/>
      <c r="M83" s="6"/>
      <c r="N83" s="6"/>
      <c r="O83" s="6"/>
      <c r="P83" s="6"/>
      <c r="Q83" s="6"/>
      <c r="R83" s="6"/>
      <c r="S83" s="6"/>
      <c r="T83" s="6"/>
      <c r="U83" s="6"/>
      <c r="V83" s="6"/>
      <c r="W83" s="6"/>
      <c r="X83" s="6"/>
      <c r="Y83" s="6"/>
      <c r="Z83" s="6"/>
    </row>
    <row r="84" ht="15.75" customHeight="1">
      <c r="A84" s="130"/>
      <c r="B84" s="2"/>
      <c r="C84" s="2"/>
      <c r="D84" s="2"/>
      <c r="E84" s="2"/>
      <c r="F84" s="2"/>
      <c r="G84" s="337"/>
      <c r="H84" s="337"/>
      <c r="I84" s="337"/>
      <c r="J84" s="337"/>
      <c r="K84" s="6"/>
      <c r="L84" s="6"/>
      <c r="M84" s="6"/>
      <c r="N84" s="6"/>
      <c r="O84" s="6"/>
      <c r="P84" s="6"/>
      <c r="Q84" s="6"/>
      <c r="R84" s="6"/>
      <c r="S84" s="6"/>
      <c r="T84" s="6"/>
      <c r="U84" s="6"/>
      <c r="V84" s="6"/>
      <c r="W84" s="6"/>
      <c r="X84" s="6"/>
      <c r="Y84" s="6"/>
      <c r="Z84" s="6"/>
    </row>
    <row r="85" ht="15.75" customHeight="1">
      <c r="A85" s="130"/>
      <c r="B85" s="2"/>
      <c r="C85" s="2"/>
      <c r="D85" s="2"/>
      <c r="E85" s="2"/>
      <c r="F85" s="2"/>
      <c r="G85" s="337"/>
      <c r="H85" s="337"/>
      <c r="I85" s="337"/>
      <c r="J85" s="337"/>
      <c r="K85" s="6"/>
      <c r="L85" s="6"/>
      <c r="M85" s="6"/>
      <c r="N85" s="6"/>
      <c r="O85" s="6"/>
      <c r="P85" s="6"/>
      <c r="Q85" s="6"/>
      <c r="R85" s="6"/>
      <c r="S85" s="6"/>
      <c r="T85" s="6"/>
      <c r="U85" s="6"/>
      <c r="V85" s="6"/>
      <c r="W85" s="6"/>
      <c r="X85" s="6"/>
      <c r="Y85" s="6"/>
      <c r="Z85" s="6"/>
    </row>
    <row r="86" ht="15.75" customHeight="1">
      <c r="A86" s="130"/>
      <c r="B86" s="2"/>
      <c r="C86" s="2"/>
      <c r="D86" s="2"/>
      <c r="E86" s="2"/>
      <c r="F86" s="2"/>
      <c r="G86" s="337"/>
      <c r="H86" s="337"/>
      <c r="I86" s="337"/>
      <c r="J86" s="337"/>
      <c r="K86" s="6"/>
      <c r="L86" s="6"/>
      <c r="M86" s="6"/>
      <c r="N86" s="6"/>
      <c r="O86" s="6"/>
      <c r="P86" s="6"/>
      <c r="Q86" s="6"/>
      <c r="R86" s="6"/>
      <c r="S86" s="6"/>
      <c r="T86" s="6"/>
      <c r="U86" s="6"/>
      <c r="V86" s="6"/>
      <c r="W86" s="6"/>
      <c r="X86" s="6"/>
      <c r="Y86" s="6"/>
      <c r="Z86" s="6"/>
    </row>
    <row r="87" ht="15.75" customHeight="1">
      <c r="A87" s="130"/>
      <c r="B87" s="2"/>
      <c r="C87" s="2"/>
      <c r="D87" s="2"/>
      <c r="E87" s="2"/>
      <c r="F87" s="2"/>
      <c r="G87" s="337"/>
      <c r="H87" s="337"/>
      <c r="I87" s="337"/>
      <c r="J87" s="337"/>
      <c r="K87" s="6"/>
      <c r="L87" s="6"/>
      <c r="M87" s="6"/>
      <c r="N87" s="6"/>
      <c r="O87" s="6"/>
      <c r="P87" s="6"/>
      <c r="Q87" s="6"/>
      <c r="R87" s="6"/>
      <c r="S87" s="6"/>
      <c r="T87" s="6"/>
      <c r="U87" s="6"/>
      <c r="V87" s="6"/>
      <c r="W87" s="6"/>
      <c r="X87" s="6"/>
      <c r="Y87" s="6"/>
      <c r="Z87" s="6"/>
    </row>
    <row r="88" ht="15.75" customHeight="1">
      <c r="A88" s="130"/>
      <c r="B88" s="2"/>
      <c r="C88" s="2"/>
      <c r="D88" s="2"/>
      <c r="E88" s="2"/>
      <c r="F88" s="2"/>
      <c r="G88" s="337"/>
      <c r="H88" s="337"/>
      <c r="I88" s="337"/>
      <c r="J88" s="337"/>
      <c r="K88" s="6"/>
      <c r="L88" s="6"/>
      <c r="M88" s="6"/>
      <c r="N88" s="6"/>
      <c r="O88" s="6"/>
      <c r="P88" s="6"/>
      <c r="Q88" s="6"/>
      <c r="R88" s="6"/>
      <c r="S88" s="6"/>
      <c r="T88" s="6"/>
      <c r="U88" s="6"/>
      <c r="V88" s="6"/>
      <c r="W88" s="6"/>
      <c r="X88" s="6"/>
      <c r="Y88" s="6"/>
      <c r="Z88" s="6"/>
    </row>
    <row r="89" ht="15.75" customHeight="1">
      <c r="A89" s="130"/>
      <c r="B89" s="2"/>
      <c r="C89" s="2"/>
      <c r="D89" s="2"/>
      <c r="E89" s="2"/>
      <c r="F89" s="2"/>
      <c r="G89" s="337"/>
      <c r="H89" s="337"/>
      <c r="I89" s="337"/>
      <c r="J89" s="337"/>
      <c r="K89" s="6"/>
      <c r="L89" s="6"/>
      <c r="M89" s="6"/>
      <c r="N89" s="6"/>
      <c r="O89" s="6"/>
      <c r="P89" s="6"/>
      <c r="Q89" s="6"/>
      <c r="R89" s="6"/>
      <c r="S89" s="6"/>
      <c r="T89" s="6"/>
      <c r="U89" s="6"/>
      <c r="V89" s="6"/>
      <c r="W89" s="6"/>
      <c r="X89" s="6"/>
      <c r="Y89" s="6"/>
      <c r="Z89" s="6"/>
    </row>
    <row r="90" ht="15.75" customHeight="1">
      <c r="A90" s="130"/>
      <c r="B90" s="2"/>
      <c r="C90" s="2"/>
      <c r="D90" s="2"/>
      <c r="E90" s="2"/>
      <c r="F90" s="2"/>
      <c r="G90" s="337"/>
      <c r="H90" s="337"/>
      <c r="I90" s="337"/>
      <c r="J90" s="337"/>
      <c r="K90" s="6"/>
      <c r="L90" s="6"/>
      <c r="M90" s="6"/>
      <c r="N90" s="6"/>
      <c r="O90" s="6"/>
      <c r="P90" s="6"/>
      <c r="Q90" s="6"/>
      <c r="R90" s="6"/>
      <c r="S90" s="6"/>
      <c r="T90" s="6"/>
      <c r="U90" s="6"/>
      <c r="V90" s="6"/>
      <c r="W90" s="6"/>
      <c r="X90" s="6"/>
      <c r="Y90" s="6"/>
      <c r="Z90" s="6"/>
    </row>
    <row r="91" ht="15.75" customHeight="1">
      <c r="A91" s="130"/>
      <c r="B91" s="2"/>
      <c r="C91" s="2"/>
      <c r="D91" s="2"/>
      <c r="E91" s="2"/>
      <c r="F91" s="2"/>
      <c r="G91" s="337"/>
      <c r="H91" s="337"/>
      <c r="I91" s="337"/>
      <c r="J91" s="337"/>
      <c r="K91" s="6"/>
      <c r="L91" s="6"/>
      <c r="M91" s="6"/>
      <c r="N91" s="6"/>
      <c r="O91" s="6"/>
      <c r="P91" s="6"/>
      <c r="Q91" s="6"/>
      <c r="R91" s="6"/>
      <c r="S91" s="6"/>
      <c r="T91" s="6"/>
      <c r="U91" s="6"/>
      <c r="V91" s="6"/>
      <c r="W91" s="6"/>
      <c r="X91" s="6"/>
      <c r="Y91" s="6"/>
      <c r="Z91" s="6"/>
    </row>
    <row r="92" ht="15.75" customHeight="1">
      <c r="A92" s="130"/>
      <c r="B92" s="2"/>
      <c r="C92" s="2"/>
      <c r="D92" s="2"/>
      <c r="E92" s="2"/>
      <c r="F92" s="2"/>
      <c r="G92" s="337"/>
      <c r="H92" s="337"/>
      <c r="I92" s="337"/>
      <c r="J92" s="337"/>
      <c r="K92" s="6"/>
      <c r="L92" s="6"/>
      <c r="M92" s="6"/>
      <c r="N92" s="6"/>
      <c r="O92" s="6"/>
      <c r="P92" s="6"/>
      <c r="Q92" s="6"/>
      <c r="R92" s="6"/>
      <c r="S92" s="6"/>
      <c r="T92" s="6"/>
      <c r="U92" s="6"/>
      <c r="V92" s="6"/>
      <c r="W92" s="6"/>
      <c r="X92" s="6"/>
      <c r="Y92" s="6"/>
      <c r="Z92" s="6"/>
    </row>
    <row r="93" ht="15.75" customHeight="1">
      <c r="A93" s="130"/>
      <c r="B93" s="2"/>
      <c r="C93" s="2"/>
      <c r="D93" s="2"/>
      <c r="E93" s="2"/>
      <c r="F93" s="2"/>
      <c r="G93" s="337"/>
      <c r="H93" s="337"/>
      <c r="I93" s="337"/>
      <c r="J93" s="337"/>
      <c r="K93" s="6"/>
      <c r="L93" s="6"/>
      <c r="M93" s="6"/>
      <c r="N93" s="6"/>
      <c r="O93" s="6"/>
      <c r="P93" s="6"/>
      <c r="Q93" s="6"/>
      <c r="R93" s="6"/>
      <c r="S93" s="6"/>
      <c r="T93" s="6"/>
      <c r="U93" s="6"/>
      <c r="V93" s="6"/>
      <c r="W93" s="6"/>
      <c r="X93" s="6"/>
      <c r="Y93" s="6"/>
      <c r="Z93" s="6"/>
    </row>
    <row r="94" ht="15.75" customHeight="1">
      <c r="A94" s="130"/>
      <c r="B94" s="2"/>
      <c r="C94" s="2"/>
      <c r="D94" s="2"/>
      <c r="E94" s="2"/>
      <c r="F94" s="2"/>
      <c r="G94" s="337"/>
      <c r="H94" s="337"/>
      <c r="I94" s="337"/>
      <c r="J94" s="337"/>
      <c r="K94" s="6"/>
      <c r="L94" s="6"/>
      <c r="M94" s="6"/>
      <c r="N94" s="6"/>
      <c r="O94" s="6"/>
      <c r="P94" s="6"/>
      <c r="Q94" s="6"/>
      <c r="R94" s="6"/>
      <c r="S94" s="6"/>
      <c r="T94" s="6"/>
      <c r="U94" s="6"/>
      <c r="V94" s="6"/>
      <c r="W94" s="6"/>
      <c r="X94" s="6"/>
      <c r="Y94" s="6"/>
      <c r="Z94" s="6"/>
    </row>
    <row r="95" ht="15.75" customHeight="1">
      <c r="A95" s="130"/>
      <c r="B95" s="2"/>
      <c r="C95" s="2"/>
      <c r="D95" s="2"/>
      <c r="E95" s="2"/>
      <c r="F95" s="2"/>
      <c r="G95" s="337"/>
      <c r="H95" s="337"/>
      <c r="I95" s="337"/>
      <c r="J95" s="337"/>
      <c r="K95" s="6"/>
      <c r="L95" s="6"/>
      <c r="M95" s="6"/>
      <c r="N95" s="6"/>
      <c r="O95" s="6"/>
      <c r="P95" s="6"/>
      <c r="Q95" s="6"/>
      <c r="R95" s="6"/>
      <c r="S95" s="6"/>
      <c r="T95" s="6"/>
      <c r="U95" s="6"/>
      <c r="V95" s="6"/>
      <c r="W95" s="6"/>
      <c r="X95" s="6"/>
      <c r="Y95" s="6"/>
      <c r="Z95" s="6"/>
    </row>
    <row r="96" ht="15.75" customHeight="1">
      <c r="A96" s="130"/>
      <c r="B96" s="2"/>
      <c r="C96" s="2"/>
      <c r="D96" s="2"/>
      <c r="E96" s="2"/>
      <c r="F96" s="2"/>
      <c r="G96" s="337"/>
      <c r="H96" s="337"/>
      <c r="I96" s="337"/>
      <c r="J96" s="337"/>
      <c r="K96" s="6"/>
      <c r="L96" s="6"/>
      <c r="M96" s="6"/>
      <c r="N96" s="6"/>
      <c r="O96" s="6"/>
      <c r="P96" s="6"/>
      <c r="Q96" s="6"/>
      <c r="R96" s="6"/>
      <c r="S96" s="6"/>
      <c r="T96" s="6"/>
      <c r="U96" s="6"/>
      <c r="V96" s="6"/>
      <c r="W96" s="6"/>
      <c r="X96" s="6"/>
      <c r="Y96" s="6"/>
      <c r="Z96" s="6"/>
    </row>
    <row r="97" ht="15.75" customHeight="1">
      <c r="A97" s="130"/>
      <c r="B97" s="2"/>
      <c r="C97" s="2"/>
      <c r="D97" s="2"/>
      <c r="E97" s="2"/>
      <c r="F97" s="2"/>
      <c r="G97" s="337"/>
      <c r="H97" s="337"/>
      <c r="I97" s="337"/>
      <c r="J97" s="337"/>
      <c r="K97" s="6"/>
      <c r="L97" s="6"/>
      <c r="M97" s="6"/>
      <c r="N97" s="6"/>
      <c r="O97" s="6"/>
      <c r="P97" s="6"/>
      <c r="Q97" s="6"/>
      <c r="R97" s="6"/>
      <c r="S97" s="6"/>
      <c r="T97" s="6"/>
      <c r="U97" s="6"/>
      <c r="V97" s="6"/>
      <c r="W97" s="6"/>
      <c r="X97" s="6"/>
      <c r="Y97" s="6"/>
      <c r="Z97" s="6"/>
    </row>
    <row r="98" ht="15.75" customHeight="1">
      <c r="A98" s="130"/>
      <c r="B98" s="2"/>
      <c r="C98" s="2"/>
      <c r="D98" s="2"/>
      <c r="E98" s="2"/>
      <c r="F98" s="2"/>
      <c r="G98" s="337"/>
      <c r="H98" s="337"/>
      <c r="I98" s="337"/>
      <c r="J98" s="337"/>
      <c r="K98" s="6"/>
      <c r="L98" s="6"/>
      <c r="M98" s="6"/>
      <c r="N98" s="6"/>
      <c r="O98" s="6"/>
      <c r="P98" s="6"/>
      <c r="Q98" s="6"/>
      <c r="R98" s="6"/>
      <c r="S98" s="6"/>
      <c r="T98" s="6"/>
      <c r="U98" s="6"/>
      <c r="V98" s="6"/>
      <c r="W98" s="6"/>
      <c r="X98" s="6"/>
      <c r="Y98" s="6"/>
      <c r="Z98" s="6"/>
    </row>
    <row r="99" ht="15.75" customHeight="1">
      <c r="A99" s="130"/>
      <c r="B99" s="2"/>
      <c r="C99" s="2"/>
      <c r="D99" s="2"/>
      <c r="E99" s="2"/>
      <c r="F99" s="2"/>
      <c r="G99" s="337"/>
      <c r="H99" s="337"/>
      <c r="I99" s="337"/>
      <c r="J99" s="337"/>
      <c r="K99" s="6"/>
      <c r="L99" s="6"/>
      <c r="M99" s="6"/>
      <c r="N99" s="6"/>
      <c r="O99" s="6"/>
      <c r="P99" s="6"/>
      <c r="Q99" s="6"/>
      <c r="R99" s="6"/>
      <c r="S99" s="6"/>
      <c r="T99" s="6"/>
      <c r="U99" s="6"/>
      <c r="V99" s="6"/>
      <c r="W99" s="6"/>
      <c r="X99" s="6"/>
      <c r="Y99" s="6"/>
      <c r="Z99" s="6"/>
    </row>
    <row r="100" ht="15.75" customHeight="1">
      <c r="A100" s="130"/>
      <c r="B100" s="2"/>
      <c r="C100" s="2"/>
      <c r="D100" s="2"/>
      <c r="E100" s="2"/>
      <c r="F100" s="2"/>
      <c r="G100" s="337"/>
      <c r="H100" s="337"/>
      <c r="I100" s="337"/>
      <c r="J100" s="337"/>
      <c r="K100" s="6"/>
      <c r="L100" s="6"/>
      <c r="M100" s="6"/>
      <c r="N100" s="6"/>
      <c r="O100" s="6"/>
      <c r="P100" s="6"/>
      <c r="Q100" s="6"/>
      <c r="R100" s="6"/>
      <c r="S100" s="6"/>
      <c r="T100" s="6"/>
      <c r="U100" s="6"/>
      <c r="V100" s="6"/>
      <c r="W100" s="6"/>
      <c r="X100" s="6"/>
      <c r="Y100" s="6"/>
      <c r="Z100" s="6"/>
    </row>
    <row r="101" ht="15.75" customHeight="1">
      <c r="A101" s="130"/>
      <c r="B101" s="2"/>
      <c r="C101" s="2"/>
      <c r="D101" s="2"/>
      <c r="E101" s="2"/>
      <c r="F101" s="2"/>
      <c r="G101" s="337"/>
      <c r="H101" s="337"/>
      <c r="I101" s="337"/>
      <c r="J101" s="337"/>
      <c r="K101" s="6"/>
      <c r="L101" s="6"/>
      <c r="M101" s="6"/>
      <c r="N101" s="6"/>
      <c r="O101" s="6"/>
      <c r="P101" s="6"/>
      <c r="Q101" s="6"/>
      <c r="R101" s="6"/>
      <c r="S101" s="6"/>
      <c r="T101" s="6"/>
      <c r="U101" s="6"/>
      <c r="V101" s="6"/>
      <c r="W101" s="6"/>
      <c r="X101" s="6"/>
      <c r="Y101" s="6"/>
      <c r="Z101" s="6"/>
    </row>
    <row r="102" ht="15.75" customHeight="1">
      <c r="A102" s="130"/>
      <c r="B102" s="2"/>
      <c r="C102" s="2"/>
      <c r="D102" s="2"/>
      <c r="E102" s="2"/>
      <c r="F102" s="2"/>
      <c r="G102" s="337"/>
      <c r="H102" s="337"/>
      <c r="I102" s="337"/>
      <c r="J102" s="337"/>
      <c r="K102" s="6"/>
      <c r="L102" s="6"/>
      <c r="M102" s="6"/>
      <c r="N102" s="6"/>
      <c r="O102" s="6"/>
      <c r="P102" s="6"/>
      <c r="Q102" s="6"/>
      <c r="R102" s="6"/>
      <c r="S102" s="6"/>
      <c r="T102" s="6"/>
      <c r="U102" s="6"/>
      <c r="V102" s="6"/>
      <c r="W102" s="6"/>
      <c r="X102" s="6"/>
      <c r="Y102" s="6"/>
      <c r="Z102" s="6"/>
    </row>
    <row r="103" ht="15.75" customHeight="1">
      <c r="A103" s="130"/>
      <c r="B103" s="2"/>
      <c r="C103" s="2"/>
      <c r="D103" s="2"/>
      <c r="E103" s="2"/>
      <c r="F103" s="2"/>
      <c r="G103" s="337"/>
      <c r="H103" s="337"/>
      <c r="I103" s="337"/>
      <c r="J103" s="337"/>
      <c r="K103" s="6"/>
      <c r="L103" s="6"/>
      <c r="M103" s="6"/>
      <c r="N103" s="6"/>
      <c r="O103" s="6"/>
      <c r="P103" s="6"/>
      <c r="Q103" s="6"/>
      <c r="R103" s="6"/>
      <c r="S103" s="6"/>
      <c r="T103" s="6"/>
      <c r="U103" s="6"/>
      <c r="V103" s="6"/>
      <c r="W103" s="6"/>
      <c r="X103" s="6"/>
      <c r="Y103" s="6"/>
      <c r="Z103" s="6"/>
    </row>
    <row r="104" ht="15.75" customHeight="1">
      <c r="A104" s="130"/>
      <c r="B104" s="2"/>
      <c r="C104" s="2"/>
      <c r="D104" s="2"/>
      <c r="E104" s="2"/>
      <c r="F104" s="2"/>
      <c r="G104" s="337"/>
      <c r="H104" s="337"/>
      <c r="I104" s="337"/>
      <c r="J104" s="337"/>
      <c r="K104" s="6"/>
      <c r="L104" s="6"/>
      <c r="M104" s="6"/>
      <c r="N104" s="6"/>
      <c r="O104" s="6"/>
      <c r="P104" s="6"/>
      <c r="Q104" s="6"/>
      <c r="R104" s="6"/>
      <c r="S104" s="6"/>
      <c r="T104" s="6"/>
      <c r="U104" s="6"/>
      <c r="V104" s="6"/>
      <c r="W104" s="6"/>
      <c r="X104" s="6"/>
      <c r="Y104" s="6"/>
      <c r="Z104" s="6"/>
    </row>
    <row r="105" ht="15.75" customHeight="1">
      <c r="A105" s="130"/>
      <c r="B105" s="2"/>
      <c r="C105" s="2"/>
      <c r="D105" s="2"/>
      <c r="E105" s="2"/>
      <c r="F105" s="2"/>
      <c r="G105" s="337"/>
      <c r="H105" s="337"/>
      <c r="I105" s="337"/>
      <c r="J105" s="337"/>
      <c r="K105" s="6"/>
      <c r="L105" s="6"/>
      <c r="M105" s="6"/>
      <c r="N105" s="6"/>
      <c r="O105" s="6"/>
      <c r="P105" s="6"/>
      <c r="Q105" s="6"/>
      <c r="R105" s="6"/>
      <c r="S105" s="6"/>
      <c r="T105" s="6"/>
      <c r="U105" s="6"/>
      <c r="V105" s="6"/>
      <c r="W105" s="6"/>
      <c r="X105" s="6"/>
      <c r="Y105" s="6"/>
      <c r="Z105" s="6"/>
    </row>
    <row r="106" ht="15.75" customHeight="1">
      <c r="A106" s="130"/>
      <c r="B106" s="2"/>
      <c r="C106" s="2"/>
      <c r="D106" s="2"/>
      <c r="E106" s="2"/>
      <c r="F106" s="2"/>
      <c r="G106" s="337"/>
      <c r="H106" s="337"/>
      <c r="I106" s="337"/>
      <c r="J106" s="337"/>
      <c r="K106" s="6"/>
      <c r="L106" s="6"/>
      <c r="M106" s="6"/>
      <c r="N106" s="6"/>
      <c r="O106" s="6"/>
      <c r="P106" s="6"/>
      <c r="Q106" s="6"/>
      <c r="R106" s="6"/>
      <c r="S106" s="6"/>
      <c r="T106" s="6"/>
      <c r="U106" s="6"/>
      <c r="V106" s="6"/>
      <c r="W106" s="6"/>
      <c r="X106" s="6"/>
      <c r="Y106" s="6"/>
      <c r="Z106" s="6"/>
    </row>
    <row r="107" ht="15.75" customHeight="1">
      <c r="A107" s="130"/>
      <c r="B107" s="2"/>
      <c r="C107" s="2"/>
      <c r="D107" s="2"/>
      <c r="E107" s="2"/>
      <c r="F107" s="2"/>
      <c r="G107" s="337"/>
      <c r="H107" s="337"/>
      <c r="I107" s="337"/>
      <c r="J107" s="337"/>
      <c r="K107" s="6"/>
      <c r="L107" s="6"/>
      <c r="M107" s="6"/>
      <c r="N107" s="6"/>
      <c r="O107" s="6"/>
      <c r="P107" s="6"/>
      <c r="Q107" s="6"/>
      <c r="R107" s="6"/>
      <c r="S107" s="6"/>
      <c r="T107" s="6"/>
      <c r="U107" s="6"/>
      <c r="V107" s="6"/>
      <c r="W107" s="6"/>
      <c r="X107" s="6"/>
      <c r="Y107" s="6"/>
      <c r="Z107" s="6"/>
    </row>
    <row r="108" ht="15.75" customHeight="1">
      <c r="A108" s="130"/>
      <c r="B108" s="2"/>
      <c r="C108" s="2"/>
      <c r="D108" s="2"/>
      <c r="E108" s="2"/>
      <c r="F108" s="2"/>
      <c r="G108" s="337"/>
      <c r="H108" s="337"/>
      <c r="I108" s="337"/>
      <c r="J108" s="337"/>
      <c r="K108" s="6"/>
      <c r="L108" s="6"/>
      <c r="M108" s="6"/>
      <c r="N108" s="6"/>
      <c r="O108" s="6"/>
      <c r="P108" s="6"/>
      <c r="Q108" s="6"/>
      <c r="R108" s="6"/>
      <c r="S108" s="6"/>
      <c r="T108" s="6"/>
      <c r="U108" s="6"/>
      <c r="V108" s="6"/>
      <c r="W108" s="6"/>
      <c r="X108" s="6"/>
      <c r="Y108" s="6"/>
      <c r="Z108" s="6"/>
    </row>
    <row r="109" ht="15.75" customHeight="1">
      <c r="A109" s="130"/>
      <c r="B109" s="2"/>
      <c r="C109" s="2"/>
      <c r="D109" s="2"/>
      <c r="E109" s="2"/>
      <c r="F109" s="2"/>
      <c r="G109" s="337"/>
      <c r="H109" s="337"/>
      <c r="I109" s="337"/>
      <c r="J109" s="337"/>
      <c r="K109" s="6"/>
      <c r="L109" s="6"/>
      <c r="M109" s="6"/>
      <c r="N109" s="6"/>
      <c r="O109" s="6"/>
      <c r="P109" s="6"/>
      <c r="Q109" s="6"/>
      <c r="R109" s="6"/>
      <c r="S109" s="6"/>
      <c r="T109" s="6"/>
      <c r="U109" s="6"/>
      <c r="V109" s="6"/>
      <c r="W109" s="6"/>
      <c r="X109" s="6"/>
      <c r="Y109" s="6"/>
      <c r="Z109" s="6"/>
    </row>
    <row r="110" ht="15.75" customHeight="1">
      <c r="A110" s="130"/>
      <c r="B110" s="2"/>
      <c r="C110" s="2"/>
      <c r="D110" s="2"/>
      <c r="E110" s="2"/>
      <c r="F110" s="2"/>
      <c r="G110" s="337"/>
      <c r="H110" s="337"/>
      <c r="I110" s="337"/>
      <c r="J110" s="337"/>
      <c r="K110" s="6"/>
      <c r="L110" s="6"/>
      <c r="M110" s="6"/>
      <c r="N110" s="6"/>
      <c r="O110" s="6"/>
      <c r="P110" s="6"/>
      <c r="Q110" s="6"/>
      <c r="R110" s="6"/>
      <c r="S110" s="6"/>
      <c r="T110" s="6"/>
      <c r="U110" s="6"/>
      <c r="V110" s="6"/>
      <c r="W110" s="6"/>
      <c r="X110" s="6"/>
      <c r="Y110" s="6"/>
      <c r="Z110" s="6"/>
    </row>
    <row r="111" ht="15.75" customHeight="1">
      <c r="A111" s="130"/>
      <c r="B111" s="2"/>
      <c r="C111" s="2"/>
      <c r="D111" s="2"/>
      <c r="E111" s="2"/>
      <c r="F111" s="2"/>
      <c r="G111" s="337"/>
      <c r="H111" s="337"/>
      <c r="I111" s="337"/>
      <c r="J111" s="337"/>
      <c r="K111" s="6"/>
      <c r="L111" s="6"/>
      <c r="M111" s="6"/>
      <c r="N111" s="6"/>
      <c r="O111" s="6"/>
      <c r="P111" s="6"/>
      <c r="Q111" s="6"/>
      <c r="R111" s="6"/>
      <c r="S111" s="6"/>
      <c r="T111" s="6"/>
      <c r="U111" s="6"/>
      <c r="V111" s="6"/>
      <c r="W111" s="6"/>
      <c r="X111" s="6"/>
      <c r="Y111" s="6"/>
      <c r="Z111" s="6"/>
    </row>
    <row r="112" ht="15.75" customHeight="1">
      <c r="A112" s="130"/>
      <c r="B112" s="2"/>
      <c r="C112" s="2"/>
      <c r="D112" s="2"/>
      <c r="E112" s="2"/>
      <c r="F112" s="2"/>
      <c r="G112" s="337"/>
      <c r="H112" s="337"/>
      <c r="I112" s="337"/>
      <c r="J112" s="337"/>
      <c r="K112" s="6"/>
      <c r="L112" s="6"/>
      <c r="M112" s="6"/>
      <c r="N112" s="6"/>
      <c r="O112" s="6"/>
      <c r="P112" s="6"/>
      <c r="Q112" s="6"/>
      <c r="R112" s="6"/>
      <c r="S112" s="6"/>
      <c r="T112" s="6"/>
      <c r="U112" s="6"/>
      <c r="V112" s="6"/>
      <c r="W112" s="6"/>
      <c r="X112" s="6"/>
      <c r="Y112" s="6"/>
      <c r="Z112" s="6"/>
    </row>
    <row r="113" ht="15.75" customHeight="1">
      <c r="A113" s="130"/>
      <c r="B113" s="2"/>
      <c r="C113" s="2"/>
      <c r="D113" s="2"/>
      <c r="E113" s="2"/>
      <c r="F113" s="2"/>
      <c r="G113" s="337"/>
      <c r="H113" s="337"/>
      <c r="I113" s="337"/>
      <c r="J113" s="337"/>
      <c r="K113" s="6"/>
      <c r="L113" s="6"/>
      <c r="M113" s="6"/>
      <c r="N113" s="6"/>
      <c r="O113" s="6"/>
      <c r="P113" s="6"/>
      <c r="Q113" s="6"/>
      <c r="R113" s="6"/>
      <c r="S113" s="6"/>
      <c r="T113" s="6"/>
      <c r="U113" s="6"/>
      <c r="V113" s="6"/>
      <c r="W113" s="6"/>
      <c r="X113" s="6"/>
      <c r="Y113" s="6"/>
      <c r="Z113" s="6"/>
    </row>
    <row r="114" ht="15.75" customHeight="1">
      <c r="A114" s="130"/>
      <c r="B114" s="2"/>
      <c r="C114" s="2"/>
      <c r="D114" s="2"/>
      <c r="E114" s="2"/>
      <c r="F114" s="2"/>
      <c r="G114" s="337"/>
      <c r="H114" s="337"/>
      <c r="I114" s="337"/>
      <c r="J114" s="337"/>
      <c r="K114" s="6"/>
      <c r="L114" s="6"/>
      <c r="M114" s="6"/>
      <c r="N114" s="6"/>
      <c r="O114" s="6"/>
      <c r="P114" s="6"/>
      <c r="Q114" s="6"/>
      <c r="R114" s="6"/>
      <c r="S114" s="6"/>
      <c r="T114" s="6"/>
      <c r="U114" s="6"/>
      <c r="V114" s="6"/>
      <c r="W114" s="6"/>
      <c r="X114" s="6"/>
      <c r="Y114" s="6"/>
      <c r="Z114" s="6"/>
    </row>
    <row r="115" ht="15.75" customHeight="1">
      <c r="A115" s="130"/>
      <c r="B115" s="2"/>
      <c r="C115" s="2"/>
      <c r="D115" s="2"/>
      <c r="E115" s="2"/>
      <c r="F115" s="2"/>
      <c r="G115" s="337"/>
      <c r="H115" s="337"/>
      <c r="I115" s="337"/>
      <c r="J115" s="337"/>
      <c r="K115" s="6"/>
      <c r="L115" s="6"/>
      <c r="M115" s="6"/>
      <c r="N115" s="6"/>
      <c r="O115" s="6"/>
      <c r="P115" s="6"/>
      <c r="Q115" s="6"/>
      <c r="R115" s="6"/>
      <c r="S115" s="6"/>
      <c r="T115" s="6"/>
      <c r="U115" s="6"/>
      <c r="V115" s="6"/>
      <c r="W115" s="6"/>
      <c r="X115" s="6"/>
      <c r="Y115" s="6"/>
      <c r="Z115" s="6"/>
    </row>
    <row r="116" ht="15.75" customHeight="1">
      <c r="A116" s="130"/>
      <c r="B116" s="2"/>
      <c r="C116" s="2"/>
      <c r="D116" s="2"/>
      <c r="E116" s="2"/>
      <c r="F116" s="2"/>
      <c r="G116" s="337"/>
      <c r="H116" s="337"/>
      <c r="I116" s="337"/>
      <c r="J116" s="337"/>
      <c r="K116" s="6"/>
      <c r="L116" s="6"/>
      <c r="M116" s="6"/>
      <c r="N116" s="6"/>
      <c r="O116" s="6"/>
      <c r="P116" s="6"/>
      <c r="Q116" s="6"/>
      <c r="R116" s="6"/>
      <c r="S116" s="6"/>
      <c r="T116" s="6"/>
      <c r="U116" s="6"/>
      <c r="V116" s="6"/>
      <c r="W116" s="6"/>
      <c r="X116" s="6"/>
      <c r="Y116" s="6"/>
      <c r="Z116" s="6"/>
    </row>
    <row r="117" ht="15.75" customHeight="1">
      <c r="A117" s="130"/>
      <c r="B117" s="2"/>
      <c r="C117" s="2"/>
      <c r="D117" s="2"/>
      <c r="E117" s="2"/>
      <c r="F117" s="2"/>
      <c r="G117" s="337"/>
      <c r="H117" s="337"/>
      <c r="I117" s="337"/>
      <c r="J117" s="337"/>
      <c r="K117" s="6"/>
      <c r="L117" s="6"/>
      <c r="M117" s="6"/>
      <c r="N117" s="6"/>
      <c r="O117" s="6"/>
      <c r="P117" s="6"/>
      <c r="Q117" s="6"/>
      <c r="R117" s="6"/>
      <c r="S117" s="6"/>
      <c r="T117" s="6"/>
      <c r="U117" s="6"/>
      <c r="V117" s="6"/>
      <c r="W117" s="6"/>
      <c r="X117" s="6"/>
      <c r="Y117" s="6"/>
      <c r="Z117" s="6"/>
    </row>
    <row r="118" ht="15.75" customHeight="1">
      <c r="A118" s="130"/>
      <c r="B118" s="2"/>
      <c r="C118" s="2"/>
      <c r="D118" s="2"/>
      <c r="E118" s="2"/>
      <c r="F118" s="2"/>
      <c r="G118" s="337"/>
      <c r="H118" s="337"/>
      <c r="I118" s="337"/>
      <c r="J118" s="337"/>
      <c r="K118" s="6"/>
      <c r="L118" s="6"/>
      <c r="M118" s="6"/>
      <c r="N118" s="6"/>
      <c r="O118" s="6"/>
      <c r="P118" s="6"/>
      <c r="Q118" s="6"/>
      <c r="R118" s="6"/>
      <c r="S118" s="6"/>
      <c r="T118" s="6"/>
      <c r="U118" s="6"/>
      <c r="V118" s="6"/>
      <c r="W118" s="6"/>
      <c r="X118" s="6"/>
      <c r="Y118" s="6"/>
      <c r="Z118" s="6"/>
    </row>
    <row r="119" ht="15.75" customHeight="1">
      <c r="A119" s="130"/>
      <c r="B119" s="2"/>
      <c r="C119" s="2"/>
      <c r="D119" s="2"/>
      <c r="E119" s="2"/>
      <c r="F119" s="2"/>
      <c r="G119" s="337"/>
      <c r="H119" s="337"/>
      <c r="I119" s="337"/>
      <c r="J119" s="337"/>
      <c r="K119" s="6"/>
      <c r="L119" s="6"/>
      <c r="M119" s="6"/>
      <c r="N119" s="6"/>
      <c r="O119" s="6"/>
      <c r="P119" s="6"/>
      <c r="Q119" s="6"/>
      <c r="R119" s="6"/>
      <c r="S119" s="6"/>
      <c r="T119" s="6"/>
      <c r="U119" s="6"/>
      <c r="V119" s="6"/>
      <c r="W119" s="6"/>
      <c r="X119" s="6"/>
      <c r="Y119" s="6"/>
      <c r="Z119" s="6"/>
    </row>
    <row r="120" ht="15.75" customHeight="1">
      <c r="A120" s="130"/>
      <c r="B120" s="2"/>
      <c r="C120" s="2"/>
      <c r="D120" s="2"/>
      <c r="E120" s="2"/>
      <c r="F120" s="2"/>
      <c r="G120" s="337"/>
      <c r="H120" s="337"/>
      <c r="I120" s="337"/>
      <c r="J120" s="337"/>
      <c r="K120" s="6"/>
      <c r="L120" s="6"/>
      <c r="M120" s="6"/>
      <c r="N120" s="6"/>
      <c r="O120" s="6"/>
      <c r="P120" s="6"/>
      <c r="Q120" s="6"/>
      <c r="R120" s="6"/>
      <c r="S120" s="6"/>
      <c r="T120" s="6"/>
      <c r="U120" s="6"/>
      <c r="V120" s="6"/>
      <c r="W120" s="6"/>
      <c r="X120" s="6"/>
      <c r="Y120" s="6"/>
      <c r="Z120" s="6"/>
    </row>
    <row r="121" ht="15.75" customHeight="1">
      <c r="A121" s="130"/>
      <c r="B121" s="2"/>
      <c r="C121" s="2"/>
      <c r="D121" s="2"/>
      <c r="E121" s="2"/>
      <c r="F121" s="2"/>
      <c r="G121" s="337"/>
      <c r="H121" s="337"/>
      <c r="I121" s="337"/>
      <c r="J121" s="337"/>
      <c r="K121" s="6"/>
      <c r="L121" s="6"/>
      <c r="M121" s="6"/>
      <c r="N121" s="6"/>
      <c r="O121" s="6"/>
      <c r="P121" s="6"/>
      <c r="Q121" s="6"/>
      <c r="R121" s="6"/>
      <c r="S121" s="6"/>
      <c r="T121" s="6"/>
      <c r="U121" s="6"/>
      <c r="V121" s="6"/>
      <c r="W121" s="6"/>
      <c r="X121" s="6"/>
      <c r="Y121" s="6"/>
      <c r="Z121" s="6"/>
    </row>
    <row r="122" ht="15.75" customHeight="1">
      <c r="A122" s="130"/>
      <c r="B122" s="2"/>
      <c r="C122" s="2"/>
      <c r="D122" s="2"/>
      <c r="E122" s="2"/>
      <c r="F122" s="2"/>
      <c r="G122" s="337"/>
      <c r="H122" s="337"/>
      <c r="I122" s="337"/>
      <c r="J122" s="337"/>
      <c r="K122" s="6"/>
      <c r="L122" s="6"/>
      <c r="M122" s="6"/>
      <c r="N122" s="6"/>
      <c r="O122" s="6"/>
      <c r="P122" s="6"/>
      <c r="Q122" s="6"/>
      <c r="R122" s="6"/>
      <c r="S122" s="6"/>
      <c r="T122" s="6"/>
      <c r="U122" s="6"/>
      <c r="V122" s="6"/>
      <c r="W122" s="6"/>
      <c r="X122" s="6"/>
      <c r="Y122" s="6"/>
      <c r="Z122" s="6"/>
    </row>
    <row r="123" ht="15.75" customHeight="1">
      <c r="A123" s="130"/>
      <c r="B123" s="2"/>
      <c r="C123" s="2"/>
      <c r="D123" s="2"/>
      <c r="E123" s="2"/>
      <c r="F123" s="2"/>
      <c r="G123" s="337"/>
      <c r="H123" s="337"/>
      <c r="I123" s="337"/>
      <c r="J123" s="337"/>
      <c r="K123" s="6"/>
      <c r="L123" s="6"/>
      <c r="M123" s="6"/>
      <c r="N123" s="6"/>
      <c r="O123" s="6"/>
      <c r="P123" s="6"/>
      <c r="Q123" s="6"/>
      <c r="R123" s="6"/>
      <c r="S123" s="6"/>
      <c r="T123" s="6"/>
      <c r="U123" s="6"/>
      <c r="V123" s="6"/>
      <c r="W123" s="6"/>
      <c r="X123" s="6"/>
      <c r="Y123" s="6"/>
      <c r="Z123" s="6"/>
    </row>
    <row r="124" ht="15.75" customHeight="1">
      <c r="A124" s="130"/>
      <c r="B124" s="2"/>
      <c r="C124" s="2"/>
      <c r="D124" s="2"/>
      <c r="E124" s="2"/>
      <c r="F124" s="2"/>
      <c r="G124" s="337"/>
      <c r="H124" s="337"/>
      <c r="I124" s="337"/>
      <c r="J124" s="337"/>
      <c r="K124" s="6"/>
      <c r="L124" s="6"/>
      <c r="M124" s="6"/>
      <c r="N124" s="6"/>
      <c r="O124" s="6"/>
      <c r="P124" s="6"/>
      <c r="Q124" s="6"/>
      <c r="R124" s="6"/>
      <c r="S124" s="6"/>
      <c r="T124" s="6"/>
      <c r="U124" s="6"/>
      <c r="V124" s="6"/>
      <c r="W124" s="6"/>
      <c r="X124" s="6"/>
      <c r="Y124" s="6"/>
      <c r="Z124" s="6"/>
    </row>
    <row r="125" ht="15.75" customHeight="1">
      <c r="A125" s="130"/>
      <c r="B125" s="2"/>
      <c r="C125" s="2"/>
      <c r="D125" s="2"/>
      <c r="E125" s="2"/>
      <c r="F125" s="2"/>
      <c r="G125" s="337"/>
      <c r="H125" s="337"/>
      <c r="I125" s="337"/>
      <c r="J125" s="337"/>
      <c r="K125" s="6"/>
      <c r="L125" s="6"/>
      <c r="M125" s="6"/>
      <c r="N125" s="6"/>
      <c r="O125" s="6"/>
      <c r="P125" s="6"/>
      <c r="Q125" s="6"/>
      <c r="R125" s="6"/>
      <c r="S125" s="6"/>
      <c r="T125" s="6"/>
      <c r="U125" s="6"/>
      <c r="V125" s="6"/>
      <c r="W125" s="6"/>
      <c r="X125" s="6"/>
      <c r="Y125" s="6"/>
      <c r="Z125" s="6"/>
    </row>
    <row r="126" ht="15.75" customHeight="1">
      <c r="A126" s="130"/>
      <c r="B126" s="2"/>
      <c r="C126" s="2"/>
      <c r="D126" s="2"/>
      <c r="E126" s="2"/>
      <c r="F126" s="2"/>
      <c r="G126" s="337"/>
      <c r="H126" s="337"/>
      <c r="I126" s="337"/>
      <c r="J126" s="337"/>
      <c r="K126" s="6"/>
      <c r="L126" s="6"/>
      <c r="M126" s="6"/>
      <c r="N126" s="6"/>
      <c r="O126" s="6"/>
      <c r="P126" s="6"/>
      <c r="Q126" s="6"/>
      <c r="R126" s="6"/>
      <c r="S126" s="6"/>
      <c r="T126" s="6"/>
      <c r="U126" s="6"/>
      <c r="V126" s="6"/>
      <c r="W126" s="6"/>
      <c r="X126" s="6"/>
      <c r="Y126" s="6"/>
      <c r="Z126" s="6"/>
    </row>
    <row r="127" ht="15.75" customHeight="1">
      <c r="A127" s="130"/>
      <c r="B127" s="2"/>
      <c r="C127" s="2"/>
      <c r="D127" s="2"/>
      <c r="E127" s="2"/>
      <c r="F127" s="2"/>
      <c r="G127" s="337"/>
      <c r="H127" s="337"/>
      <c r="I127" s="337"/>
      <c r="J127" s="337"/>
      <c r="K127" s="6"/>
      <c r="L127" s="6"/>
      <c r="M127" s="6"/>
      <c r="N127" s="6"/>
      <c r="O127" s="6"/>
      <c r="P127" s="6"/>
      <c r="Q127" s="6"/>
      <c r="R127" s="6"/>
      <c r="S127" s="6"/>
      <c r="T127" s="6"/>
      <c r="U127" s="6"/>
      <c r="V127" s="6"/>
      <c r="W127" s="6"/>
      <c r="X127" s="6"/>
      <c r="Y127" s="6"/>
      <c r="Z127" s="6"/>
    </row>
    <row r="128" ht="15.75" customHeight="1">
      <c r="A128" s="130"/>
      <c r="B128" s="2"/>
      <c r="C128" s="2"/>
      <c r="D128" s="2"/>
      <c r="E128" s="2"/>
      <c r="F128" s="2"/>
      <c r="G128" s="337"/>
      <c r="H128" s="337"/>
      <c r="I128" s="337"/>
      <c r="J128" s="337"/>
      <c r="K128" s="6"/>
      <c r="L128" s="6"/>
      <c r="M128" s="6"/>
      <c r="N128" s="6"/>
      <c r="O128" s="6"/>
      <c r="P128" s="6"/>
      <c r="Q128" s="6"/>
      <c r="R128" s="6"/>
      <c r="S128" s="6"/>
      <c r="T128" s="6"/>
      <c r="U128" s="6"/>
      <c r="V128" s="6"/>
      <c r="W128" s="6"/>
      <c r="X128" s="6"/>
      <c r="Y128" s="6"/>
      <c r="Z128" s="6"/>
    </row>
    <row r="129" ht="15.75" customHeight="1">
      <c r="A129" s="130"/>
      <c r="B129" s="2"/>
      <c r="C129" s="2"/>
      <c r="D129" s="2"/>
      <c r="E129" s="2"/>
      <c r="F129" s="2"/>
      <c r="G129" s="337"/>
      <c r="H129" s="337"/>
      <c r="I129" s="337"/>
      <c r="J129" s="337"/>
      <c r="K129" s="6"/>
      <c r="L129" s="6"/>
      <c r="M129" s="6"/>
      <c r="N129" s="6"/>
      <c r="O129" s="6"/>
      <c r="P129" s="6"/>
      <c r="Q129" s="6"/>
      <c r="R129" s="6"/>
      <c r="S129" s="6"/>
      <c r="T129" s="6"/>
      <c r="U129" s="6"/>
      <c r="V129" s="6"/>
      <c r="W129" s="6"/>
      <c r="X129" s="6"/>
      <c r="Y129" s="6"/>
      <c r="Z129" s="6"/>
    </row>
    <row r="130" ht="15.75" customHeight="1">
      <c r="A130" s="130"/>
      <c r="B130" s="2"/>
      <c r="C130" s="2"/>
      <c r="D130" s="2"/>
      <c r="E130" s="2"/>
      <c r="F130" s="2"/>
      <c r="G130" s="337"/>
      <c r="H130" s="337"/>
      <c r="I130" s="337"/>
      <c r="J130" s="337"/>
      <c r="K130" s="6"/>
      <c r="L130" s="6"/>
      <c r="M130" s="6"/>
      <c r="N130" s="6"/>
      <c r="O130" s="6"/>
      <c r="P130" s="6"/>
      <c r="Q130" s="6"/>
      <c r="R130" s="6"/>
      <c r="S130" s="6"/>
      <c r="T130" s="6"/>
      <c r="U130" s="6"/>
      <c r="V130" s="6"/>
      <c r="W130" s="6"/>
      <c r="X130" s="6"/>
      <c r="Y130" s="6"/>
      <c r="Z130" s="6"/>
    </row>
    <row r="131" ht="15.75" customHeight="1">
      <c r="A131" s="130"/>
      <c r="B131" s="2"/>
      <c r="C131" s="2"/>
      <c r="D131" s="2"/>
      <c r="E131" s="2"/>
      <c r="F131" s="2"/>
      <c r="G131" s="337"/>
      <c r="H131" s="337"/>
      <c r="I131" s="337"/>
      <c r="J131" s="337"/>
      <c r="K131" s="6"/>
      <c r="L131" s="6"/>
      <c r="M131" s="6"/>
      <c r="N131" s="6"/>
      <c r="O131" s="6"/>
      <c r="P131" s="6"/>
      <c r="Q131" s="6"/>
      <c r="R131" s="6"/>
      <c r="S131" s="6"/>
      <c r="T131" s="6"/>
      <c r="U131" s="6"/>
      <c r="V131" s="6"/>
      <c r="W131" s="6"/>
      <c r="X131" s="6"/>
      <c r="Y131" s="6"/>
      <c r="Z131" s="6"/>
    </row>
    <row r="132" ht="15.75" customHeight="1">
      <c r="A132" s="130"/>
      <c r="B132" s="2"/>
      <c r="C132" s="2"/>
      <c r="D132" s="2"/>
      <c r="E132" s="2"/>
      <c r="F132" s="2"/>
      <c r="G132" s="337"/>
      <c r="H132" s="337"/>
      <c r="I132" s="337"/>
      <c r="J132" s="337"/>
      <c r="K132" s="6"/>
      <c r="L132" s="6"/>
      <c r="M132" s="6"/>
      <c r="N132" s="6"/>
      <c r="O132" s="6"/>
      <c r="P132" s="6"/>
      <c r="Q132" s="6"/>
      <c r="R132" s="6"/>
      <c r="S132" s="6"/>
      <c r="T132" s="6"/>
      <c r="U132" s="6"/>
      <c r="V132" s="6"/>
      <c r="W132" s="6"/>
      <c r="X132" s="6"/>
      <c r="Y132" s="6"/>
      <c r="Z132" s="6"/>
    </row>
    <row r="133" ht="15.75" customHeight="1">
      <c r="A133" s="130"/>
      <c r="B133" s="2"/>
      <c r="C133" s="2"/>
      <c r="D133" s="2"/>
      <c r="E133" s="2"/>
      <c r="F133" s="2"/>
      <c r="G133" s="337"/>
      <c r="H133" s="337"/>
      <c r="I133" s="337"/>
      <c r="J133" s="337"/>
      <c r="K133" s="6"/>
      <c r="L133" s="6"/>
      <c r="M133" s="6"/>
      <c r="N133" s="6"/>
      <c r="O133" s="6"/>
      <c r="P133" s="6"/>
      <c r="Q133" s="6"/>
      <c r="R133" s="6"/>
      <c r="S133" s="6"/>
      <c r="T133" s="6"/>
      <c r="U133" s="6"/>
      <c r="V133" s="6"/>
      <c r="W133" s="6"/>
      <c r="X133" s="6"/>
      <c r="Y133" s="6"/>
      <c r="Z133" s="6"/>
    </row>
    <row r="134" ht="15.75" customHeight="1">
      <c r="A134" s="130"/>
      <c r="B134" s="2"/>
      <c r="C134" s="2"/>
      <c r="D134" s="2"/>
      <c r="E134" s="2"/>
      <c r="F134" s="2"/>
      <c r="G134" s="337"/>
      <c r="H134" s="337"/>
      <c r="I134" s="337"/>
      <c r="J134" s="337"/>
      <c r="K134" s="6"/>
      <c r="L134" s="6"/>
      <c r="M134" s="6"/>
      <c r="N134" s="6"/>
      <c r="O134" s="6"/>
      <c r="P134" s="6"/>
      <c r="Q134" s="6"/>
      <c r="R134" s="6"/>
      <c r="S134" s="6"/>
      <c r="T134" s="6"/>
      <c r="U134" s="6"/>
      <c r="V134" s="6"/>
      <c r="W134" s="6"/>
      <c r="X134" s="6"/>
      <c r="Y134" s="6"/>
      <c r="Z134" s="6"/>
    </row>
    <row r="135" ht="15.75" customHeight="1">
      <c r="A135" s="130"/>
      <c r="B135" s="2"/>
      <c r="C135" s="2"/>
      <c r="D135" s="2"/>
      <c r="E135" s="2"/>
      <c r="F135" s="2"/>
      <c r="G135" s="337"/>
      <c r="H135" s="337"/>
      <c r="I135" s="337"/>
      <c r="J135" s="337"/>
      <c r="K135" s="6"/>
      <c r="L135" s="6"/>
      <c r="M135" s="6"/>
      <c r="N135" s="6"/>
      <c r="O135" s="6"/>
      <c r="P135" s="6"/>
      <c r="Q135" s="6"/>
      <c r="R135" s="6"/>
      <c r="S135" s="6"/>
      <c r="T135" s="6"/>
      <c r="U135" s="6"/>
      <c r="V135" s="6"/>
      <c r="W135" s="6"/>
      <c r="X135" s="6"/>
      <c r="Y135" s="6"/>
      <c r="Z135" s="6"/>
    </row>
    <row r="136" ht="15.75" customHeight="1">
      <c r="A136" s="130"/>
      <c r="B136" s="2"/>
      <c r="C136" s="2"/>
      <c r="D136" s="2"/>
      <c r="E136" s="2"/>
      <c r="F136" s="2"/>
      <c r="G136" s="337"/>
      <c r="H136" s="337"/>
      <c r="I136" s="337"/>
      <c r="J136" s="337"/>
      <c r="K136" s="6"/>
      <c r="L136" s="6"/>
      <c r="M136" s="6"/>
      <c r="N136" s="6"/>
      <c r="O136" s="6"/>
      <c r="P136" s="6"/>
      <c r="Q136" s="6"/>
      <c r="R136" s="6"/>
      <c r="S136" s="6"/>
      <c r="T136" s="6"/>
      <c r="U136" s="6"/>
      <c r="V136" s="6"/>
      <c r="W136" s="6"/>
      <c r="X136" s="6"/>
      <c r="Y136" s="6"/>
      <c r="Z136" s="6"/>
    </row>
    <row r="137" ht="15.75" customHeight="1">
      <c r="A137" s="130"/>
      <c r="B137" s="2"/>
      <c r="C137" s="2"/>
      <c r="D137" s="2"/>
      <c r="E137" s="2"/>
      <c r="F137" s="2"/>
      <c r="G137" s="337"/>
      <c r="H137" s="337"/>
      <c r="I137" s="337"/>
      <c r="J137" s="337"/>
      <c r="K137" s="6"/>
      <c r="L137" s="6"/>
      <c r="M137" s="6"/>
      <c r="N137" s="6"/>
      <c r="O137" s="6"/>
      <c r="P137" s="6"/>
      <c r="Q137" s="6"/>
      <c r="R137" s="6"/>
      <c r="S137" s="6"/>
      <c r="T137" s="6"/>
      <c r="U137" s="6"/>
      <c r="V137" s="6"/>
      <c r="W137" s="6"/>
      <c r="X137" s="6"/>
      <c r="Y137" s="6"/>
      <c r="Z137" s="6"/>
    </row>
    <row r="138" ht="15.75" customHeight="1">
      <c r="A138" s="130"/>
      <c r="B138" s="2"/>
      <c r="C138" s="2"/>
      <c r="D138" s="2"/>
      <c r="E138" s="2"/>
      <c r="F138" s="2"/>
      <c r="G138" s="337"/>
      <c r="H138" s="337"/>
      <c r="I138" s="337"/>
      <c r="J138" s="337"/>
      <c r="K138" s="6"/>
      <c r="L138" s="6"/>
      <c r="M138" s="6"/>
      <c r="N138" s="6"/>
      <c r="O138" s="6"/>
      <c r="P138" s="6"/>
      <c r="Q138" s="6"/>
      <c r="R138" s="6"/>
      <c r="S138" s="6"/>
      <c r="T138" s="6"/>
      <c r="U138" s="6"/>
      <c r="V138" s="6"/>
      <c r="W138" s="6"/>
      <c r="X138" s="6"/>
      <c r="Y138" s="6"/>
      <c r="Z138" s="6"/>
    </row>
    <row r="139" ht="15.75" customHeight="1">
      <c r="A139" s="130"/>
      <c r="B139" s="2"/>
      <c r="C139" s="2"/>
      <c r="D139" s="2"/>
      <c r="E139" s="2"/>
      <c r="F139" s="2"/>
      <c r="G139" s="337"/>
      <c r="H139" s="337"/>
      <c r="I139" s="337"/>
      <c r="J139" s="337"/>
      <c r="K139" s="6"/>
      <c r="L139" s="6"/>
      <c r="M139" s="6"/>
      <c r="N139" s="6"/>
      <c r="O139" s="6"/>
      <c r="P139" s="6"/>
      <c r="Q139" s="6"/>
      <c r="R139" s="6"/>
      <c r="S139" s="6"/>
      <c r="T139" s="6"/>
      <c r="U139" s="6"/>
      <c r="V139" s="6"/>
      <c r="W139" s="6"/>
      <c r="X139" s="6"/>
      <c r="Y139" s="6"/>
      <c r="Z139" s="6"/>
    </row>
    <row r="140" ht="15.75" customHeight="1">
      <c r="A140" s="130"/>
      <c r="B140" s="2"/>
      <c r="C140" s="2"/>
      <c r="D140" s="2"/>
      <c r="E140" s="2"/>
      <c r="F140" s="2"/>
      <c r="G140" s="337"/>
      <c r="H140" s="337"/>
      <c r="I140" s="337"/>
      <c r="J140" s="337"/>
      <c r="K140" s="6"/>
      <c r="L140" s="6"/>
      <c r="M140" s="6"/>
      <c r="N140" s="6"/>
      <c r="O140" s="6"/>
      <c r="P140" s="6"/>
      <c r="Q140" s="6"/>
      <c r="R140" s="6"/>
      <c r="S140" s="6"/>
      <c r="T140" s="6"/>
      <c r="U140" s="6"/>
      <c r="V140" s="6"/>
      <c r="W140" s="6"/>
      <c r="X140" s="6"/>
      <c r="Y140" s="6"/>
      <c r="Z140" s="6"/>
    </row>
    <row r="141" ht="15.75" customHeight="1">
      <c r="A141" s="130"/>
      <c r="B141" s="2"/>
      <c r="C141" s="2"/>
      <c r="D141" s="2"/>
      <c r="E141" s="2"/>
      <c r="F141" s="2"/>
      <c r="G141" s="337"/>
      <c r="H141" s="337"/>
      <c r="I141" s="337"/>
      <c r="J141" s="337"/>
      <c r="K141" s="6"/>
      <c r="L141" s="6"/>
      <c r="M141" s="6"/>
      <c r="N141" s="6"/>
      <c r="O141" s="6"/>
      <c r="P141" s="6"/>
      <c r="Q141" s="6"/>
      <c r="R141" s="6"/>
      <c r="S141" s="6"/>
      <c r="T141" s="6"/>
      <c r="U141" s="6"/>
      <c r="V141" s="6"/>
      <c r="W141" s="6"/>
      <c r="X141" s="6"/>
      <c r="Y141" s="6"/>
      <c r="Z141" s="6"/>
    </row>
    <row r="142" ht="15.75" customHeight="1">
      <c r="A142" s="130"/>
      <c r="B142" s="2"/>
      <c r="C142" s="2"/>
      <c r="D142" s="2"/>
      <c r="E142" s="2"/>
      <c r="F142" s="2"/>
      <c r="G142" s="337"/>
      <c r="H142" s="337"/>
      <c r="I142" s="337"/>
      <c r="J142" s="337"/>
      <c r="K142" s="6"/>
      <c r="L142" s="6"/>
      <c r="M142" s="6"/>
      <c r="N142" s="6"/>
      <c r="O142" s="6"/>
      <c r="P142" s="6"/>
      <c r="Q142" s="6"/>
      <c r="R142" s="6"/>
      <c r="S142" s="6"/>
      <c r="T142" s="6"/>
      <c r="U142" s="6"/>
      <c r="V142" s="6"/>
      <c r="W142" s="6"/>
      <c r="X142" s="6"/>
      <c r="Y142" s="6"/>
      <c r="Z142" s="6"/>
    </row>
    <row r="143" ht="15.75" customHeight="1">
      <c r="A143" s="130"/>
      <c r="B143" s="2"/>
      <c r="C143" s="2"/>
      <c r="D143" s="2"/>
      <c r="E143" s="2"/>
      <c r="F143" s="2"/>
      <c r="G143" s="337"/>
      <c r="H143" s="337"/>
      <c r="I143" s="337"/>
      <c r="J143" s="337"/>
      <c r="K143" s="6"/>
      <c r="L143" s="6"/>
      <c r="M143" s="6"/>
      <c r="N143" s="6"/>
      <c r="O143" s="6"/>
      <c r="P143" s="6"/>
      <c r="Q143" s="6"/>
      <c r="R143" s="6"/>
      <c r="S143" s="6"/>
      <c r="T143" s="6"/>
      <c r="U143" s="6"/>
      <c r="V143" s="6"/>
      <c r="W143" s="6"/>
      <c r="X143" s="6"/>
      <c r="Y143" s="6"/>
      <c r="Z143" s="6"/>
    </row>
    <row r="144" ht="15.75" customHeight="1">
      <c r="A144" s="130"/>
      <c r="B144" s="2"/>
      <c r="C144" s="2"/>
      <c r="D144" s="2"/>
      <c r="E144" s="2"/>
      <c r="F144" s="2"/>
      <c r="G144" s="337"/>
      <c r="H144" s="337"/>
      <c r="I144" s="337"/>
      <c r="J144" s="337"/>
      <c r="K144" s="6"/>
      <c r="L144" s="6"/>
      <c r="M144" s="6"/>
      <c r="N144" s="6"/>
      <c r="O144" s="6"/>
      <c r="P144" s="6"/>
      <c r="Q144" s="6"/>
      <c r="R144" s="6"/>
      <c r="S144" s="6"/>
      <c r="T144" s="6"/>
      <c r="U144" s="6"/>
      <c r="V144" s="6"/>
      <c r="W144" s="6"/>
      <c r="X144" s="6"/>
      <c r="Y144" s="6"/>
      <c r="Z144" s="6"/>
    </row>
    <row r="145" ht="15.75" customHeight="1">
      <c r="A145" s="130"/>
      <c r="B145" s="2"/>
      <c r="C145" s="2"/>
      <c r="D145" s="2"/>
      <c r="E145" s="2"/>
      <c r="F145" s="2"/>
      <c r="G145" s="337"/>
      <c r="H145" s="337"/>
      <c r="I145" s="337"/>
      <c r="J145" s="337"/>
      <c r="K145" s="6"/>
      <c r="L145" s="6"/>
      <c r="M145" s="6"/>
      <c r="N145" s="6"/>
      <c r="O145" s="6"/>
      <c r="P145" s="6"/>
      <c r="Q145" s="6"/>
      <c r="R145" s="6"/>
      <c r="S145" s="6"/>
      <c r="T145" s="6"/>
      <c r="U145" s="6"/>
      <c r="V145" s="6"/>
      <c r="W145" s="6"/>
      <c r="X145" s="6"/>
      <c r="Y145" s="6"/>
      <c r="Z145" s="6"/>
    </row>
    <row r="146" ht="15.75" customHeight="1">
      <c r="A146" s="130"/>
      <c r="B146" s="2"/>
      <c r="C146" s="2"/>
      <c r="D146" s="2"/>
      <c r="E146" s="2"/>
      <c r="F146" s="2"/>
      <c r="G146" s="337"/>
      <c r="H146" s="337"/>
      <c r="I146" s="337"/>
      <c r="J146" s="337"/>
      <c r="K146" s="6"/>
      <c r="L146" s="6"/>
      <c r="M146" s="6"/>
      <c r="N146" s="6"/>
      <c r="O146" s="6"/>
      <c r="P146" s="6"/>
      <c r="Q146" s="6"/>
      <c r="R146" s="6"/>
      <c r="S146" s="6"/>
      <c r="T146" s="6"/>
      <c r="U146" s="6"/>
      <c r="V146" s="6"/>
      <c r="W146" s="6"/>
      <c r="X146" s="6"/>
      <c r="Y146" s="6"/>
      <c r="Z146" s="6"/>
    </row>
    <row r="147" ht="15.75" customHeight="1">
      <c r="A147" s="130"/>
      <c r="B147" s="2"/>
      <c r="C147" s="2"/>
      <c r="D147" s="2"/>
      <c r="E147" s="2"/>
      <c r="F147" s="2"/>
      <c r="G147" s="337"/>
      <c r="H147" s="337"/>
      <c r="I147" s="337"/>
      <c r="J147" s="337"/>
      <c r="K147" s="6"/>
      <c r="L147" s="6"/>
      <c r="M147" s="6"/>
      <c r="N147" s="6"/>
      <c r="O147" s="6"/>
      <c r="P147" s="6"/>
      <c r="Q147" s="6"/>
      <c r="R147" s="6"/>
      <c r="S147" s="6"/>
      <c r="T147" s="6"/>
      <c r="U147" s="6"/>
      <c r="V147" s="6"/>
      <c r="W147" s="6"/>
      <c r="X147" s="6"/>
      <c r="Y147" s="6"/>
      <c r="Z147" s="6"/>
    </row>
    <row r="148" ht="15.75" customHeight="1">
      <c r="A148" s="130"/>
      <c r="B148" s="2"/>
      <c r="C148" s="2"/>
      <c r="D148" s="2"/>
      <c r="E148" s="2"/>
      <c r="F148" s="2"/>
      <c r="G148" s="337"/>
      <c r="H148" s="337"/>
      <c r="I148" s="337"/>
      <c r="J148" s="337"/>
      <c r="K148" s="6"/>
      <c r="L148" s="6"/>
      <c r="M148" s="6"/>
      <c r="N148" s="6"/>
      <c r="O148" s="6"/>
      <c r="P148" s="6"/>
      <c r="Q148" s="6"/>
      <c r="R148" s="6"/>
      <c r="S148" s="6"/>
      <c r="T148" s="6"/>
      <c r="U148" s="6"/>
      <c r="V148" s="6"/>
      <c r="W148" s="6"/>
      <c r="X148" s="6"/>
      <c r="Y148" s="6"/>
      <c r="Z148" s="6"/>
    </row>
    <row r="149" ht="15.75" customHeight="1">
      <c r="A149" s="130"/>
      <c r="B149" s="2"/>
      <c r="C149" s="2"/>
      <c r="D149" s="2"/>
      <c r="E149" s="2"/>
      <c r="F149" s="2"/>
      <c r="G149" s="337"/>
      <c r="H149" s="337"/>
      <c r="I149" s="337"/>
      <c r="J149" s="337"/>
      <c r="K149" s="6"/>
      <c r="L149" s="6"/>
      <c r="M149" s="6"/>
      <c r="N149" s="6"/>
      <c r="O149" s="6"/>
      <c r="P149" s="6"/>
      <c r="Q149" s="6"/>
      <c r="R149" s="6"/>
      <c r="S149" s="6"/>
      <c r="T149" s="6"/>
      <c r="U149" s="6"/>
      <c r="V149" s="6"/>
      <c r="W149" s="6"/>
      <c r="X149" s="6"/>
      <c r="Y149" s="6"/>
      <c r="Z149" s="6"/>
    </row>
    <row r="150" ht="15.75" customHeight="1">
      <c r="A150" s="130"/>
      <c r="B150" s="2"/>
      <c r="C150" s="2"/>
      <c r="D150" s="2"/>
      <c r="E150" s="2"/>
      <c r="F150" s="2"/>
      <c r="G150" s="337"/>
      <c r="H150" s="337"/>
      <c r="I150" s="337"/>
      <c r="J150" s="337"/>
      <c r="K150" s="6"/>
      <c r="L150" s="6"/>
      <c r="M150" s="6"/>
      <c r="N150" s="6"/>
      <c r="O150" s="6"/>
      <c r="P150" s="6"/>
      <c r="Q150" s="6"/>
      <c r="R150" s="6"/>
      <c r="S150" s="6"/>
      <c r="T150" s="6"/>
      <c r="U150" s="6"/>
      <c r="V150" s="6"/>
      <c r="W150" s="6"/>
      <c r="X150" s="6"/>
      <c r="Y150" s="6"/>
      <c r="Z150" s="6"/>
    </row>
    <row r="151" ht="15.75" customHeight="1">
      <c r="A151" s="130"/>
      <c r="B151" s="2"/>
      <c r="C151" s="2"/>
      <c r="D151" s="2"/>
      <c r="E151" s="2"/>
      <c r="F151" s="2"/>
      <c r="G151" s="337"/>
      <c r="H151" s="337"/>
      <c r="I151" s="337"/>
      <c r="J151" s="337"/>
      <c r="K151" s="6"/>
      <c r="L151" s="6"/>
      <c r="M151" s="6"/>
      <c r="N151" s="6"/>
      <c r="O151" s="6"/>
      <c r="P151" s="6"/>
      <c r="Q151" s="6"/>
      <c r="R151" s="6"/>
      <c r="S151" s="6"/>
      <c r="T151" s="6"/>
      <c r="U151" s="6"/>
      <c r="V151" s="6"/>
      <c r="W151" s="6"/>
      <c r="X151" s="6"/>
      <c r="Y151" s="6"/>
      <c r="Z151" s="6"/>
    </row>
    <row r="152" ht="15.75" customHeight="1">
      <c r="A152" s="130"/>
      <c r="B152" s="2"/>
      <c r="C152" s="2"/>
      <c r="D152" s="2"/>
      <c r="E152" s="2"/>
      <c r="F152" s="2"/>
      <c r="G152" s="337"/>
      <c r="H152" s="337"/>
      <c r="I152" s="337"/>
      <c r="J152" s="337"/>
      <c r="K152" s="6"/>
      <c r="L152" s="6"/>
      <c r="M152" s="6"/>
      <c r="N152" s="6"/>
      <c r="O152" s="6"/>
      <c r="P152" s="6"/>
      <c r="Q152" s="6"/>
      <c r="R152" s="6"/>
      <c r="S152" s="6"/>
      <c r="T152" s="6"/>
      <c r="U152" s="6"/>
      <c r="V152" s="6"/>
      <c r="W152" s="6"/>
      <c r="X152" s="6"/>
      <c r="Y152" s="6"/>
      <c r="Z152" s="6"/>
    </row>
    <row r="153" ht="15.75" customHeight="1">
      <c r="A153" s="130"/>
      <c r="B153" s="2"/>
      <c r="C153" s="2"/>
      <c r="D153" s="2"/>
      <c r="E153" s="2"/>
      <c r="F153" s="2"/>
      <c r="G153" s="337"/>
      <c r="H153" s="337"/>
      <c r="I153" s="337"/>
      <c r="J153" s="337"/>
      <c r="K153" s="6"/>
      <c r="L153" s="6"/>
      <c r="M153" s="6"/>
      <c r="N153" s="6"/>
      <c r="O153" s="6"/>
      <c r="P153" s="6"/>
      <c r="Q153" s="6"/>
      <c r="R153" s="6"/>
      <c r="S153" s="6"/>
      <c r="T153" s="6"/>
      <c r="U153" s="6"/>
      <c r="V153" s="6"/>
      <c r="W153" s="6"/>
      <c r="X153" s="6"/>
      <c r="Y153" s="6"/>
      <c r="Z153" s="6"/>
    </row>
    <row r="154" ht="15.75" customHeight="1">
      <c r="A154" s="130"/>
      <c r="B154" s="2"/>
      <c r="C154" s="2"/>
      <c r="D154" s="2"/>
      <c r="E154" s="2"/>
      <c r="F154" s="2"/>
      <c r="G154" s="337"/>
      <c r="H154" s="337"/>
      <c r="I154" s="337"/>
      <c r="J154" s="337"/>
      <c r="K154" s="6"/>
      <c r="L154" s="6"/>
      <c r="M154" s="6"/>
      <c r="N154" s="6"/>
      <c r="O154" s="6"/>
      <c r="P154" s="6"/>
      <c r="Q154" s="6"/>
      <c r="R154" s="6"/>
      <c r="S154" s="6"/>
      <c r="T154" s="6"/>
      <c r="U154" s="6"/>
      <c r="V154" s="6"/>
      <c r="W154" s="6"/>
      <c r="X154" s="6"/>
      <c r="Y154" s="6"/>
      <c r="Z154" s="6"/>
    </row>
    <row r="155" ht="15.75" customHeight="1">
      <c r="A155" s="130"/>
      <c r="B155" s="2"/>
      <c r="C155" s="2"/>
      <c r="D155" s="2"/>
      <c r="E155" s="2"/>
      <c r="F155" s="2"/>
      <c r="G155" s="337"/>
      <c r="H155" s="337"/>
      <c r="I155" s="337"/>
      <c r="J155" s="337"/>
      <c r="K155" s="6"/>
      <c r="L155" s="6"/>
      <c r="M155" s="6"/>
      <c r="N155" s="6"/>
      <c r="O155" s="6"/>
      <c r="P155" s="6"/>
      <c r="Q155" s="6"/>
      <c r="R155" s="6"/>
      <c r="S155" s="6"/>
      <c r="T155" s="6"/>
      <c r="U155" s="6"/>
      <c r="V155" s="6"/>
      <c r="W155" s="6"/>
      <c r="X155" s="6"/>
      <c r="Y155" s="6"/>
      <c r="Z155" s="6"/>
    </row>
    <row r="156" ht="15.75" customHeight="1">
      <c r="A156" s="130"/>
      <c r="B156" s="2"/>
      <c r="C156" s="2"/>
      <c r="D156" s="2"/>
      <c r="E156" s="2"/>
      <c r="F156" s="2"/>
      <c r="G156" s="337"/>
      <c r="H156" s="337"/>
      <c r="I156" s="337"/>
      <c r="J156" s="337"/>
      <c r="K156" s="6"/>
      <c r="L156" s="6"/>
      <c r="M156" s="6"/>
      <c r="N156" s="6"/>
      <c r="O156" s="6"/>
      <c r="P156" s="6"/>
      <c r="Q156" s="6"/>
      <c r="R156" s="6"/>
      <c r="S156" s="6"/>
      <c r="T156" s="6"/>
      <c r="U156" s="6"/>
      <c r="V156" s="6"/>
      <c r="W156" s="6"/>
      <c r="X156" s="6"/>
      <c r="Y156" s="6"/>
      <c r="Z156" s="6"/>
    </row>
    <row r="157" ht="15.75" customHeight="1">
      <c r="A157" s="130"/>
      <c r="B157" s="2"/>
      <c r="C157" s="2"/>
      <c r="D157" s="2"/>
      <c r="E157" s="2"/>
      <c r="F157" s="2"/>
      <c r="G157" s="337"/>
      <c r="H157" s="337"/>
      <c r="I157" s="337"/>
      <c r="J157" s="337"/>
      <c r="K157" s="6"/>
      <c r="L157" s="6"/>
      <c r="M157" s="6"/>
      <c r="N157" s="6"/>
      <c r="O157" s="6"/>
      <c r="P157" s="6"/>
      <c r="Q157" s="6"/>
      <c r="R157" s="6"/>
      <c r="S157" s="6"/>
      <c r="T157" s="6"/>
      <c r="U157" s="6"/>
      <c r="V157" s="6"/>
      <c r="W157" s="6"/>
      <c r="X157" s="6"/>
      <c r="Y157" s="6"/>
      <c r="Z157" s="6"/>
    </row>
    <row r="158" ht="15.75" customHeight="1">
      <c r="A158" s="130"/>
      <c r="B158" s="2"/>
      <c r="C158" s="2"/>
      <c r="D158" s="2"/>
      <c r="E158" s="2"/>
      <c r="F158" s="2"/>
      <c r="G158" s="337"/>
      <c r="H158" s="337"/>
      <c r="I158" s="337"/>
      <c r="J158" s="337"/>
      <c r="K158" s="6"/>
      <c r="L158" s="6"/>
      <c r="M158" s="6"/>
      <c r="N158" s="6"/>
      <c r="O158" s="6"/>
      <c r="P158" s="6"/>
      <c r="Q158" s="6"/>
      <c r="R158" s="6"/>
      <c r="S158" s="6"/>
      <c r="T158" s="6"/>
      <c r="U158" s="6"/>
      <c r="V158" s="6"/>
      <c r="W158" s="6"/>
      <c r="X158" s="6"/>
      <c r="Y158" s="6"/>
      <c r="Z158" s="6"/>
    </row>
    <row r="159" ht="15.75" customHeight="1">
      <c r="A159" s="130"/>
      <c r="B159" s="2"/>
      <c r="C159" s="2"/>
      <c r="D159" s="2"/>
      <c r="E159" s="2"/>
      <c r="F159" s="2"/>
      <c r="G159" s="337"/>
      <c r="H159" s="337"/>
      <c r="I159" s="337"/>
      <c r="J159" s="337"/>
      <c r="K159" s="6"/>
      <c r="L159" s="6"/>
      <c r="M159" s="6"/>
      <c r="N159" s="6"/>
      <c r="O159" s="6"/>
      <c r="P159" s="6"/>
      <c r="Q159" s="6"/>
      <c r="R159" s="6"/>
      <c r="S159" s="6"/>
      <c r="T159" s="6"/>
      <c r="U159" s="6"/>
      <c r="V159" s="6"/>
      <c r="W159" s="6"/>
      <c r="X159" s="6"/>
      <c r="Y159" s="6"/>
      <c r="Z159" s="6"/>
    </row>
    <row r="160" ht="15.75" customHeight="1">
      <c r="A160" s="130"/>
      <c r="B160" s="2"/>
      <c r="C160" s="2"/>
      <c r="D160" s="2"/>
      <c r="E160" s="2"/>
      <c r="F160" s="2"/>
      <c r="G160" s="337"/>
      <c r="H160" s="337"/>
      <c r="I160" s="337"/>
      <c r="J160" s="337"/>
      <c r="K160" s="6"/>
      <c r="L160" s="6"/>
      <c r="M160" s="6"/>
      <c r="N160" s="6"/>
      <c r="O160" s="6"/>
      <c r="P160" s="6"/>
      <c r="Q160" s="6"/>
      <c r="R160" s="6"/>
      <c r="S160" s="6"/>
      <c r="T160" s="6"/>
      <c r="U160" s="6"/>
      <c r="V160" s="6"/>
      <c r="W160" s="6"/>
      <c r="X160" s="6"/>
      <c r="Y160" s="6"/>
      <c r="Z160" s="6"/>
    </row>
    <row r="161" ht="15.75" customHeight="1">
      <c r="A161" s="130"/>
      <c r="B161" s="2"/>
      <c r="C161" s="2"/>
      <c r="D161" s="2"/>
      <c r="E161" s="2"/>
      <c r="F161" s="2"/>
      <c r="G161" s="337"/>
      <c r="H161" s="337"/>
      <c r="I161" s="337"/>
      <c r="J161" s="337"/>
      <c r="K161" s="6"/>
      <c r="L161" s="6"/>
      <c r="M161" s="6"/>
      <c r="N161" s="6"/>
      <c r="O161" s="6"/>
      <c r="P161" s="6"/>
      <c r="Q161" s="6"/>
      <c r="R161" s="6"/>
      <c r="S161" s="6"/>
      <c r="T161" s="6"/>
      <c r="U161" s="6"/>
      <c r="V161" s="6"/>
      <c r="W161" s="6"/>
      <c r="X161" s="6"/>
      <c r="Y161" s="6"/>
      <c r="Z161" s="6"/>
    </row>
    <row r="162" ht="15.75" customHeight="1">
      <c r="A162" s="130"/>
      <c r="B162" s="2"/>
      <c r="C162" s="2"/>
      <c r="D162" s="2"/>
      <c r="E162" s="2"/>
      <c r="F162" s="2"/>
      <c r="G162" s="337"/>
      <c r="H162" s="337"/>
      <c r="I162" s="337"/>
      <c r="J162" s="337"/>
      <c r="K162" s="6"/>
      <c r="L162" s="6"/>
      <c r="M162" s="6"/>
      <c r="N162" s="6"/>
      <c r="O162" s="6"/>
      <c r="P162" s="6"/>
      <c r="Q162" s="6"/>
      <c r="R162" s="6"/>
      <c r="S162" s="6"/>
      <c r="T162" s="6"/>
      <c r="U162" s="6"/>
      <c r="V162" s="6"/>
      <c r="W162" s="6"/>
      <c r="X162" s="6"/>
      <c r="Y162" s="6"/>
      <c r="Z162" s="6"/>
    </row>
    <row r="163" ht="15.75" customHeight="1">
      <c r="A163" s="130"/>
      <c r="B163" s="2"/>
      <c r="C163" s="2"/>
      <c r="D163" s="2"/>
      <c r="E163" s="2"/>
      <c r="F163" s="2"/>
      <c r="G163" s="337"/>
      <c r="H163" s="337"/>
      <c r="I163" s="337"/>
      <c r="J163" s="337"/>
      <c r="K163" s="6"/>
      <c r="L163" s="6"/>
      <c r="M163" s="6"/>
      <c r="N163" s="6"/>
      <c r="O163" s="6"/>
      <c r="P163" s="6"/>
      <c r="Q163" s="6"/>
      <c r="R163" s="6"/>
      <c r="S163" s="6"/>
      <c r="T163" s="6"/>
      <c r="U163" s="6"/>
      <c r="V163" s="6"/>
      <c r="W163" s="6"/>
      <c r="X163" s="6"/>
      <c r="Y163" s="6"/>
      <c r="Z163" s="6"/>
    </row>
    <row r="164" ht="15.75" customHeight="1">
      <c r="A164" s="130"/>
      <c r="B164" s="2"/>
      <c r="C164" s="2"/>
      <c r="D164" s="2"/>
      <c r="E164" s="2"/>
      <c r="F164" s="2"/>
      <c r="G164" s="337"/>
      <c r="H164" s="337"/>
      <c r="I164" s="337"/>
      <c r="J164" s="337"/>
      <c r="K164" s="6"/>
      <c r="L164" s="6"/>
      <c r="M164" s="6"/>
      <c r="N164" s="6"/>
      <c r="O164" s="6"/>
      <c r="P164" s="6"/>
      <c r="Q164" s="6"/>
      <c r="R164" s="6"/>
      <c r="S164" s="6"/>
      <c r="T164" s="6"/>
      <c r="U164" s="6"/>
      <c r="V164" s="6"/>
      <c r="W164" s="6"/>
      <c r="X164" s="6"/>
      <c r="Y164" s="6"/>
      <c r="Z164" s="6"/>
    </row>
    <row r="165" ht="15.75" customHeight="1">
      <c r="A165" s="130"/>
      <c r="B165" s="2"/>
      <c r="C165" s="2"/>
      <c r="D165" s="2"/>
      <c r="E165" s="2"/>
      <c r="F165" s="2"/>
      <c r="G165" s="337"/>
      <c r="H165" s="337"/>
      <c r="I165" s="337"/>
      <c r="J165" s="337"/>
      <c r="K165" s="6"/>
      <c r="L165" s="6"/>
      <c r="M165" s="6"/>
      <c r="N165" s="6"/>
      <c r="O165" s="6"/>
      <c r="P165" s="6"/>
      <c r="Q165" s="6"/>
      <c r="R165" s="6"/>
      <c r="S165" s="6"/>
      <c r="T165" s="6"/>
      <c r="U165" s="6"/>
      <c r="V165" s="6"/>
      <c r="W165" s="6"/>
      <c r="X165" s="6"/>
      <c r="Y165" s="6"/>
      <c r="Z165" s="6"/>
    </row>
    <row r="166" ht="15.75" customHeight="1">
      <c r="A166" s="130"/>
      <c r="B166" s="2"/>
      <c r="C166" s="2"/>
      <c r="D166" s="2"/>
      <c r="E166" s="2"/>
      <c r="F166" s="2"/>
      <c r="G166" s="337"/>
      <c r="H166" s="337"/>
      <c r="I166" s="337"/>
      <c r="J166" s="337"/>
      <c r="K166" s="6"/>
      <c r="L166" s="6"/>
      <c r="M166" s="6"/>
      <c r="N166" s="6"/>
      <c r="O166" s="6"/>
      <c r="P166" s="6"/>
      <c r="Q166" s="6"/>
      <c r="R166" s="6"/>
      <c r="S166" s="6"/>
      <c r="T166" s="6"/>
      <c r="U166" s="6"/>
      <c r="V166" s="6"/>
      <c r="W166" s="6"/>
      <c r="X166" s="6"/>
      <c r="Y166" s="6"/>
      <c r="Z166" s="6"/>
    </row>
    <row r="167" ht="15.75" customHeight="1">
      <c r="A167" s="130"/>
      <c r="B167" s="2"/>
      <c r="C167" s="2"/>
      <c r="D167" s="2"/>
      <c r="E167" s="2"/>
      <c r="F167" s="2"/>
      <c r="G167" s="337"/>
      <c r="H167" s="337"/>
      <c r="I167" s="337"/>
      <c r="J167" s="337"/>
      <c r="K167" s="6"/>
      <c r="L167" s="6"/>
      <c r="M167" s="6"/>
      <c r="N167" s="6"/>
      <c r="O167" s="6"/>
      <c r="P167" s="6"/>
      <c r="Q167" s="6"/>
      <c r="R167" s="6"/>
      <c r="S167" s="6"/>
      <c r="T167" s="6"/>
      <c r="U167" s="6"/>
      <c r="V167" s="6"/>
      <c r="W167" s="6"/>
      <c r="X167" s="6"/>
      <c r="Y167" s="6"/>
      <c r="Z167" s="6"/>
    </row>
    <row r="168" ht="15.75" customHeight="1">
      <c r="A168" s="130"/>
      <c r="B168" s="2"/>
      <c r="C168" s="2"/>
      <c r="D168" s="2"/>
      <c r="E168" s="2"/>
      <c r="F168" s="2"/>
      <c r="G168" s="337"/>
      <c r="H168" s="337"/>
      <c r="I168" s="337"/>
      <c r="J168" s="337"/>
      <c r="K168" s="6"/>
      <c r="L168" s="6"/>
      <c r="M168" s="6"/>
      <c r="N168" s="6"/>
      <c r="O168" s="6"/>
      <c r="P168" s="6"/>
      <c r="Q168" s="6"/>
      <c r="R168" s="6"/>
      <c r="S168" s="6"/>
      <c r="T168" s="6"/>
      <c r="U168" s="6"/>
      <c r="V168" s="6"/>
      <c r="W168" s="6"/>
      <c r="X168" s="6"/>
      <c r="Y168" s="6"/>
      <c r="Z168" s="6"/>
    </row>
    <row r="169" ht="15.75" customHeight="1">
      <c r="A169" s="130"/>
      <c r="B169" s="2"/>
      <c r="C169" s="2"/>
      <c r="D169" s="2"/>
      <c r="E169" s="2"/>
      <c r="F169" s="2"/>
      <c r="G169" s="337"/>
      <c r="H169" s="337"/>
      <c r="I169" s="337"/>
      <c r="J169" s="337"/>
      <c r="K169" s="6"/>
      <c r="L169" s="6"/>
      <c r="M169" s="6"/>
      <c r="N169" s="6"/>
      <c r="O169" s="6"/>
      <c r="P169" s="6"/>
      <c r="Q169" s="6"/>
      <c r="R169" s="6"/>
      <c r="S169" s="6"/>
      <c r="T169" s="6"/>
      <c r="U169" s="6"/>
      <c r="V169" s="6"/>
      <c r="W169" s="6"/>
      <c r="X169" s="6"/>
      <c r="Y169" s="6"/>
      <c r="Z169" s="6"/>
    </row>
    <row r="170" ht="15.75" customHeight="1">
      <c r="A170" s="130"/>
      <c r="B170" s="2"/>
      <c r="C170" s="2"/>
      <c r="D170" s="2"/>
      <c r="E170" s="2"/>
      <c r="F170" s="2"/>
      <c r="G170" s="337"/>
      <c r="H170" s="337"/>
      <c r="I170" s="337"/>
      <c r="J170" s="337"/>
      <c r="K170" s="6"/>
      <c r="L170" s="6"/>
      <c r="M170" s="6"/>
      <c r="N170" s="6"/>
      <c r="O170" s="6"/>
      <c r="P170" s="6"/>
      <c r="Q170" s="6"/>
      <c r="R170" s="6"/>
      <c r="S170" s="6"/>
      <c r="T170" s="6"/>
      <c r="U170" s="6"/>
      <c r="V170" s="6"/>
      <c r="W170" s="6"/>
      <c r="X170" s="6"/>
      <c r="Y170" s="6"/>
      <c r="Z170" s="6"/>
    </row>
    <row r="171" ht="15.75" customHeight="1">
      <c r="A171" s="130"/>
      <c r="B171" s="2"/>
      <c r="C171" s="2"/>
      <c r="D171" s="2"/>
      <c r="E171" s="2"/>
      <c r="F171" s="2"/>
      <c r="G171" s="337"/>
      <c r="H171" s="337"/>
      <c r="I171" s="337"/>
      <c r="J171" s="337"/>
      <c r="K171" s="6"/>
      <c r="L171" s="6"/>
      <c r="M171" s="6"/>
      <c r="N171" s="6"/>
      <c r="O171" s="6"/>
      <c r="P171" s="6"/>
      <c r="Q171" s="6"/>
      <c r="R171" s="6"/>
      <c r="S171" s="6"/>
      <c r="T171" s="6"/>
      <c r="U171" s="6"/>
      <c r="V171" s="6"/>
      <c r="W171" s="6"/>
      <c r="X171" s="6"/>
      <c r="Y171" s="6"/>
      <c r="Z171" s="6"/>
    </row>
    <row r="172" ht="15.75" customHeight="1">
      <c r="A172" s="130"/>
      <c r="B172" s="2"/>
      <c r="C172" s="2"/>
      <c r="D172" s="2"/>
      <c r="E172" s="2"/>
      <c r="F172" s="2"/>
      <c r="G172" s="337"/>
      <c r="H172" s="337"/>
      <c r="I172" s="337"/>
      <c r="J172" s="337"/>
      <c r="K172" s="6"/>
      <c r="L172" s="6"/>
      <c r="M172" s="6"/>
      <c r="N172" s="6"/>
      <c r="O172" s="6"/>
      <c r="P172" s="6"/>
      <c r="Q172" s="6"/>
      <c r="R172" s="6"/>
      <c r="S172" s="6"/>
      <c r="T172" s="6"/>
      <c r="U172" s="6"/>
      <c r="V172" s="6"/>
      <c r="W172" s="6"/>
      <c r="X172" s="6"/>
      <c r="Y172" s="6"/>
      <c r="Z172" s="6"/>
    </row>
    <row r="173" ht="15.75" customHeight="1">
      <c r="A173" s="130"/>
      <c r="B173" s="2"/>
      <c r="C173" s="2"/>
      <c r="D173" s="2"/>
      <c r="E173" s="2"/>
      <c r="F173" s="2"/>
      <c r="G173" s="337"/>
      <c r="H173" s="337"/>
      <c r="I173" s="337"/>
      <c r="J173" s="337"/>
      <c r="K173" s="6"/>
      <c r="L173" s="6"/>
      <c r="M173" s="6"/>
      <c r="N173" s="6"/>
      <c r="O173" s="6"/>
      <c r="P173" s="6"/>
      <c r="Q173" s="6"/>
      <c r="R173" s="6"/>
      <c r="S173" s="6"/>
      <c r="T173" s="6"/>
      <c r="U173" s="6"/>
      <c r="V173" s="6"/>
      <c r="W173" s="6"/>
      <c r="X173" s="6"/>
      <c r="Y173" s="6"/>
      <c r="Z173" s="6"/>
    </row>
    <row r="174" ht="15.75" customHeight="1">
      <c r="A174" s="130"/>
      <c r="B174" s="2"/>
      <c r="C174" s="2"/>
      <c r="D174" s="2"/>
      <c r="E174" s="2"/>
      <c r="F174" s="2"/>
      <c r="G174" s="337"/>
      <c r="H174" s="337"/>
      <c r="I174" s="337"/>
      <c r="J174" s="337"/>
      <c r="K174" s="6"/>
      <c r="L174" s="6"/>
      <c r="M174" s="6"/>
      <c r="N174" s="6"/>
      <c r="O174" s="6"/>
      <c r="P174" s="6"/>
      <c r="Q174" s="6"/>
      <c r="R174" s="6"/>
      <c r="S174" s="6"/>
      <c r="T174" s="6"/>
      <c r="U174" s="6"/>
      <c r="V174" s="6"/>
      <c r="W174" s="6"/>
      <c r="X174" s="6"/>
      <c r="Y174" s="6"/>
      <c r="Z174" s="6"/>
    </row>
    <row r="175" ht="15.75" customHeight="1">
      <c r="A175" s="130"/>
      <c r="B175" s="2"/>
      <c r="C175" s="2"/>
      <c r="D175" s="2"/>
      <c r="E175" s="2"/>
      <c r="F175" s="2"/>
      <c r="G175" s="337"/>
      <c r="H175" s="337"/>
      <c r="I175" s="337"/>
      <c r="J175" s="337"/>
      <c r="K175" s="6"/>
      <c r="L175" s="6"/>
      <c r="M175" s="6"/>
      <c r="N175" s="6"/>
      <c r="O175" s="6"/>
      <c r="P175" s="6"/>
      <c r="Q175" s="6"/>
      <c r="R175" s="6"/>
      <c r="S175" s="6"/>
      <c r="T175" s="6"/>
      <c r="U175" s="6"/>
      <c r="V175" s="6"/>
      <c r="W175" s="6"/>
      <c r="X175" s="6"/>
      <c r="Y175" s="6"/>
      <c r="Z175" s="6"/>
    </row>
    <row r="176" ht="15.75" customHeight="1">
      <c r="A176" s="130"/>
      <c r="B176" s="2"/>
      <c r="C176" s="2"/>
      <c r="D176" s="2"/>
      <c r="E176" s="2"/>
      <c r="F176" s="2"/>
      <c r="G176" s="337"/>
      <c r="H176" s="337"/>
      <c r="I176" s="337"/>
      <c r="J176" s="337"/>
      <c r="K176" s="6"/>
      <c r="L176" s="6"/>
      <c r="M176" s="6"/>
      <c r="N176" s="6"/>
      <c r="O176" s="6"/>
      <c r="P176" s="6"/>
      <c r="Q176" s="6"/>
      <c r="R176" s="6"/>
      <c r="S176" s="6"/>
      <c r="T176" s="6"/>
      <c r="U176" s="6"/>
      <c r="V176" s="6"/>
      <c r="W176" s="6"/>
      <c r="X176" s="6"/>
      <c r="Y176" s="6"/>
      <c r="Z176" s="6"/>
    </row>
    <row r="177" ht="15.75" customHeight="1">
      <c r="A177" s="130"/>
      <c r="B177" s="2"/>
      <c r="C177" s="2"/>
      <c r="D177" s="2"/>
      <c r="E177" s="2"/>
      <c r="F177" s="2"/>
      <c r="G177" s="337"/>
      <c r="H177" s="337"/>
      <c r="I177" s="337"/>
      <c r="J177" s="337"/>
      <c r="K177" s="6"/>
      <c r="L177" s="6"/>
      <c r="M177" s="6"/>
      <c r="N177" s="6"/>
      <c r="O177" s="6"/>
      <c r="P177" s="6"/>
      <c r="Q177" s="6"/>
      <c r="R177" s="6"/>
      <c r="S177" s="6"/>
      <c r="T177" s="6"/>
      <c r="U177" s="6"/>
      <c r="V177" s="6"/>
      <c r="W177" s="6"/>
      <c r="X177" s="6"/>
      <c r="Y177" s="6"/>
      <c r="Z177" s="6"/>
    </row>
    <row r="178" ht="15.75" customHeight="1">
      <c r="A178" s="130"/>
      <c r="B178" s="2"/>
      <c r="C178" s="2"/>
      <c r="D178" s="2"/>
      <c r="E178" s="2"/>
      <c r="F178" s="2"/>
      <c r="G178" s="337"/>
      <c r="H178" s="337"/>
      <c r="I178" s="337"/>
      <c r="J178" s="337"/>
      <c r="K178" s="6"/>
      <c r="L178" s="6"/>
      <c r="M178" s="6"/>
      <c r="N178" s="6"/>
      <c r="O178" s="6"/>
      <c r="P178" s="6"/>
      <c r="Q178" s="6"/>
      <c r="R178" s="6"/>
      <c r="S178" s="6"/>
      <c r="T178" s="6"/>
      <c r="U178" s="6"/>
      <c r="V178" s="6"/>
      <c r="W178" s="6"/>
      <c r="X178" s="6"/>
      <c r="Y178" s="6"/>
      <c r="Z178" s="6"/>
    </row>
    <row r="179" ht="15.75" customHeight="1">
      <c r="A179" s="130"/>
      <c r="B179" s="2"/>
      <c r="C179" s="2"/>
      <c r="D179" s="2"/>
      <c r="E179" s="2"/>
      <c r="F179" s="2"/>
      <c r="G179" s="337"/>
      <c r="H179" s="337"/>
      <c r="I179" s="337"/>
      <c r="J179" s="337"/>
      <c r="K179" s="6"/>
      <c r="L179" s="6"/>
      <c r="M179" s="6"/>
      <c r="N179" s="6"/>
      <c r="O179" s="6"/>
      <c r="P179" s="6"/>
      <c r="Q179" s="6"/>
      <c r="R179" s="6"/>
      <c r="S179" s="6"/>
      <c r="T179" s="6"/>
      <c r="U179" s="6"/>
      <c r="V179" s="6"/>
      <c r="W179" s="6"/>
      <c r="X179" s="6"/>
      <c r="Y179" s="6"/>
      <c r="Z179" s="6"/>
    </row>
    <row r="180" ht="15.75" customHeight="1">
      <c r="A180" s="130"/>
      <c r="B180" s="2"/>
      <c r="C180" s="2"/>
      <c r="D180" s="2"/>
      <c r="E180" s="2"/>
      <c r="F180" s="2"/>
      <c r="G180" s="337"/>
      <c r="H180" s="337"/>
      <c r="I180" s="337"/>
      <c r="J180" s="337"/>
      <c r="K180" s="6"/>
      <c r="L180" s="6"/>
      <c r="M180" s="6"/>
      <c r="N180" s="6"/>
      <c r="O180" s="6"/>
      <c r="P180" s="6"/>
      <c r="Q180" s="6"/>
      <c r="R180" s="6"/>
      <c r="S180" s="6"/>
      <c r="T180" s="6"/>
      <c r="U180" s="6"/>
      <c r="V180" s="6"/>
      <c r="W180" s="6"/>
      <c r="X180" s="6"/>
      <c r="Y180" s="6"/>
      <c r="Z180" s="6"/>
    </row>
    <row r="181" ht="15.75" customHeight="1">
      <c r="A181" s="130"/>
      <c r="B181" s="2"/>
      <c r="C181" s="2"/>
      <c r="D181" s="2"/>
      <c r="E181" s="2"/>
      <c r="F181" s="2"/>
      <c r="G181" s="337"/>
      <c r="H181" s="337"/>
      <c r="I181" s="337"/>
      <c r="J181" s="337"/>
      <c r="K181" s="6"/>
      <c r="L181" s="6"/>
      <c r="M181" s="6"/>
      <c r="N181" s="6"/>
      <c r="O181" s="6"/>
      <c r="P181" s="6"/>
      <c r="Q181" s="6"/>
      <c r="R181" s="6"/>
      <c r="S181" s="6"/>
      <c r="T181" s="6"/>
      <c r="U181" s="6"/>
      <c r="V181" s="6"/>
      <c r="W181" s="6"/>
      <c r="X181" s="6"/>
      <c r="Y181" s="6"/>
      <c r="Z181" s="6"/>
    </row>
    <row r="182" ht="15.75" customHeight="1">
      <c r="A182" s="130"/>
      <c r="B182" s="2"/>
      <c r="C182" s="2"/>
      <c r="D182" s="2"/>
      <c r="E182" s="2"/>
      <c r="F182" s="2"/>
      <c r="G182" s="337"/>
      <c r="H182" s="337"/>
      <c r="I182" s="337"/>
      <c r="J182" s="337"/>
      <c r="K182" s="6"/>
      <c r="L182" s="6"/>
      <c r="M182" s="6"/>
      <c r="N182" s="6"/>
      <c r="O182" s="6"/>
      <c r="P182" s="6"/>
      <c r="Q182" s="6"/>
      <c r="R182" s="6"/>
      <c r="S182" s="6"/>
      <c r="T182" s="6"/>
      <c r="U182" s="6"/>
      <c r="V182" s="6"/>
      <c r="W182" s="6"/>
      <c r="X182" s="6"/>
      <c r="Y182" s="6"/>
      <c r="Z182" s="6"/>
    </row>
    <row r="183" ht="15.75" customHeight="1">
      <c r="A183" s="130"/>
      <c r="B183" s="2"/>
      <c r="C183" s="2"/>
      <c r="D183" s="2"/>
      <c r="E183" s="2"/>
      <c r="F183" s="2"/>
      <c r="G183" s="337"/>
      <c r="H183" s="337"/>
      <c r="I183" s="337"/>
      <c r="J183" s="337"/>
      <c r="K183" s="6"/>
      <c r="L183" s="6"/>
      <c r="M183" s="6"/>
      <c r="N183" s="6"/>
      <c r="O183" s="6"/>
      <c r="P183" s="6"/>
      <c r="Q183" s="6"/>
      <c r="R183" s="6"/>
      <c r="S183" s="6"/>
      <c r="T183" s="6"/>
      <c r="U183" s="6"/>
      <c r="V183" s="6"/>
      <c r="W183" s="6"/>
      <c r="X183" s="6"/>
      <c r="Y183" s="6"/>
      <c r="Z183" s="6"/>
    </row>
    <row r="184" ht="15.75" customHeight="1">
      <c r="A184" s="130"/>
      <c r="B184" s="2"/>
      <c r="C184" s="2"/>
      <c r="D184" s="2"/>
      <c r="E184" s="2"/>
      <c r="F184" s="2"/>
      <c r="G184" s="337"/>
      <c r="H184" s="337"/>
      <c r="I184" s="337"/>
      <c r="J184" s="337"/>
      <c r="K184" s="6"/>
      <c r="L184" s="6"/>
      <c r="M184" s="6"/>
      <c r="N184" s="6"/>
      <c r="O184" s="6"/>
      <c r="P184" s="6"/>
      <c r="Q184" s="6"/>
      <c r="R184" s="6"/>
      <c r="S184" s="6"/>
      <c r="T184" s="6"/>
      <c r="U184" s="6"/>
      <c r="V184" s="6"/>
      <c r="W184" s="6"/>
      <c r="X184" s="6"/>
      <c r="Y184" s="6"/>
      <c r="Z184" s="6"/>
    </row>
    <row r="185" ht="15.75" customHeight="1">
      <c r="A185" s="130"/>
      <c r="B185" s="2"/>
      <c r="C185" s="2"/>
      <c r="D185" s="2"/>
      <c r="E185" s="2"/>
      <c r="F185" s="2"/>
      <c r="G185" s="337"/>
      <c r="H185" s="337"/>
      <c r="I185" s="337"/>
      <c r="J185" s="337"/>
      <c r="K185" s="6"/>
      <c r="L185" s="6"/>
      <c r="M185" s="6"/>
      <c r="N185" s="6"/>
      <c r="O185" s="6"/>
      <c r="P185" s="6"/>
      <c r="Q185" s="6"/>
      <c r="R185" s="6"/>
      <c r="S185" s="6"/>
      <c r="T185" s="6"/>
      <c r="U185" s="6"/>
      <c r="V185" s="6"/>
      <c r="W185" s="6"/>
      <c r="X185" s="6"/>
      <c r="Y185" s="6"/>
      <c r="Z185" s="6"/>
    </row>
    <row r="186" ht="15.75" customHeight="1">
      <c r="A186" s="130"/>
      <c r="B186" s="2"/>
      <c r="C186" s="2"/>
      <c r="D186" s="2"/>
      <c r="E186" s="2"/>
      <c r="F186" s="2"/>
      <c r="G186" s="337"/>
      <c r="H186" s="337"/>
      <c r="I186" s="337"/>
      <c r="J186" s="337"/>
      <c r="K186" s="6"/>
      <c r="L186" s="6"/>
      <c r="M186" s="6"/>
      <c r="N186" s="6"/>
      <c r="O186" s="6"/>
      <c r="P186" s="6"/>
      <c r="Q186" s="6"/>
      <c r="R186" s="6"/>
      <c r="S186" s="6"/>
      <c r="T186" s="6"/>
      <c r="U186" s="6"/>
      <c r="V186" s="6"/>
      <c r="W186" s="6"/>
      <c r="X186" s="6"/>
      <c r="Y186" s="6"/>
      <c r="Z186" s="6"/>
    </row>
    <row r="187" ht="15.75" customHeight="1">
      <c r="A187" s="130"/>
      <c r="B187" s="2"/>
      <c r="C187" s="2"/>
      <c r="D187" s="2"/>
      <c r="E187" s="2"/>
      <c r="F187" s="2"/>
      <c r="G187" s="337"/>
      <c r="H187" s="337"/>
      <c r="I187" s="337"/>
      <c r="J187" s="337"/>
      <c r="K187" s="6"/>
      <c r="L187" s="6"/>
      <c r="M187" s="6"/>
      <c r="N187" s="6"/>
      <c r="O187" s="6"/>
      <c r="P187" s="6"/>
      <c r="Q187" s="6"/>
      <c r="R187" s="6"/>
      <c r="S187" s="6"/>
      <c r="T187" s="6"/>
      <c r="U187" s="6"/>
      <c r="V187" s="6"/>
      <c r="W187" s="6"/>
      <c r="X187" s="6"/>
      <c r="Y187" s="6"/>
      <c r="Z187" s="6"/>
    </row>
    <row r="188" ht="15.75" customHeight="1">
      <c r="A188" s="130"/>
      <c r="B188" s="2"/>
      <c r="C188" s="2"/>
      <c r="D188" s="2"/>
      <c r="E188" s="2"/>
      <c r="F188" s="2"/>
      <c r="G188" s="337"/>
      <c r="H188" s="337"/>
      <c r="I188" s="337"/>
      <c r="J188" s="337"/>
      <c r="K188" s="6"/>
      <c r="L188" s="6"/>
      <c r="M188" s="6"/>
      <c r="N188" s="6"/>
      <c r="O188" s="6"/>
      <c r="P188" s="6"/>
      <c r="Q188" s="6"/>
      <c r="R188" s="6"/>
      <c r="S188" s="6"/>
      <c r="T188" s="6"/>
      <c r="U188" s="6"/>
      <c r="V188" s="6"/>
      <c r="W188" s="6"/>
      <c r="X188" s="6"/>
      <c r="Y188" s="6"/>
      <c r="Z188" s="6"/>
    </row>
    <row r="189" ht="15.75" customHeight="1">
      <c r="A189" s="130"/>
      <c r="B189" s="2"/>
      <c r="C189" s="2"/>
      <c r="D189" s="2"/>
      <c r="E189" s="2"/>
      <c r="F189" s="2"/>
      <c r="G189" s="337"/>
      <c r="H189" s="337"/>
      <c r="I189" s="337"/>
      <c r="J189" s="337"/>
      <c r="K189" s="6"/>
      <c r="L189" s="6"/>
      <c r="M189" s="6"/>
      <c r="N189" s="6"/>
      <c r="O189" s="6"/>
      <c r="P189" s="6"/>
      <c r="Q189" s="6"/>
      <c r="R189" s="6"/>
      <c r="S189" s="6"/>
      <c r="T189" s="6"/>
      <c r="U189" s="6"/>
      <c r="V189" s="6"/>
      <c r="W189" s="6"/>
      <c r="X189" s="6"/>
      <c r="Y189" s="6"/>
      <c r="Z189" s="6"/>
    </row>
    <row r="190" ht="15.75" customHeight="1">
      <c r="A190" s="130"/>
      <c r="B190" s="2"/>
      <c r="C190" s="2"/>
      <c r="D190" s="2"/>
      <c r="E190" s="2"/>
      <c r="F190" s="2"/>
      <c r="G190" s="337"/>
      <c r="H190" s="337"/>
      <c r="I190" s="337"/>
      <c r="J190" s="337"/>
      <c r="K190" s="6"/>
      <c r="L190" s="6"/>
      <c r="M190" s="6"/>
      <c r="N190" s="6"/>
      <c r="O190" s="6"/>
      <c r="P190" s="6"/>
      <c r="Q190" s="6"/>
      <c r="R190" s="6"/>
      <c r="S190" s="6"/>
      <c r="T190" s="6"/>
      <c r="U190" s="6"/>
      <c r="V190" s="6"/>
      <c r="W190" s="6"/>
      <c r="X190" s="6"/>
      <c r="Y190" s="6"/>
      <c r="Z190" s="6"/>
    </row>
    <row r="191" ht="15.75" customHeight="1">
      <c r="A191" s="130"/>
      <c r="B191" s="2"/>
      <c r="C191" s="2"/>
      <c r="D191" s="2"/>
      <c r="E191" s="2"/>
      <c r="F191" s="2"/>
      <c r="G191" s="337"/>
      <c r="H191" s="337"/>
      <c r="I191" s="337"/>
      <c r="J191" s="337"/>
      <c r="K191" s="6"/>
      <c r="L191" s="6"/>
      <c r="M191" s="6"/>
      <c r="N191" s="6"/>
      <c r="O191" s="6"/>
      <c r="P191" s="6"/>
      <c r="Q191" s="6"/>
      <c r="R191" s="6"/>
      <c r="S191" s="6"/>
      <c r="T191" s="6"/>
      <c r="U191" s="6"/>
      <c r="V191" s="6"/>
      <c r="W191" s="6"/>
      <c r="X191" s="6"/>
      <c r="Y191" s="6"/>
      <c r="Z191" s="6"/>
    </row>
    <row r="192" ht="15.75" customHeight="1">
      <c r="A192" s="130"/>
      <c r="B192" s="2"/>
      <c r="C192" s="2"/>
      <c r="D192" s="2"/>
      <c r="E192" s="2"/>
      <c r="F192" s="2"/>
      <c r="G192" s="337"/>
      <c r="H192" s="337"/>
      <c r="I192" s="337"/>
      <c r="J192" s="337"/>
      <c r="K192" s="6"/>
      <c r="L192" s="6"/>
      <c r="M192" s="6"/>
      <c r="N192" s="6"/>
      <c r="O192" s="6"/>
      <c r="P192" s="6"/>
      <c r="Q192" s="6"/>
      <c r="R192" s="6"/>
      <c r="S192" s="6"/>
      <c r="T192" s="6"/>
      <c r="U192" s="6"/>
      <c r="V192" s="6"/>
      <c r="W192" s="6"/>
      <c r="X192" s="6"/>
      <c r="Y192" s="6"/>
      <c r="Z192" s="6"/>
    </row>
    <row r="193" ht="15.75" customHeight="1">
      <c r="A193" s="130"/>
      <c r="B193" s="2"/>
      <c r="C193" s="2"/>
      <c r="D193" s="2"/>
      <c r="E193" s="2"/>
      <c r="F193" s="2"/>
      <c r="G193" s="337"/>
      <c r="H193" s="337"/>
      <c r="I193" s="337"/>
      <c r="J193" s="337"/>
      <c r="K193" s="6"/>
      <c r="L193" s="6"/>
      <c r="M193" s="6"/>
      <c r="N193" s="6"/>
      <c r="O193" s="6"/>
      <c r="P193" s="6"/>
      <c r="Q193" s="6"/>
      <c r="R193" s="6"/>
      <c r="S193" s="6"/>
      <c r="T193" s="6"/>
      <c r="U193" s="6"/>
      <c r="V193" s="6"/>
      <c r="W193" s="6"/>
      <c r="X193" s="6"/>
      <c r="Y193" s="6"/>
      <c r="Z193" s="6"/>
    </row>
    <row r="194" ht="15.75" customHeight="1">
      <c r="A194" s="130"/>
      <c r="B194" s="2"/>
      <c r="C194" s="2"/>
      <c r="D194" s="2"/>
      <c r="E194" s="2"/>
      <c r="F194" s="2"/>
      <c r="G194" s="337"/>
      <c r="H194" s="337"/>
      <c r="I194" s="337"/>
      <c r="J194" s="337"/>
      <c r="K194" s="6"/>
      <c r="L194" s="6"/>
      <c r="M194" s="6"/>
      <c r="N194" s="6"/>
      <c r="O194" s="6"/>
      <c r="P194" s="6"/>
      <c r="Q194" s="6"/>
      <c r="R194" s="6"/>
      <c r="S194" s="6"/>
      <c r="T194" s="6"/>
      <c r="U194" s="6"/>
      <c r="V194" s="6"/>
      <c r="W194" s="6"/>
      <c r="X194" s="6"/>
      <c r="Y194" s="6"/>
      <c r="Z194" s="6"/>
    </row>
    <row r="195" ht="15.75" customHeight="1">
      <c r="A195" s="130"/>
      <c r="B195" s="2"/>
      <c r="C195" s="2"/>
      <c r="D195" s="2"/>
      <c r="E195" s="2"/>
      <c r="F195" s="2"/>
      <c r="G195" s="337"/>
      <c r="H195" s="337"/>
      <c r="I195" s="337"/>
      <c r="J195" s="337"/>
      <c r="K195" s="6"/>
      <c r="L195" s="6"/>
      <c r="M195" s="6"/>
      <c r="N195" s="6"/>
      <c r="O195" s="6"/>
      <c r="P195" s="6"/>
      <c r="Q195" s="6"/>
      <c r="R195" s="6"/>
      <c r="S195" s="6"/>
      <c r="T195" s="6"/>
      <c r="U195" s="6"/>
      <c r="V195" s="6"/>
      <c r="W195" s="6"/>
      <c r="X195" s="6"/>
      <c r="Y195" s="6"/>
      <c r="Z195" s="6"/>
    </row>
    <row r="196" ht="15.75" customHeight="1">
      <c r="A196" s="130"/>
      <c r="B196" s="2"/>
      <c r="C196" s="2"/>
      <c r="D196" s="2"/>
      <c r="E196" s="2"/>
      <c r="F196" s="2"/>
      <c r="G196" s="337"/>
      <c r="H196" s="337"/>
      <c r="I196" s="337"/>
      <c r="J196" s="337"/>
      <c r="K196" s="6"/>
      <c r="L196" s="6"/>
      <c r="M196" s="6"/>
      <c r="N196" s="6"/>
      <c r="O196" s="6"/>
      <c r="P196" s="6"/>
      <c r="Q196" s="6"/>
      <c r="R196" s="6"/>
      <c r="S196" s="6"/>
      <c r="T196" s="6"/>
      <c r="U196" s="6"/>
      <c r="V196" s="6"/>
      <c r="W196" s="6"/>
      <c r="X196" s="6"/>
      <c r="Y196" s="6"/>
      <c r="Z196" s="6"/>
    </row>
    <row r="197" ht="15.75" customHeight="1">
      <c r="A197" s="130"/>
      <c r="B197" s="2"/>
      <c r="C197" s="2"/>
      <c r="D197" s="2"/>
      <c r="E197" s="2"/>
      <c r="F197" s="2"/>
      <c r="G197" s="337"/>
      <c r="H197" s="337"/>
      <c r="I197" s="337"/>
      <c r="J197" s="337"/>
      <c r="K197" s="6"/>
      <c r="L197" s="6"/>
      <c r="M197" s="6"/>
      <c r="N197" s="6"/>
      <c r="O197" s="6"/>
      <c r="P197" s="6"/>
      <c r="Q197" s="6"/>
      <c r="R197" s="6"/>
      <c r="S197" s="6"/>
      <c r="T197" s="6"/>
      <c r="U197" s="6"/>
      <c r="V197" s="6"/>
      <c r="W197" s="6"/>
      <c r="X197" s="6"/>
      <c r="Y197" s="6"/>
      <c r="Z197" s="6"/>
    </row>
    <row r="198" ht="15.75" customHeight="1">
      <c r="A198" s="130"/>
      <c r="B198" s="2"/>
      <c r="C198" s="2"/>
      <c r="D198" s="2"/>
      <c r="E198" s="2"/>
      <c r="F198" s="2"/>
      <c r="G198" s="337"/>
      <c r="H198" s="337"/>
      <c r="I198" s="337"/>
      <c r="J198" s="337"/>
      <c r="K198" s="6"/>
      <c r="L198" s="6"/>
      <c r="M198" s="6"/>
      <c r="N198" s="6"/>
      <c r="O198" s="6"/>
      <c r="P198" s="6"/>
      <c r="Q198" s="6"/>
      <c r="R198" s="6"/>
      <c r="S198" s="6"/>
      <c r="T198" s="6"/>
      <c r="U198" s="6"/>
      <c r="V198" s="6"/>
      <c r="W198" s="6"/>
      <c r="X198" s="6"/>
      <c r="Y198" s="6"/>
      <c r="Z198" s="6"/>
    </row>
    <row r="199" ht="15.75" customHeight="1">
      <c r="A199" s="130"/>
      <c r="B199" s="2"/>
      <c r="C199" s="2"/>
      <c r="D199" s="2"/>
      <c r="E199" s="2"/>
      <c r="F199" s="2"/>
      <c r="G199" s="337"/>
      <c r="H199" s="337"/>
      <c r="I199" s="337"/>
      <c r="J199" s="337"/>
      <c r="K199" s="6"/>
      <c r="L199" s="6"/>
      <c r="M199" s="6"/>
      <c r="N199" s="6"/>
      <c r="O199" s="6"/>
      <c r="P199" s="6"/>
      <c r="Q199" s="6"/>
      <c r="R199" s="6"/>
      <c r="S199" s="6"/>
      <c r="T199" s="6"/>
      <c r="U199" s="6"/>
      <c r="V199" s="6"/>
      <c r="W199" s="6"/>
      <c r="X199" s="6"/>
      <c r="Y199" s="6"/>
      <c r="Z199" s="6"/>
    </row>
    <row r="200" ht="15.75" customHeight="1">
      <c r="A200" s="130"/>
      <c r="B200" s="2"/>
      <c r="C200" s="2"/>
      <c r="D200" s="2"/>
      <c r="E200" s="2"/>
      <c r="F200" s="2"/>
      <c r="G200" s="337"/>
      <c r="H200" s="337"/>
      <c r="I200" s="337"/>
      <c r="J200" s="337"/>
      <c r="K200" s="6"/>
      <c r="L200" s="6"/>
      <c r="M200" s="6"/>
      <c r="N200" s="6"/>
      <c r="O200" s="6"/>
      <c r="P200" s="6"/>
      <c r="Q200" s="6"/>
      <c r="R200" s="6"/>
      <c r="S200" s="6"/>
      <c r="T200" s="6"/>
      <c r="U200" s="6"/>
      <c r="V200" s="6"/>
      <c r="W200" s="6"/>
      <c r="X200" s="6"/>
      <c r="Y200" s="6"/>
      <c r="Z200" s="6"/>
    </row>
    <row r="201" ht="15.75" customHeight="1">
      <c r="A201" s="130"/>
      <c r="B201" s="2"/>
      <c r="C201" s="2"/>
      <c r="D201" s="2"/>
      <c r="E201" s="2"/>
      <c r="F201" s="2"/>
      <c r="G201" s="337"/>
      <c r="H201" s="337"/>
      <c r="I201" s="337"/>
      <c r="J201" s="337"/>
      <c r="K201" s="6"/>
      <c r="L201" s="6"/>
      <c r="M201" s="6"/>
      <c r="N201" s="6"/>
      <c r="O201" s="6"/>
      <c r="P201" s="6"/>
      <c r="Q201" s="6"/>
      <c r="R201" s="6"/>
      <c r="S201" s="6"/>
      <c r="T201" s="6"/>
      <c r="U201" s="6"/>
      <c r="V201" s="6"/>
      <c r="W201" s="6"/>
      <c r="X201" s="6"/>
      <c r="Y201" s="6"/>
      <c r="Z201" s="6"/>
    </row>
    <row r="202" ht="15.75" customHeight="1">
      <c r="A202" s="130"/>
      <c r="B202" s="2"/>
      <c r="C202" s="2"/>
      <c r="D202" s="2"/>
      <c r="E202" s="2"/>
      <c r="F202" s="2"/>
      <c r="G202" s="337"/>
      <c r="H202" s="337"/>
      <c r="I202" s="337"/>
      <c r="J202" s="337"/>
      <c r="K202" s="6"/>
      <c r="L202" s="6"/>
      <c r="M202" s="6"/>
      <c r="N202" s="6"/>
      <c r="O202" s="6"/>
      <c r="P202" s="6"/>
      <c r="Q202" s="6"/>
      <c r="R202" s="6"/>
      <c r="S202" s="6"/>
      <c r="T202" s="6"/>
      <c r="U202" s="6"/>
      <c r="V202" s="6"/>
      <c r="W202" s="6"/>
      <c r="X202" s="6"/>
      <c r="Y202" s="6"/>
      <c r="Z202" s="6"/>
    </row>
    <row r="203" ht="15.75" customHeight="1">
      <c r="A203" s="130"/>
      <c r="B203" s="2"/>
      <c r="C203" s="2"/>
      <c r="D203" s="2"/>
      <c r="E203" s="2"/>
      <c r="F203" s="2"/>
      <c r="G203" s="337"/>
      <c r="H203" s="337"/>
      <c r="I203" s="337"/>
      <c r="J203" s="337"/>
      <c r="K203" s="6"/>
      <c r="L203" s="6"/>
      <c r="M203" s="6"/>
      <c r="N203" s="6"/>
      <c r="O203" s="6"/>
      <c r="P203" s="6"/>
      <c r="Q203" s="6"/>
      <c r="R203" s="6"/>
      <c r="S203" s="6"/>
      <c r="T203" s="6"/>
      <c r="U203" s="6"/>
      <c r="V203" s="6"/>
      <c r="W203" s="6"/>
      <c r="X203" s="6"/>
      <c r="Y203" s="6"/>
      <c r="Z203" s="6"/>
    </row>
    <row r="204" ht="15.75" customHeight="1">
      <c r="A204" s="130"/>
      <c r="B204" s="2"/>
      <c r="C204" s="2"/>
      <c r="D204" s="2"/>
      <c r="E204" s="2"/>
      <c r="F204" s="2"/>
      <c r="G204" s="337"/>
      <c r="H204" s="337"/>
      <c r="I204" s="337"/>
      <c r="J204" s="337"/>
      <c r="K204" s="6"/>
      <c r="L204" s="6"/>
      <c r="M204" s="6"/>
      <c r="N204" s="6"/>
      <c r="O204" s="6"/>
      <c r="P204" s="6"/>
      <c r="Q204" s="6"/>
      <c r="R204" s="6"/>
      <c r="S204" s="6"/>
      <c r="T204" s="6"/>
      <c r="U204" s="6"/>
      <c r="V204" s="6"/>
      <c r="W204" s="6"/>
      <c r="X204" s="6"/>
      <c r="Y204" s="6"/>
      <c r="Z204" s="6"/>
    </row>
    <row r="205" ht="15.75" customHeight="1">
      <c r="A205" s="130"/>
      <c r="B205" s="2"/>
      <c r="C205" s="2"/>
      <c r="D205" s="2"/>
      <c r="E205" s="2"/>
      <c r="F205" s="2"/>
      <c r="G205" s="337"/>
      <c r="H205" s="337"/>
      <c r="I205" s="337"/>
      <c r="J205" s="337"/>
      <c r="K205" s="6"/>
      <c r="L205" s="6"/>
      <c r="M205" s="6"/>
      <c r="N205" s="6"/>
      <c r="O205" s="6"/>
      <c r="P205" s="6"/>
      <c r="Q205" s="6"/>
      <c r="R205" s="6"/>
      <c r="S205" s="6"/>
      <c r="T205" s="6"/>
      <c r="U205" s="6"/>
      <c r="V205" s="6"/>
      <c r="W205" s="6"/>
      <c r="X205" s="6"/>
      <c r="Y205" s="6"/>
      <c r="Z205" s="6"/>
    </row>
    <row r="206" ht="15.75" customHeight="1">
      <c r="A206" s="130"/>
      <c r="B206" s="2"/>
      <c r="C206" s="2"/>
      <c r="D206" s="2"/>
      <c r="E206" s="2"/>
      <c r="F206" s="2"/>
      <c r="G206" s="337"/>
      <c r="H206" s="337"/>
      <c r="I206" s="337"/>
      <c r="J206" s="337"/>
      <c r="K206" s="6"/>
      <c r="L206" s="6"/>
      <c r="M206" s="6"/>
      <c r="N206" s="6"/>
      <c r="O206" s="6"/>
      <c r="P206" s="6"/>
      <c r="Q206" s="6"/>
      <c r="R206" s="6"/>
      <c r="S206" s="6"/>
      <c r="T206" s="6"/>
      <c r="U206" s="6"/>
      <c r="V206" s="6"/>
      <c r="W206" s="6"/>
      <c r="X206" s="6"/>
      <c r="Y206" s="6"/>
      <c r="Z206" s="6"/>
    </row>
    <row r="207" ht="15.75" customHeight="1">
      <c r="A207" s="130"/>
      <c r="B207" s="2"/>
      <c r="C207" s="2"/>
      <c r="D207" s="2"/>
      <c r="E207" s="2"/>
      <c r="F207" s="2"/>
      <c r="G207" s="337"/>
      <c r="H207" s="337"/>
      <c r="I207" s="337"/>
      <c r="J207" s="337"/>
      <c r="K207" s="6"/>
      <c r="L207" s="6"/>
      <c r="M207" s="6"/>
      <c r="N207" s="6"/>
      <c r="O207" s="6"/>
      <c r="P207" s="6"/>
      <c r="Q207" s="6"/>
      <c r="R207" s="6"/>
      <c r="S207" s="6"/>
      <c r="T207" s="6"/>
      <c r="U207" s="6"/>
      <c r="V207" s="6"/>
      <c r="W207" s="6"/>
      <c r="X207" s="6"/>
      <c r="Y207" s="6"/>
      <c r="Z207" s="6"/>
    </row>
    <row r="208" ht="15.75" customHeight="1">
      <c r="A208" s="130"/>
      <c r="B208" s="2"/>
      <c r="C208" s="2"/>
      <c r="D208" s="2"/>
      <c r="E208" s="2"/>
      <c r="F208" s="2"/>
      <c r="G208" s="337"/>
      <c r="H208" s="337"/>
      <c r="I208" s="337"/>
      <c r="J208" s="337"/>
      <c r="K208" s="6"/>
      <c r="L208" s="6"/>
      <c r="M208" s="6"/>
      <c r="N208" s="6"/>
      <c r="O208" s="6"/>
      <c r="P208" s="6"/>
      <c r="Q208" s="6"/>
      <c r="R208" s="6"/>
      <c r="S208" s="6"/>
      <c r="T208" s="6"/>
      <c r="U208" s="6"/>
      <c r="V208" s="6"/>
      <c r="W208" s="6"/>
      <c r="X208" s="6"/>
      <c r="Y208" s="6"/>
      <c r="Z208" s="6"/>
    </row>
    <row r="209" ht="15.75" customHeight="1">
      <c r="A209" s="130"/>
      <c r="B209" s="2"/>
      <c r="C209" s="2"/>
      <c r="D209" s="2"/>
      <c r="E209" s="2"/>
      <c r="F209" s="2"/>
      <c r="G209" s="337"/>
      <c r="H209" s="337"/>
      <c r="I209" s="337"/>
      <c r="J209" s="337"/>
      <c r="K209" s="6"/>
      <c r="L209" s="6"/>
      <c r="M209" s="6"/>
      <c r="N209" s="6"/>
      <c r="O209" s="6"/>
      <c r="P209" s="6"/>
      <c r="Q209" s="6"/>
      <c r="R209" s="6"/>
      <c r="S209" s="6"/>
      <c r="T209" s="6"/>
      <c r="U209" s="6"/>
      <c r="V209" s="6"/>
      <c r="W209" s="6"/>
      <c r="X209" s="6"/>
      <c r="Y209" s="6"/>
      <c r="Z209" s="6"/>
    </row>
    <row r="210" ht="15.75" customHeight="1">
      <c r="A210" s="130"/>
      <c r="B210" s="2"/>
      <c r="C210" s="2"/>
      <c r="D210" s="2"/>
      <c r="E210" s="2"/>
      <c r="F210" s="2"/>
      <c r="G210" s="337"/>
      <c r="H210" s="337"/>
      <c r="I210" s="337"/>
      <c r="J210" s="337"/>
      <c r="K210" s="6"/>
      <c r="L210" s="6"/>
      <c r="M210" s="6"/>
      <c r="N210" s="6"/>
      <c r="O210" s="6"/>
      <c r="P210" s="6"/>
      <c r="Q210" s="6"/>
      <c r="R210" s="6"/>
      <c r="S210" s="6"/>
      <c r="T210" s="6"/>
      <c r="U210" s="6"/>
      <c r="V210" s="6"/>
      <c r="W210" s="6"/>
      <c r="X210" s="6"/>
      <c r="Y210" s="6"/>
      <c r="Z210" s="6"/>
    </row>
    <row r="211" ht="15.75" customHeight="1">
      <c r="A211" s="130"/>
      <c r="B211" s="2"/>
      <c r="C211" s="2"/>
      <c r="D211" s="2"/>
      <c r="E211" s="2"/>
      <c r="F211" s="2"/>
      <c r="G211" s="337"/>
      <c r="H211" s="337"/>
      <c r="I211" s="337"/>
      <c r="J211" s="337"/>
      <c r="K211" s="6"/>
      <c r="L211" s="6"/>
      <c r="M211" s="6"/>
      <c r="N211" s="6"/>
      <c r="O211" s="6"/>
      <c r="P211" s="6"/>
      <c r="Q211" s="6"/>
      <c r="R211" s="6"/>
      <c r="S211" s="6"/>
      <c r="T211" s="6"/>
      <c r="U211" s="6"/>
      <c r="V211" s="6"/>
      <c r="W211" s="6"/>
      <c r="X211" s="6"/>
      <c r="Y211" s="6"/>
      <c r="Z211" s="6"/>
    </row>
    <row r="212" ht="15.75" customHeight="1">
      <c r="A212" s="130"/>
      <c r="B212" s="2"/>
      <c r="C212" s="2"/>
      <c r="D212" s="2"/>
      <c r="E212" s="2"/>
      <c r="F212" s="2"/>
      <c r="G212" s="337"/>
      <c r="H212" s="337"/>
      <c r="I212" s="337"/>
      <c r="J212" s="337"/>
      <c r="K212" s="6"/>
      <c r="L212" s="6"/>
      <c r="M212" s="6"/>
      <c r="N212" s="6"/>
      <c r="O212" s="6"/>
      <c r="P212" s="6"/>
      <c r="Q212" s="6"/>
      <c r="R212" s="6"/>
      <c r="S212" s="6"/>
      <c r="T212" s="6"/>
      <c r="U212" s="6"/>
      <c r="V212" s="6"/>
      <c r="W212" s="6"/>
      <c r="X212" s="6"/>
      <c r="Y212" s="6"/>
      <c r="Z212" s="6"/>
    </row>
    <row r="213" ht="15.75" customHeight="1">
      <c r="A213" s="130"/>
      <c r="B213" s="2"/>
      <c r="C213" s="2"/>
      <c r="D213" s="2"/>
      <c r="E213" s="2"/>
      <c r="F213" s="2"/>
      <c r="G213" s="337"/>
      <c r="H213" s="337"/>
      <c r="I213" s="337"/>
      <c r="J213" s="337"/>
      <c r="K213" s="6"/>
      <c r="L213" s="6"/>
      <c r="M213" s="6"/>
      <c r="N213" s="6"/>
      <c r="O213" s="6"/>
      <c r="P213" s="6"/>
      <c r="Q213" s="6"/>
      <c r="R213" s="6"/>
      <c r="S213" s="6"/>
      <c r="T213" s="6"/>
      <c r="U213" s="6"/>
      <c r="V213" s="6"/>
      <c r="W213" s="6"/>
      <c r="X213" s="6"/>
      <c r="Y213" s="6"/>
      <c r="Z213" s="6"/>
    </row>
    <row r="214" ht="15.75" customHeight="1">
      <c r="A214" s="130"/>
      <c r="B214" s="2"/>
      <c r="C214" s="2"/>
      <c r="D214" s="2"/>
      <c r="E214" s="2"/>
      <c r="F214" s="2"/>
      <c r="G214" s="337"/>
      <c r="H214" s="337"/>
      <c r="I214" s="337"/>
      <c r="J214" s="337"/>
      <c r="K214" s="6"/>
      <c r="L214" s="6"/>
      <c r="M214" s="6"/>
      <c r="N214" s="6"/>
      <c r="O214" s="6"/>
      <c r="P214" s="6"/>
      <c r="Q214" s="6"/>
      <c r="R214" s="6"/>
      <c r="S214" s="6"/>
      <c r="T214" s="6"/>
      <c r="U214" s="6"/>
      <c r="V214" s="6"/>
      <c r="W214" s="6"/>
      <c r="X214" s="6"/>
      <c r="Y214" s="6"/>
      <c r="Z214" s="6"/>
    </row>
    <row r="215" ht="15.75" customHeight="1">
      <c r="A215" s="130"/>
      <c r="B215" s="2"/>
      <c r="C215" s="2"/>
      <c r="D215" s="2"/>
      <c r="E215" s="2"/>
      <c r="F215" s="2"/>
      <c r="G215" s="337"/>
      <c r="H215" s="337"/>
      <c r="I215" s="337"/>
      <c r="J215" s="337"/>
      <c r="K215" s="6"/>
      <c r="L215" s="6"/>
      <c r="M215" s="6"/>
      <c r="N215" s="6"/>
      <c r="O215" s="6"/>
      <c r="P215" s="6"/>
      <c r="Q215" s="6"/>
      <c r="R215" s="6"/>
      <c r="S215" s="6"/>
      <c r="T215" s="6"/>
      <c r="U215" s="6"/>
      <c r="V215" s="6"/>
      <c r="W215" s="6"/>
      <c r="X215" s="6"/>
      <c r="Y215" s="6"/>
      <c r="Z215" s="6"/>
    </row>
    <row r="216" ht="15.75" customHeight="1">
      <c r="A216" s="130"/>
      <c r="B216" s="2"/>
      <c r="C216" s="2"/>
      <c r="D216" s="2"/>
      <c r="E216" s="2"/>
      <c r="F216" s="2"/>
      <c r="G216" s="337"/>
      <c r="H216" s="337"/>
      <c r="I216" s="337"/>
      <c r="J216" s="337"/>
      <c r="K216" s="6"/>
      <c r="L216" s="6"/>
      <c r="M216" s="6"/>
      <c r="N216" s="6"/>
      <c r="O216" s="6"/>
      <c r="P216" s="6"/>
      <c r="Q216" s="6"/>
      <c r="R216" s="6"/>
      <c r="S216" s="6"/>
      <c r="T216" s="6"/>
      <c r="U216" s="6"/>
      <c r="V216" s="6"/>
      <c r="W216" s="6"/>
      <c r="X216" s="6"/>
      <c r="Y216" s="6"/>
      <c r="Z216" s="6"/>
    </row>
    <row r="217" ht="15.75" customHeight="1">
      <c r="A217" s="130"/>
      <c r="B217" s="2"/>
      <c r="C217" s="2"/>
      <c r="D217" s="2"/>
      <c r="E217" s="2"/>
      <c r="F217" s="2"/>
      <c r="G217" s="337"/>
      <c r="H217" s="337"/>
      <c r="I217" s="337"/>
      <c r="J217" s="337"/>
      <c r="K217" s="6"/>
      <c r="L217" s="6"/>
      <c r="M217" s="6"/>
      <c r="N217" s="6"/>
      <c r="O217" s="6"/>
      <c r="P217" s="6"/>
      <c r="Q217" s="6"/>
      <c r="R217" s="6"/>
      <c r="S217" s="6"/>
      <c r="T217" s="6"/>
      <c r="U217" s="6"/>
      <c r="V217" s="6"/>
      <c r="W217" s="6"/>
      <c r="X217" s="6"/>
      <c r="Y217" s="6"/>
      <c r="Z217" s="6"/>
    </row>
    <row r="218" ht="15.75" customHeight="1">
      <c r="A218" s="130"/>
      <c r="B218" s="2"/>
      <c r="C218" s="2"/>
      <c r="D218" s="2"/>
      <c r="E218" s="2"/>
      <c r="F218" s="2"/>
      <c r="G218" s="337"/>
      <c r="H218" s="337"/>
      <c r="I218" s="337"/>
      <c r="J218" s="337"/>
      <c r="K218" s="6"/>
      <c r="L218" s="6"/>
      <c r="M218" s="6"/>
      <c r="N218" s="6"/>
      <c r="O218" s="6"/>
      <c r="P218" s="6"/>
      <c r="Q218" s="6"/>
      <c r="R218" s="6"/>
      <c r="S218" s="6"/>
      <c r="T218" s="6"/>
      <c r="U218" s="6"/>
      <c r="V218" s="6"/>
      <c r="W218" s="6"/>
      <c r="X218" s="6"/>
      <c r="Y218" s="6"/>
      <c r="Z218" s="6"/>
    </row>
    <row r="219" ht="15.75" customHeight="1">
      <c r="A219" s="130"/>
      <c r="B219" s="2"/>
      <c r="C219" s="2"/>
      <c r="D219" s="2"/>
      <c r="E219" s="2"/>
      <c r="F219" s="2"/>
      <c r="G219" s="337"/>
      <c r="H219" s="337"/>
      <c r="I219" s="337"/>
      <c r="J219" s="337"/>
      <c r="K219" s="6"/>
      <c r="L219" s="6"/>
      <c r="M219" s="6"/>
      <c r="N219" s="6"/>
      <c r="O219" s="6"/>
      <c r="P219" s="6"/>
      <c r="Q219" s="6"/>
      <c r="R219" s="6"/>
      <c r="S219" s="6"/>
      <c r="T219" s="6"/>
      <c r="U219" s="6"/>
      <c r="V219" s="6"/>
      <c r="W219" s="6"/>
      <c r="X219" s="6"/>
      <c r="Y219" s="6"/>
      <c r="Z219" s="6"/>
    </row>
    <row r="220" ht="15.75" customHeight="1">
      <c r="A220" s="130"/>
      <c r="B220" s="2"/>
      <c r="C220" s="2"/>
      <c r="D220" s="2"/>
      <c r="E220" s="2"/>
      <c r="F220" s="2"/>
      <c r="G220" s="337"/>
      <c r="H220" s="337"/>
      <c r="I220" s="337"/>
      <c r="J220" s="337"/>
      <c r="K220" s="6"/>
      <c r="L220" s="6"/>
      <c r="M220" s="6"/>
      <c r="N220" s="6"/>
      <c r="O220" s="6"/>
      <c r="P220" s="6"/>
      <c r="Q220" s="6"/>
      <c r="R220" s="6"/>
      <c r="S220" s="6"/>
      <c r="T220" s="6"/>
      <c r="U220" s="6"/>
      <c r="V220" s="6"/>
      <c r="W220" s="6"/>
      <c r="X220" s="6"/>
      <c r="Y220" s="6"/>
      <c r="Z220" s="6"/>
    </row>
    <row r="221" ht="15.75" customHeight="1">
      <c r="A221" s="130"/>
      <c r="B221" s="2"/>
      <c r="C221" s="2"/>
      <c r="D221" s="2"/>
      <c r="E221" s="2"/>
      <c r="F221" s="2"/>
      <c r="G221" s="337"/>
      <c r="H221" s="337"/>
      <c r="I221" s="337"/>
      <c r="J221" s="337"/>
      <c r="K221" s="6"/>
      <c r="L221" s="6"/>
      <c r="M221" s="6"/>
      <c r="N221" s="6"/>
      <c r="O221" s="6"/>
      <c r="P221" s="6"/>
      <c r="Q221" s="6"/>
      <c r="R221" s="6"/>
      <c r="S221" s="6"/>
      <c r="T221" s="6"/>
      <c r="U221" s="6"/>
      <c r="V221" s="6"/>
      <c r="W221" s="6"/>
      <c r="X221" s="6"/>
      <c r="Y221" s="6"/>
      <c r="Z221" s="6"/>
    </row>
    <row r="222" ht="15.75" customHeight="1">
      <c r="A222" s="130"/>
      <c r="B222" s="2"/>
      <c r="C222" s="2"/>
      <c r="D222" s="2"/>
      <c r="E222" s="2"/>
      <c r="F222" s="2"/>
      <c r="G222" s="337"/>
      <c r="H222" s="337"/>
      <c r="I222" s="337"/>
      <c r="J222" s="337"/>
      <c r="K222" s="6"/>
      <c r="L222" s="6"/>
      <c r="M222" s="6"/>
      <c r="N222" s="6"/>
      <c r="O222" s="6"/>
      <c r="P222" s="6"/>
      <c r="Q222" s="6"/>
      <c r="R222" s="6"/>
      <c r="S222" s="6"/>
      <c r="T222" s="6"/>
      <c r="U222" s="6"/>
      <c r="V222" s="6"/>
      <c r="W222" s="6"/>
      <c r="X222" s="6"/>
      <c r="Y222" s="6"/>
      <c r="Z222" s="6"/>
    </row>
    <row r="223" ht="15.75" customHeight="1">
      <c r="A223" s="130"/>
      <c r="B223" s="2"/>
      <c r="C223" s="2"/>
      <c r="D223" s="2"/>
      <c r="E223" s="2"/>
      <c r="F223" s="2"/>
      <c r="G223" s="337"/>
      <c r="H223" s="337"/>
      <c r="I223" s="337"/>
      <c r="J223" s="337"/>
      <c r="K223" s="6"/>
      <c r="L223" s="6"/>
      <c r="M223" s="6"/>
      <c r="N223" s="6"/>
      <c r="O223" s="6"/>
      <c r="P223" s="6"/>
      <c r="Q223" s="6"/>
      <c r="R223" s="6"/>
      <c r="S223" s="6"/>
      <c r="T223" s="6"/>
      <c r="U223" s="6"/>
      <c r="V223" s="6"/>
      <c r="W223" s="6"/>
      <c r="X223" s="6"/>
      <c r="Y223" s="6"/>
      <c r="Z223" s="6"/>
    </row>
    <row r="224" ht="15.75" customHeight="1">
      <c r="A224" s="130"/>
      <c r="B224" s="2"/>
      <c r="C224" s="2"/>
      <c r="D224" s="2"/>
      <c r="E224" s="2"/>
      <c r="F224" s="2"/>
      <c r="G224" s="337"/>
      <c r="H224" s="337"/>
      <c r="I224" s="337"/>
      <c r="J224" s="337"/>
      <c r="K224" s="6"/>
      <c r="L224" s="6"/>
      <c r="M224" s="6"/>
      <c r="N224" s="6"/>
      <c r="O224" s="6"/>
      <c r="P224" s="6"/>
      <c r="Q224" s="6"/>
      <c r="R224" s="6"/>
      <c r="S224" s="6"/>
      <c r="T224" s="6"/>
      <c r="U224" s="6"/>
      <c r="V224" s="6"/>
      <c r="W224" s="6"/>
      <c r="X224" s="6"/>
      <c r="Y224" s="6"/>
      <c r="Z224" s="6"/>
    </row>
    <row r="225" ht="15.75" customHeight="1">
      <c r="A225" s="130"/>
      <c r="B225" s="2"/>
      <c r="C225" s="2"/>
      <c r="D225" s="2"/>
      <c r="E225" s="2"/>
      <c r="F225" s="2"/>
      <c r="G225" s="337"/>
      <c r="H225" s="337"/>
      <c r="I225" s="337"/>
      <c r="J225" s="337"/>
      <c r="K225" s="6"/>
      <c r="L225" s="6"/>
      <c r="M225" s="6"/>
      <c r="N225" s="6"/>
      <c r="O225" s="6"/>
      <c r="P225" s="6"/>
      <c r="Q225" s="6"/>
      <c r="R225" s="6"/>
      <c r="S225" s="6"/>
      <c r="T225" s="6"/>
      <c r="U225" s="6"/>
      <c r="V225" s="6"/>
      <c r="W225" s="6"/>
      <c r="X225" s="6"/>
      <c r="Y225" s="6"/>
      <c r="Z225" s="6"/>
    </row>
    <row r="226" ht="15.75" customHeight="1">
      <c r="A226" s="130"/>
      <c r="B226" s="2"/>
      <c r="C226" s="2"/>
      <c r="D226" s="2"/>
      <c r="E226" s="2"/>
      <c r="F226" s="2"/>
      <c r="G226" s="337"/>
      <c r="H226" s="337"/>
      <c r="I226" s="337"/>
      <c r="J226" s="337"/>
      <c r="K226" s="6"/>
      <c r="L226" s="6"/>
      <c r="M226" s="6"/>
      <c r="N226" s="6"/>
      <c r="O226" s="6"/>
      <c r="P226" s="6"/>
      <c r="Q226" s="6"/>
      <c r="R226" s="6"/>
      <c r="S226" s="6"/>
      <c r="T226" s="6"/>
      <c r="U226" s="6"/>
      <c r="V226" s="6"/>
      <c r="W226" s="6"/>
      <c r="X226" s="6"/>
      <c r="Y226" s="6"/>
      <c r="Z226" s="6"/>
    </row>
    <row r="227" ht="15.75" customHeight="1">
      <c r="A227" s="130"/>
      <c r="B227" s="2"/>
      <c r="C227" s="2"/>
      <c r="D227" s="2"/>
      <c r="E227" s="2"/>
      <c r="F227" s="2"/>
      <c r="G227" s="337"/>
      <c r="H227" s="337"/>
      <c r="I227" s="337"/>
      <c r="J227" s="337"/>
      <c r="K227" s="6"/>
      <c r="L227" s="6"/>
      <c r="M227" s="6"/>
      <c r="N227" s="6"/>
      <c r="O227" s="6"/>
      <c r="P227" s="6"/>
      <c r="Q227" s="6"/>
      <c r="R227" s="6"/>
      <c r="S227" s="6"/>
      <c r="T227" s="6"/>
      <c r="U227" s="6"/>
      <c r="V227" s="6"/>
      <c r="W227" s="6"/>
      <c r="X227" s="6"/>
      <c r="Y227" s="6"/>
      <c r="Z227" s="6"/>
    </row>
    <row r="228" ht="15.75" customHeight="1">
      <c r="A228" s="130"/>
      <c r="B228" s="2"/>
      <c r="C228" s="2"/>
      <c r="D228" s="2"/>
      <c r="E228" s="2"/>
      <c r="F228" s="2"/>
      <c r="G228" s="337"/>
      <c r="H228" s="337"/>
      <c r="I228" s="337"/>
      <c r="J228" s="337"/>
      <c r="K228" s="6"/>
      <c r="L228" s="6"/>
      <c r="M228" s="6"/>
      <c r="N228" s="6"/>
      <c r="O228" s="6"/>
      <c r="P228" s="6"/>
      <c r="Q228" s="6"/>
      <c r="R228" s="6"/>
      <c r="S228" s="6"/>
      <c r="T228" s="6"/>
      <c r="U228" s="6"/>
      <c r="V228" s="6"/>
      <c r="W228" s="6"/>
      <c r="X228" s="6"/>
      <c r="Y228" s="6"/>
      <c r="Z228" s="6"/>
    </row>
    <row r="229" ht="15.75" customHeight="1">
      <c r="A229" s="130"/>
      <c r="B229" s="2"/>
      <c r="C229" s="2"/>
      <c r="D229" s="2"/>
      <c r="E229" s="2"/>
      <c r="F229" s="2"/>
      <c r="G229" s="337"/>
      <c r="H229" s="337"/>
      <c r="I229" s="337"/>
      <c r="J229" s="337"/>
      <c r="K229" s="6"/>
      <c r="L229" s="6"/>
      <c r="M229" s="6"/>
      <c r="N229" s="6"/>
      <c r="O229" s="6"/>
      <c r="P229" s="6"/>
      <c r="Q229" s="6"/>
      <c r="R229" s="6"/>
      <c r="S229" s="6"/>
      <c r="T229" s="6"/>
      <c r="U229" s="6"/>
      <c r="V229" s="6"/>
      <c r="W229" s="6"/>
      <c r="X229" s="6"/>
      <c r="Y229" s="6"/>
      <c r="Z229" s="6"/>
    </row>
    <row r="230" ht="15.75" customHeight="1">
      <c r="A230" s="130"/>
      <c r="B230" s="2"/>
      <c r="C230" s="2"/>
      <c r="D230" s="2"/>
      <c r="E230" s="2"/>
      <c r="F230" s="2"/>
      <c r="G230" s="337"/>
      <c r="H230" s="337"/>
      <c r="I230" s="337"/>
      <c r="J230" s="337"/>
      <c r="K230" s="6"/>
      <c r="L230" s="6"/>
      <c r="M230" s="6"/>
      <c r="N230" s="6"/>
      <c r="O230" s="6"/>
      <c r="P230" s="6"/>
      <c r="Q230" s="6"/>
      <c r="R230" s="6"/>
      <c r="S230" s="6"/>
      <c r="T230" s="6"/>
      <c r="U230" s="6"/>
      <c r="V230" s="6"/>
      <c r="W230" s="6"/>
      <c r="X230" s="6"/>
      <c r="Y230" s="6"/>
      <c r="Z230" s="6"/>
    </row>
    <row r="231" ht="15.75" customHeight="1">
      <c r="A231" s="130"/>
      <c r="B231" s="2"/>
      <c r="C231" s="2"/>
      <c r="D231" s="2"/>
      <c r="E231" s="2"/>
      <c r="F231" s="2"/>
      <c r="G231" s="337"/>
      <c r="H231" s="337"/>
      <c r="I231" s="337"/>
      <c r="J231" s="337"/>
      <c r="K231" s="6"/>
      <c r="L231" s="6"/>
      <c r="M231" s="6"/>
      <c r="N231" s="6"/>
      <c r="O231" s="6"/>
      <c r="P231" s="6"/>
      <c r="Q231" s="6"/>
      <c r="R231" s="6"/>
      <c r="S231" s="6"/>
      <c r="T231" s="6"/>
      <c r="U231" s="6"/>
      <c r="V231" s="6"/>
      <c r="W231" s="6"/>
      <c r="X231" s="6"/>
      <c r="Y231" s="6"/>
      <c r="Z231" s="6"/>
    </row>
    <row r="232" ht="15.75" customHeight="1">
      <c r="A232" s="130"/>
      <c r="B232" s="2"/>
      <c r="C232" s="2"/>
      <c r="D232" s="2"/>
      <c r="E232" s="2"/>
      <c r="F232" s="2"/>
      <c r="G232" s="337"/>
      <c r="H232" s="337"/>
      <c r="I232" s="337"/>
      <c r="J232" s="337"/>
      <c r="K232" s="6"/>
      <c r="L232" s="6"/>
      <c r="M232" s="6"/>
      <c r="N232" s="6"/>
      <c r="O232" s="6"/>
      <c r="P232" s="6"/>
      <c r="Q232" s="6"/>
      <c r="R232" s="6"/>
      <c r="S232" s="6"/>
      <c r="T232" s="6"/>
      <c r="U232" s="6"/>
      <c r="V232" s="6"/>
      <c r="W232" s="6"/>
      <c r="X232" s="6"/>
      <c r="Y232" s="6"/>
      <c r="Z232" s="6"/>
    </row>
    <row r="233" ht="15.75" customHeight="1">
      <c r="A233" s="130"/>
      <c r="B233" s="2"/>
      <c r="C233" s="2"/>
      <c r="D233" s="2"/>
      <c r="E233" s="2"/>
      <c r="F233" s="2"/>
      <c r="G233" s="337"/>
      <c r="H233" s="337"/>
      <c r="I233" s="337"/>
      <c r="J233" s="337"/>
      <c r="K233" s="6"/>
      <c r="L233" s="6"/>
      <c r="M233" s="6"/>
      <c r="N233" s="6"/>
      <c r="O233" s="6"/>
      <c r="P233" s="6"/>
      <c r="Q233" s="6"/>
      <c r="R233" s="6"/>
      <c r="S233" s="6"/>
      <c r="T233" s="6"/>
      <c r="U233" s="6"/>
      <c r="V233" s="6"/>
      <c r="W233" s="6"/>
      <c r="X233" s="6"/>
      <c r="Y233" s="6"/>
      <c r="Z233" s="6"/>
    </row>
    <row r="234" ht="15.75" customHeight="1">
      <c r="A234" s="130"/>
      <c r="B234" s="2"/>
      <c r="C234" s="2"/>
      <c r="D234" s="2"/>
      <c r="E234" s="2"/>
      <c r="F234" s="2"/>
      <c r="G234" s="337"/>
      <c r="H234" s="337"/>
      <c r="I234" s="337"/>
      <c r="J234" s="337"/>
      <c r="K234" s="6"/>
      <c r="L234" s="6"/>
      <c r="M234" s="6"/>
      <c r="N234" s="6"/>
      <c r="O234" s="6"/>
      <c r="P234" s="6"/>
      <c r="Q234" s="6"/>
      <c r="R234" s="6"/>
      <c r="S234" s="6"/>
      <c r="T234" s="6"/>
      <c r="U234" s="6"/>
      <c r="V234" s="6"/>
      <c r="W234" s="6"/>
      <c r="X234" s="6"/>
      <c r="Y234" s="6"/>
      <c r="Z234" s="6"/>
    </row>
    <row r="235" ht="15.75" customHeight="1">
      <c r="A235" s="130"/>
      <c r="B235" s="2"/>
      <c r="C235" s="2"/>
      <c r="D235" s="2"/>
      <c r="E235" s="2"/>
      <c r="F235" s="2"/>
      <c r="G235" s="337"/>
      <c r="H235" s="337"/>
      <c r="I235" s="337"/>
      <c r="J235" s="337"/>
      <c r="K235" s="6"/>
      <c r="L235" s="6"/>
      <c r="M235" s="6"/>
      <c r="N235" s="6"/>
      <c r="O235" s="6"/>
      <c r="P235" s="6"/>
      <c r="Q235" s="6"/>
      <c r="R235" s="6"/>
      <c r="S235" s="6"/>
      <c r="T235" s="6"/>
      <c r="U235" s="6"/>
      <c r="V235" s="6"/>
      <c r="W235" s="6"/>
      <c r="X235" s="6"/>
      <c r="Y235" s="6"/>
      <c r="Z235" s="6"/>
    </row>
    <row r="236" ht="15.75" customHeight="1">
      <c r="A236" s="130"/>
      <c r="B236" s="2"/>
      <c r="C236" s="2"/>
      <c r="D236" s="2"/>
      <c r="E236" s="2"/>
      <c r="F236" s="2"/>
      <c r="G236" s="337"/>
      <c r="H236" s="337"/>
      <c r="I236" s="337"/>
      <c r="J236" s="337"/>
      <c r="K236" s="6"/>
      <c r="L236" s="6"/>
      <c r="M236" s="6"/>
      <c r="N236" s="6"/>
      <c r="O236" s="6"/>
      <c r="P236" s="6"/>
      <c r="Q236" s="6"/>
      <c r="R236" s="6"/>
      <c r="S236" s="6"/>
      <c r="T236" s="6"/>
      <c r="U236" s="6"/>
      <c r="V236" s="6"/>
      <c r="W236" s="6"/>
      <c r="X236" s="6"/>
      <c r="Y236" s="6"/>
      <c r="Z236" s="6"/>
    </row>
    <row r="237" ht="15.75" customHeight="1">
      <c r="A237" s="130"/>
      <c r="B237" s="2"/>
      <c r="C237" s="2"/>
      <c r="D237" s="2"/>
      <c r="E237" s="2"/>
      <c r="F237" s="2"/>
      <c r="G237" s="337"/>
      <c r="H237" s="337"/>
      <c r="I237" s="337"/>
      <c r="J237" s="337"/>
      <c r="K237" s="6"/>
      <c r="L237" s="6"/>
      <c r="M237" s="6"/>
      <c r="N237" s="6"/>
      <c r="O237" s="6"/>
      <c r="P237" s="6"/>
      <c r="Q237" s="6"/>
      <c r="R237" s="6"/>
      <c r="S237" s="6"/>
      <c r="T237" s="6"/>
      <c r="U237" s="6"/>
      <c r="V237" s="6"/>
      <c r="W237" s="6"/>
      <c r="X237" s="6"/>
      <c r="Y237" s="6"/>
      <c r="Z237" s="6"/>
    </row>
    <row r="238" ht="15.75" customHeight="1">
      <c r="A238" s="130"/>
      <c r="B238" s="2"/>
      <c r="C238" s="2"/>
      <c r="D238" s="2"/>
      <c r="E238" s="2"/>
      <c r="F238" s="2"/>
      <c r="G238" s="337"/>
      <c r="H238" s="337"/>
      <c r="I238" s="337"/>
      <c r="J238" s="337"/>
      <c r="K238" s="6"/>
      <c r="L238" s="6"/>
      <c r="M238" s="6"/>
      <c r="N238" s="6"/>
      <c r="O238" s="6"/>
      <c r="P238" s="6"/>
      <c r="Q238" s="6"/>
      <c r="R238" s="6"/>
      <c r="S238" s="6"/>
      <c r="T238" s="6"/>
      <c r="U238" s="6"/>
      <c r="V238" s="6"/>
      <c r="W238" s="6"/>
      <c r="X238" s="6"/>
      <c r="Y238" s="6"/>
      <c r="Z238" s="6"/>
    </row>
    <row r="239" ht="15.75" customHeight="1">
      <c r="A239" s="130"/>
      <c r="B239" s="2"/>
      <c r="C239" s="2"/>
      <c r="D239" s="2"/>
      <c r="E239" s="2"/>
      <c r="F239" s="2"/>
      <c r="G239" s="337"/>
      <c r="H239" s="337"/>
      <c r="I239" s="337"/>
      <c r="J239" s="337"/>
      <c r="K239" s="6"/>
      <c r="L239" s="6"/>
      <c r="M239" s="6"/>
      <c r="N239" s="6"/>
      <c r="O239" s="6"/>
      <c r="P239" s="6"/>
      <c r="Q239" s="6"/>
      <c r="R239" s="6"/>
      <c r="S239" s="6"/>
      <c r="T239" s="6"/>
      <c r="U239" s="6"/>
      <c r="V239" s="6"/>
      <c r="W239" s="6"/>
      <c r="X239" s="6"/>
      <c r="Y239" s="6"/>
      <c r="Z239" s="6"/>
    </row>
    <row r="240" ht="15.75" customHeight="1">
      <c r="A240" s="130"/>
      <c r="B240" s="2"/>
      <c r="C240" s="2"/>
      <c r="D240" s="2"/>
      <c r="E240" s="2"/>
      <c r="F240" s="2"/>
      <c r="G240" s="337"/>
      <c r="H240" s="337"/>
      <c r="I240" s="337"/>
      <c r="J240" s="337"/>
      <c r="K240" s="6"/>
      <c r="L240" s="6"/>
      <c r="M240" s="6"/>
      <c r="N240" s="6"/>
      <c r="O240" s="6"/>
      <c r="P240" s="6"/>
      <c r="Q240" s="6"/>
      <c r="R240" s="6"/>
      <c r="S240" s="6"/>
      <c r="T240" s="6"/>
      <c r="U240" s="6"/>
      <c r="V240" s="6"/>
      <c r="W240" s="6"/>
      <c r="X240" s="6"/>
      <c r="Y240" s="6"/>
      <c r="Z240" s="6"/>
    </row>
    <row r="241" ht="15.75" customHeight="1">
      <c r="A241" s="130"/>
      <c r="B241" s="2"/>
      <c r="C241" s="2"/>
      <c r="D241" s="2"/>
      <c r="E241" s="2"/>
      <c r="F241" s="2"/>
      <c r="G241" s="337"/>
      <c r="H241" s="337"/>
      <c r="I241" s="337"/>
      <c r="J241" s="337"/>
      <c r="K241" s="6"/>
      <c r="L241" s="6"/>
      <c r="M241" s="6"/>
      <c r="N241" s="6"/>
      <c r="O241" s="6"/>
      <c r="P241" s="6"/>
      <c r="Q241" s="6"/>
      <c r="R241" s="6"/>
      <c r="S241" s="6"/>
      <c r="T241" s="6"/>
      <c r="U241" s="6"/>
      <c r="V241" s="6"/>
      <c r="W241" s="6"/>
      <c r="X241" s="6"/>
      <c r="Y241" s="6"/>
      <c r="Z241" s="6"/>
    </row>
    <row r="242" ht="15.75" customHeight="1">
      <c r="A242" s="130"/>
      <c r="B242" s="2"/>
      <c r="C242" s="2"/>
      <c r="D242" s="2"/>
      <c r="E242" s="2"/>
      <c r="F242" s="2"/>
      <c r="G242" s="337"/>
      <c r="H242" s="337"/>
      <c r="I242" s="337"/>
      <c r="J242" s="337"/>
      <c r="K242" s="6"/>
      <c r="L242" s="6"/>
      <c r="M242" s="6"/>
      <c r="N242" s="6"/>
      <c r="O242" s="6"/>
      <c r="P242" s="6"/>
      <c r="Q242" s="6"/>
      <c r="R242" s="6"/>
      <c r="S242" s="6"/>
      <c r="T242" s="6"/>
      <c r="U242" s="6"/>
      <c r="V242" s="6"/>
      <c r="W242" s="6"/>
      <c r="X242" s="6"/>
      <c r="Y242" s="6"/>
      <c r="Z242" s="6"/>
    </row>
    <row r="243" ht="15.75" customHeight="1">
      <c r="A243" s="130"/>
      <c r="B243" s="2"/>
      <c r="C243" s="2"/>
      <c r="D243" s="2"/>
      <c r="E243" s="2"/>
      <c r="F243" s="2"/>
      <c r="G243" s="337"/>
      <c r="H243" s="337"/>
      <c r="I243" s="337"/>
      <c r="J243" s="337"/>
      <c r="K243" s="6"/>
      <c r="L243" s="6"/>
      <c r="M243" s="6"/>
      <c r="N243" s="6"/>
      <c r="O243" s="6"/>
      <c r="P243" s="6"/>
      <c r="Q243" s="6"/>
      <c r="R243" s="6"/>
      <c r="S243" s="6"/>
      <c r="T243" s="6"/>
      <c r="U243" s="6"/>
      <c r="V243" s="6"/>
      <c r="W243" s="6"/>
      <c r="X243" s="6"/>
      <c r="Y243" s="6"/>
      <c r="Z243" s="6"/>
    </row>
    <row r="244" ht="15.75" customHeight="1">
      <c r="A244" s="130"/>
      <c r="B244" s="2"/>
      <c r="C244" s="2"/>
      <c r="D244" s="2"/>
      <c r="E244" s="2"/>
      <c r="F244" s="2"/>
      <c r="G244" s="337"/>
      <c r="H244" s="337"/>
      <c r="I244" s="337"/>
      <c r="J244" s="337"/>
      <c r="K244" s="6"/>
      <c r="L244" s="6"/>
      <c r="M244" s="6"/>
      <c r="N244" s="6"/>
      <c r="O244" s="6"/>
      <c r="P244" s="6"/>
      <c r="Q244" s="6"/>
      <c r="R244" s="6"/>
      <c r="S244" s="6"/>
      <c r="T244" s="6"/>
      <c r="U244" s="6"/>
      <c r="V244" s="6"/>
      <c r="W244" s="6"/>
      <c r="X244" s="6"/>
      <c r="Y244" s="6"/>
      <c r="Z244" s="6"/>
    </row>
    <row r="245" ht="15.75" customHeight="1">
      <c r="A245" s="130"/>
      <c r="B245" s="2"/>
      <c r="C245" s="2"/>
      <c r="D245" s="2"/>
      <c r="E245" s="2"/>
      <c r="F245" s="2"/>
      <c r="G245" s="337"/>
      <c r="H245" s="337"/>
      <c r="I245" s="337"/>
      <c r="J245" s="337"/>
      <c r="K245" s="6"/>
      <c r="L245" s="6"/>
      <c r="M245" s="6"/>
      <c r="N245" s="6"/>
      <c r="O245" s="6"/>
      <c r="P245" s="6"/>
      <c r="Q245" s="6"/>
      <c r="R245" s="6"/>
      <c r="S245" s="6"/>
      <c r="T245" s="6"/>
      <c r="U245" s="6"/>
      <c r="V245" s="6"/>
      <c r="W245" s="6"/>
      <c r="X245" s="6"/>
      <c r="Y245" s="6"/>
      <c r="Z245" s="6"/>
    </row>
    <row r="246" ht="15.75" customHeight="1">
      <c r="A246" s="130"/>
      <c r="B246" s="2"/>
      <c r="C246" s="2"/>
      <c r="D246" s="2"/>
      <c r="E246" s="2"/>
      <c r="F246" s="2"/>
      <c r="G246" s="337"/>
      <c r="H246" s="337"/>
      <c r="I246" s="337"/>
      <c r="J246" s="337"/>
      <c r="K246" s="6"/>
      <c r="L246" s="6"/>
      <c r="M246" s="6"/>
      <c r="N246" s="6"/>
      <c r="O246" s="6"/>
      <c r="P246" s="6"/>
      <c r="Q246" s="6"/>
      <c r="R246" s="6"/>
      <c r="S246" s="6"/>
      <c r="T246" s="6"/>
      <c r="U246" s="6"/>
      <c r="V246" s="6"/>
      <c r="W246" s="6"/>
      <c r="X246" s="6"/>
      <c r="Y246" s="6"/>
      <c r="Z246" s="6"/>
    </row>
    <row r="247" ht="15.75" customHeight="1">
      <c r="A247" s="130"/>
      <c r="B247" s="2"/>
      <c r="C247" s="2"/>
      <c r="D247" s="2"/>
      <c r="E247" s="2"/>
      <c r="F247" s="2"/>
      <c r="G247" s="337"/>
      <c r="H247" s="337"/>
      <c r="I247" s="337"/>
      <c r="J247" s="337"/>
      <c r="K247" s="6"/>
      <c r="L247" s="6"/>
      <c r="M247" s="6"/>
      <c r="N247" s="6"/>
      <c r="O247" s="6"/>
      <c r="P247" s="6"/>
      <c r="Q247" s="6"/>
      <c r="R247" s="6"/>
      <c r="S247" s="6"/>
      <c r="T247" s="6"/>
      <c r="U247" s="6"/>
      <c r="V247" s="6"/>
      <c r="W247" s="6"/>
      <c r="X247" s="6"/>
      <c r="Y247" s="6"/>
      <c r="Z247" s="6"/>
    </row>
    <row r="248" ht="15.75" customHeight="1">
      <c r="A248" s="130"/>
      <c r="B248" s="2"/>
      <c r="C248" s="2"/>
      <c r="D248" s="2"/>
      <c r="E248" s="2"/>
      <c r="F248" s="2"/>
      <c r="G248" s="337"/>
      <c r="H248" s="337"/>
      <c r="I248" s="337"/>
      <c r="J248" s="337"/>
      <c r="K248" s="6"/>
      <c r="L248" s="6"/>
      <c r="M248" s="6"/>
      <c r="N248" s="6"/>
      <c r="O248" s="6"/>
      <c r="P248" s="6"/>
      <c r="Q248" s="6"/>
      <c r="R248" s="6"/>
      <c r="S248" s="6"/>
      <c r="T248" s="6"/>
      <c r="U248" s="6"/>
      <c r="V248" s="6"/>
      <c r="W248" s="6"/>
      <c r="X248" s="6"/>
      <c r="Y248" s="6"/>
      <c r="Z248" s="6"/>
    </row>
    <row r="249" ht="15.75" customHeight="1">
      <c r="A249" s="130"/>
      <c r="B249" s="2"/>
      <c r="C249" s="2"/>
      <c r="D249" s="2"/>
      <c r="E249" s="2"/>
      <c r="F249" s="2"/>
      <c r="G249" s="337"/>
      <c r="H249" s="337"/>
      <c r="I249" s="337"/>
      <c r="J249" s="337"/>
      <c r="K249" s="6"/>
      <c r="L249" s="6"/>
      <c r="M249" s="6"/>
      <c r="N249" s="6"/>
      <c r="O249" s="6"/>
      <c r="P249" s="6"/>
      <c r="Q249" s="6"/>
      <c r="R249" s="6"/>
      <c r="S249" s="6"/>
      <c r="T249" s="6"/>
      <c r="U249" s="6"/>
      <c r="V249" s="6"/>
      <c r="W249" s="6"/>
      <c r="X249" s="6"/>
      <c r="Y249" s="6"/>
      <c r="Z249" s="6"/>
    </row>
    <row r="250" ht="15.75" customHeight="1">
      <c r="A250" s="130"/>
      <c r="B250" s="2"/>
      <c r="C250" s="2"/>
      <c r="D250" s="2"/>
      <c r="E250" s="2"/>
      <c r="F250" s="2"/>
      <c r="G250" s="337"/>
      <c r="H250" s="337"/>
      <c r="I250" s="337"/>
      <c r="J250" s="337"/>
      <c r="K250" s="6"/>
      <c r="L250" s="6"/>
      <c r="M250" s="6"/>
      <c r="N250" s="6"/>
      <c r="O250" s="6"/>
      <c r="P250" s="6"/>
      <c r="Q250" s="6"/>
      <c r="R250" s="6"/>
      <c r="S250" s="6"/>
      <c r="T250" s="6"/>
      <c r="U250" s="6"/>
      <c r="V250" s="6"/>
      <c r="W250" s="6"/>
      <c r="X250" s="6"/>
      <c r="Y250" s="6"/>
      <c r="Z250" s="6"/>
    </row>
    <row r="251" ht="15.75" customHeight="1">
      <c r="A251" s="130"/>
      <c r="B251" s="2"/>
      <c r="C251" s="2"/>
      <c r="D251" s="2"/>
      <c r="E251" s="2"/>
      <c r="F251" s="2"/>
      <c r="G251" s="337"/>
      <c r="H251" s="337"/>
      <c r="I251" s="337"/>
      <c r="J251" s="337"/>
      <c r="K251" s="6"/>
      <c r="L251" s="6"/>
      <c r="M251" s="6"/>
      <c r="N251" s="6"/>
      <c r="O251" s="6"/>
      <c r="P251" s="6"/>
      <c r="Q251" s="6"/>
      <c r="R251" s="6"/>
      <c r="S251" s="6"/>
      <c r="T251" s="6"/>
      <c r="U251" s="6"/>
      <c r="V251" s="6"/>
      <c r="W251" s="6"/>
      <c r="X251" s="6"/>
      <c r="Y251" s="6"/>
      <c r="Z251" s="6"/>
    </row>
    <row r="252" ht="15.75" customHeight="1">
      <c r="A252" s="130"/>
      <c r="B252" s="2"/>
      <c r="C252" s="2"/>
      <c r="D252" s="2"/>
      <c r="E252" s="2"/>
      <c r="F252" s="2"/>
      <c r="G252" s="337"/>
      <c r="H252" s="337"/>
      <c r="I252" s="337"/>
      <c r="J252" s="337"/>
      <c r="K252" s="6"/>
      <c r="L252" s="6"/>
      <c r="M252" s="6"/>
      <c r="N252" s="6"/>
      <c r="O252" s="6"/>
      <c r="P252" s="6"/>
      <c r="Q252" s="6"/>
      <c r="R252" s="6"/>
      <c r="S252" s="6"/>
      <c r="T252" s="6"/>
      <c r="U252" s="6"/>
      <c r="V252" s="6"/>
      <c r="W252" s="6"/>
      <c r="X252" s="6"/>
      <c r="Y252" s="6"/>
      <c r="Z252" s="6"/>
    </row>
    <row r="253" ht="15.75" customHeight="1">
      <c r="A253" s="130"/>
      <c r="B253" s="2"/>
      <c r="C253" s="2"/>
      <c r="D253" s="2"/>
      <c r="E253" s="2"/>
      <c r="F253" s="2"/>
      <c r="G253" s="337"/>
      <c r="H253" s="337"/>
      <c r="I253" s="337"/>
      <c r="J253" s="337"/>
      <c r="K253" s="6"/>
      <c r="L253" s="6"/>
      <c r="M253" s="6"/>
      <c r="N253" s="6"/>
      <c r="O253" s="6"/>
      <c r="P253" s="6"/>
      <c r="Q253" s="6"/>
      <c r="R253" s="6"/>
      <c r="S253" s="6"/>
      <c r="T253" s="6"/>
      <c r="U253" s="6"/>
      <c r="V253" s="6"/>
      <c r="W253" s="6"/>
      <c r="X253" s="6"/>
      <c r="Y253" s="6"/>
      <c r="Z253" s="6"/>
    </row>
    <row r="254" ht="15.75" customHeight="1">
      <c r="A254" s="130"/>
      <c r="B254" s="2"/>
      <c r="C254" s="2"/>
      <c r="D254" s="2"/>
      <c r="E254" s="2"/>
      <c r="F254" s="2"/>
      <c r="G254" s="337"/>
      <c r="H254" s="337"/>
      <c r="I254" s="337"/>
      <c r="J254" s="337"/>
      <c r="K254" s="6"/>
      <c r="L254" s="6"/>
      <c r="M254" s="6"/>
      <c r="N254" s="6"/>
      <c r="O254" s="6"/>
      <c r="P254" s="6"/>
      <c r="Q254" s="6"/>
      <c r="R254" s="6"/>
      <c r="S254" s="6"/>
      <c r="T254" s="6"/>
      <c r="U254" s="6"/>
      <c r="V254" s="6"/>
      <c r="W254" s="6"/>
      <c r="X254" s="6"/>
      <c r="Y254" s="6"/>
      <c r="Z254" s="6"/>
    </row>
    <row r="255" ht="15.75" customHeight="1">
      <c r="A255" s="130"/>
      <c r="B255" s="2"/>
      <c r="C255" s="2"/>
      <c r="D255" s="2"/>
      <c r="E255" s="2"/>
      <c r="F255" s="2"/>
      <c r="G255" s="337"/>
      <c r="H255" s="337"/>
      <c r="I255" s="337"/>
      <c r="J255" s="337"/>
      <c r="K255" s="6"/>
      <c r="L255" s="6"/>
      <c r="M255" s="6"/>
      <c r="N255" s="6"/>
      <c r="O255" s="6"/>
      <c r="P255" s="6"/>
      <c r="Q255" s="6"/>
      <c r="R255" s="6"/>
      <c r="S255" s="6"/>
      <c r="T255" s="6"/>
      <c r="U255" s="6"/>
      <c r="V255" s="6"/>
      <c r="W255" s="6"/>
      <c r="X255" s="6"/>
      <c r="Y255" s="6"/>
      <c r="Z255" s="6"/>
    </row>
    <row r="256" ht="15.75" customHeight="1">
      <c r="A256" s="130"/>
      <c r="B256" s="2"/>
      <c r="C256" s="2"/>
      <c r="D256" s="2"/>
      <c r="E256" s="2"/>
      <c r="F256" s="2"/>
      <c r="G256" s="337"/>
      <c r="H256" s="337"/>
      <c r="I256" s="337"/>
      <c r="J256" s="337"/>
      <c r="K256" s="6"/>
      <c r="L256" s="6"/>
      <c r="M256" s="6"/>
      <c r="N256" s="6"/>
      <c r="O256" s="6"/>
      <c r="P256" s="6"/>
      <c r="Q256" s="6"/>
      <c r="R256" s="6"/>
      <c r="S256" s="6"/>
      <c r="T256" s="6"/>
      <c r="U256" s="6"/>
      <c r="V256" s="6"/>
      <c r="W256" s="6"/>
      <c r="X256" s="6"/>
      <c r="Y256" s="6"/>
      <c r="Z256" s="6"/>
    </row>
    <row r="257" ht="15.75" customHeight="1">
      <c r="A257" s="130"/>
      <c r="B257" s="2"/>
      <c r="C257" s="2"/>
      <c r="D257" s="2"/>
      <c r="E257" s="2"/>
      <c r="F257" s="2"/>
      <c r="G257" s="337"/>
      <c r="H257" s="337"/>
      <c r="I257" s="337"/>
      <c r="J257" s="337"/>
      <c r="K257" s="6"/>
      <c r="L257" s="6"/>
      <c r="M257" s="6"/>
      <c r="N257" s="6"/>
      <c r="O257" s="6"/>
      <c r="P257" s="6"/>
      <c r="Q257" s="6"/>
      <c r="R257" s="6"/>
      <c r="S257" s="6"/>
      <c r="T257" s="6"/>
      <c r="U257" s="6"/>
      <c r="V257" s="6"/>
      <c r="W257" s="6"/>
      <c r="X257" s="6"/>
      <c r="Y257" s="6"/>
      <c r="Z257" s="6"/>
    </row>
    <row r="258" ht="15.75" customHeight="1">
      <c r="A258" s="130"/>
      <c r="B258" s="2"/>
      <c r="C258" s="2"/>
      <c r="D258" s="2"/>
      <c r="E258" s="2"/>
      <c r="F258" s="2"/>
      <c r="G258" s="337"/>
      <c r="H258" s="337"/>
      <c r="I258" s="337"/>
      <c r="J258" s="337"/>
      <c r="K258" s="6"/>
      <c r="L258" s="6"/>
      <c r="M258" s="6"/>
      <c r="N258" s="6"/>
      <c r="O258" s="6"/>
      <c r="P258" s="6"/>
      <c r="Q258" s="6"/>
      <c r="R258" s="6"/>
      <c r="S258" s="6"/>
      <c r="T258" s="6"/>
      <c r="U258" s="6"/>
      <c r="V258" s="6"/>
      <c r="W258" s="6"/>
      <c r="X258" s="6"/>
      <c r="Y258" s="6"/>
      <c r="Z258" s="6"/>
    </row>
    <row r="259" ht="15.75" customHeight="1">
      <c r="A259" s="130"/>
      <c r="B259" s="2"/>
      <c r="C259" s="2"/>
      <c r="D259" s="2"/>
      <c r="E259" s="2"/>
      <c r="F259" s="2"/>
      <c r="G259" s="337"/>
      <c r="H259" s="337"/>
      <c r="I259" s="337"/>
      <c r="J259" s="337"/>
      <c r="K259" s="6"/>
      <c r="L259" s="6"/>
      <c r="M259" s="6"/>
      <c r="N259" s="6"/>
      <c r="O259" s="6"/>
      <c r="P259" s="6"/>
      <c r="Q259" s="6"/>
      <c r="R259" s="6"/>
      <c r="S259" s="6"/>
      <c r="T259" s="6"/>
      <c r="U259" s="6"/>
      <c r="V259" s="6"/>
      <c r="W259" s="6"/>
      <c r="X259" s="6"/>
      <c r="Y259" s="6"/>
      <c r="Z259" s="6"/>
    </row>
    <row r="260" ht="15.75" customHeight="1">
      <c r="A260" s="130"/>
      <c r="B260" s="2"/>
      <c r="C260" s="2"/>
      <c r="D260" s="2"/>
      <c r="E260" s="2"/>
      <c r="F260" s="2"/>
      <c r="G260" s="337"/>
      <c r="H260" s="337"/>
      <c r="I260" s="337"/>
      <c r="J260" s="337"/>
      <c r="K260" s="6"/>
      <c r="L260" s="6"/>
      <c r="M260" s="6"/>
      <c r="N260" s="6"/>
      <c r="O260" s="6"/>
      <c r="P260" s="6"/>
      <c r="Q260" s="6"/>
      <c r="R260" s="6"/>
      <c r="S260" s="6"/>
      <c r="T260" s="6"/>
      <c r="U260" s="6"/>
      <c r="V260" s="6"/>
      <c r="W260" s="6"/>
      <c r="X260" s="6"/>
      <c r="Y260" s="6"/>
      <c r="Z260" s="6"/>
    </row>
    <row r="261" ht="15.75" customHeight="1">
      <c r="A261" s="130"/>
      <c r="B261" s="2"/>
      <c r="C261" s="2"/>
      <c r="D261" s="2"/>
      <c r="E261" s="2"/>
      <c r="F261" s="2"/>
      <c r="G261" s="337"/>
      <c r="H261" s="337"/>
      <c r="I261" s="337"/>
      <c r="J261" s="337"/>
      <c r="K261" s="6"/>
      <c r="L261" s="6"/>
      <c r="M261" s="6"/>
      <c r="N261" s="6"/>
      <c r="O261" s="6"/>
      <c r="P261" s="6"/>
      <c r="Q261" s="6"/>
      <c r="R261" s="6"/>
      <c r="S261" s="6"/>
      <c r="T261" s="6"/>
      <c r="U261" s="6"/>
      <c r="V261" s="6"/>
      <c r="W261" s="6"/>
      <c r="X261" s="6"/>
      <c r="Y261" s="6"/>
      <c r="Z261" s="6"/>
    </row>
    <row r="262" ht="15.75" customHeight="1">
      <c r="A262" s="130"/>
      <c r="B262" s="2"/>
      <c r="C262" s="2"/>
      <c r="D262" s="2"/>
      <c r="E262" s="2"/>
      <c r="F262" s="2"/>
      <c r="G262" s="337"/>
      <c r="H262" s="337"/>
      <c r="I262" s="337"/>
      <c r="J262" s="337"/>
      <c r="K262" s="6"/>
      <c r="L262" s="6"/>
      <c r="M262" s="6"/>
      <c r="N262" s="6"/>
      <c r="O262" s="6"/>
      <c r="P262" s="6"/>
      <c r="Q262" s="6"/>
      <c r="R262" s="6"/>
      <c r="S262" s="6"/>
      <c r="T262" s="6"/>
      <c r="U262" s="6"/>
      <c r="V262" s="6"/>
      <c r="W262" s="6"/>
      <c r="X262" s="6"/>
      <c r="Y262" s="6"/>
      <c r="Z262" s="6"/>
    </row>
    <row r="263" ht="15.75" customHeight="1">
      <c r="A263" s="130"/>
      <c r="B263" s="2"/>
      <c r="C263" s="2"/>
      <c r="D263" s="2"/>
      <c r="E263" s="2"/>
      <c r="F263" s="2"/>
      <c r="G263" s="337"/>
      <c r="H263" s="337"/>
      <c r="I263" s="337"/>
      <c r="J263" s="337"/>
      <c r="K263" s="6"/>
      <c r="L263" s="6"/>
      <c r="M263" s="6"/>
      <c r="N263" s="6"/>
      <c r="O263" s="6"/>
      <c r="P263" s="6"/>
      <c r="Q263" s="6"/>
      <c r="R263" s="6"/>
      <c r="S263" s="6"/>
      <c r="T263" s="6"/>
      <c r="U263" s="6"/>
      <c r="V263" s="6"/>
      <c r="W263" s="6"/>
      <c r="X263" s="6"/>
      <c r="Y263" s="6"/>
      <c r="Z263" s="6"/>
    </row>
    <row r="264" ht="15.75" customHeight="1">
      <c r="A264" s="130"/>
      <c r="B264" s="2"/>
      <c r="C264" s="2"/>
      <c r="D264" s="2"/>
      <c r="E264" s="2"/>
      <c r="F264" s="2"/>
      <c r="G264" s="337"/>
      <c r="H264" s="337"/>
      <c r="I264" s="337"/>
      <c r="J264" s="337"/>
      <c r="K264" s="6"/>
      <c r="L264" s="6"/>
      <c r="M264" s="6"/>
      <c r="N264" s="6"/>
      <c r="O264" s="6"/>
      <c r="P264" s="6"/>
      <c r="Q264" s="6"/>
      <c r="R264" s="6"/>
      <c r="S264" s="6"/>
      <c r="T264" s="6"/>
      <c r="U264" s="6"/>
      <c r="V264" s="6"/>
      <c r="W264" s="6"/>
      <c r="X264" s="6"/>
      <c r="Y264" s="6"/>
      <c r="Z264" s="6"/>
    </row>
    <row r="265" ht="15.75" customHeight="1">
      <c r="A265" s="130"/>
      <c r="B265" s="2"/>
      <c r="C265" s="2"/>
      <c r="D265" s="2"/>
      <c r="E265" s="2"/>
      <c r="F265" s="2"/>
      <c r="G265" s="337"/>
      <c r="H265" s="337"/>
      <c r="I265" s="337"/>
      <c r="J265" s="337"/>
      <c r="K265" s="6"/>
      <c r="L265" s="6"/>
      <c r="M265" s="6"/>
      <c r="N265" s="6"/>
      <c r="O265" s="6"/>
      <c r="P265" s="6"/>
      <c r="Q265" s="6"/>
      <c r="R265" s="6"/>
      <c r="S265" s="6"/>
      <c r="T265" s="6"/>
      <c r="U265" s="6"/>
      <c r="V265" s="6"/>
      <c r="W265" s="6"/>
      <c r="X265" s="6"/>
      <c r="Y265" s="6"/>
      <c r="Z265" s="6"/>
    </row>
    <row r="266" ht="15.75" customHeight="1">
      <c r="A266" s="130"/>
      <c r="B266" s="2"/>
      <c r="C266" s="2"/>
      <c r="D266" s="2"/>
      <c r="E266" s="2"/>
      <c r="F266" s="2"/>
      <c r="G266" s="337"/>
      <c r="H266" s="337"/>
      <c r="I266" s="337"/>
      <c r="J266" s="337"/>
      <c r="K266" s="6"/>
      <c r="L266" s="6"/>
      <c r="M266" s="6"/>
      <c r="N266" s="6"/>
      <c r="O266" s="6"/>
      <c r="P266" s="6"/>
      <c r="Q266" s="6"/>
      <c r="R266" s="6"/>
      <c r="S266" s="6"/>
      <c r="T266" s="6"/>
      <c r="U266" s="6"/>
      <c r="V266" s="6"/>
      <c r="W266" s="6"/>
      <c r="X266" s="6"/>
      <c r="Y266" s="6"/>
      <c r="Z266" s="6"/>
    </row>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4">
    <mergeCell ref="I40:I44"/>
    <mergeCell ref="J40:J44"/>
    <mergeCell ref="H30:H34"/>
    <mergeCell ref="I30:I34"/>
    <mergeCell ref="J30:J34"/>
    <mergeCell ref="H35:H39"/>
    <mergeCell ref="I35:I39"/>
    <mergeCell ref="J35:J39"/>
    <mergeCell ref="H40:H44"/>
    <mergeCell ref="I55:I59"/>
    <mergeCell ref="J55:J59"/>
    <mergeCell ref="H45:H49"/>
    <mergeCell ref="I45:I49"/>
    <mergeCell ref="J45:J49"/>
    <mergeCell ref="H50:H54"/>
    <mergeCell ref="I50:I54"/>
    <mergeCell ref="J50:J54"/>
    <mergeCell ref="H55:H59"/>
    <mergeCell ref="A10:A12"/>
    <mergeCell ref="H10:H12"/>
    <mergeCell ref="I10:I12"/>
    <mergeCell ref="J10:J12"/>
    <mergeCell ref="A13:A15"/>
    <mergeCell ref="B13:C13"/>
    <mergeCell ref="H13:H15"/>
    <mergeCell ref="I13:I15"/>
    <mergeCell ref="J13:J15"/>
    <mergeCell ref="H16:H18"/>
    <mergeCell ref="I16:I18"/>
    <mergeCell ref="J16:J18"/>
    <mergeCell ref="I19:I21"/>
    <mergeCell ref="J19:J21"/>
    <mergeCell ref="A25:A29"/>
    <mergeCell ref="A30:A34"/>
    <mergeCell ref="A35:A39"/>
    <mergeCell ref="A40:A44"/>
    <mergeCell ref="A45:A49"/>
    <mergeCell ref="A50:A54"/>
    <mergeCell ref="A55:A59"/>
    <mergeCell ref="A60:A64"/>
    <mergeCell ref="H19:H21"/>
    <mergeCell ref="H22:H24"/>
    <mergeCell ref="I22:I24"/>
    <mergeCell ref="J22:J24"/>
    <mergeCell ref="H25:H29"/>
    <mergeCell ref="I25:I29"/>
    <mergeCell ref="J25:J29"/>
    <mergeCell ref="B30:C30"/>
    <mergeCell ref="B35:C35"/>
    <mergeCell ref="B40:C40"/>
    <mergeCell ref="B45:C45"/>
    <mergeCell ref="B50:C50"/>
    <mergeCell ref="B55:C55"/>
    <mergeCell ref="B60:C60"/>
    <mergeCell ref="A16:A18"/>
    <mergeCell ref="B16:C16"/>
    <mergeCell ref="A19:A21"/>
    <mergeCell ref="B19:C19"/>
    <mergeCell ref="A22:A24"/>
    <mergeCell ref="B22:C22"/>
    <mergeCell ref="B25:C25"/>
    <mergeCell ref="H60:H64"/>
    <mergeCell ref="I60:I64"/>
    <mergeCell ref="J60:J64"/>
  </mergeCells>
  <hyperlinks>
    <hyperlink r:id="rId1" ref="E10"/>
    <hyperlink r:id="rId2" ref="E11"/>
    <hyperlink r:id="rId3" ref="E12"/>
    <hyperlink r:id="rId4" ref="E13"/>
    <hyperlink r:id="rId5" ref="E14"/>
    <hyperlink r:id="rId6" ref="E15"/>
    <hyperlink r:id="rId7" ref="E16"/>
    <hyperlink r:id="rId8" ref="E17"/>
    <hyperlink r:id="rId9" ref="E18"/>
    <hyperlink r:id="rId10" ref="E19"/>
    <hyperlink r:id="rId11" ref="E20"/>
    <hyperlink r:id="rId12" ref="E21"/>
    <hyperlink r:id="rId13" ref="E22"/>
    <hyperlink r:id="rId14" ref="E23"/>
    <hyperlink r:id="rId15" ref="E24"/>
    <hyperlink r:id="rId16" ref="E26"/>
    <hyperlink r:id="rId17" ref="E27"/>
    <hyperlink r:id="rId18" ref="E28"/>
    <hyperlink r:id="rId19" ref="E29"/>
    <hyperlink r:id="rId20" ref="E31"/>
    <hyperlink r:id="rId21" ref="E32"/>
    <hyperlink r:id="rId22" ref="E33"/>
    <hyperlink r:id="rId23" ref="E34"/>
    <hyperlink r:id="rId24" ref="E36"/>
    <hyperlink r:id="rId25" ref="E37"/>
    <hyperlink r:id="rId26" ref="E38"/>
    <hyperlink r:id="rId27" ref="E39"/>
    <hyperlink r:id="rId28" ref="E41"/>
    <hyperlink r:id="rId29" ref="E42"/>
    <hyperlink r:id="rId30" ref="E43"/>
    <hyperlink r:id="rId31" ref="E44"/>
    <hyperlink r:id="rId32" ref="E46"/>
    <hyperlink r:id="rId33" ref="E47"/>
    <hyperlink r:id="rId34" ref="E48"/>
    <hyperlink r:id="rId35" ref="E49"/>
    <hyperlink r:id="rId36" ref="E51"/>
    <hyperlink r:id="rId37" ref="E52"/>
    <hyperlink r:id="rId38" ref="E53"/>
    <hyperlink r:id="rId39" ref="E54"/>
    <hyperlink r:id="rId40" ref="E56"/>
    <hyperlink r:id="rId41" ref="E57"/>
    <hyperlink r:id="rId42" ref="E58"/>
    <hyperlink r:id="rId43" ref="E59"/>
    <hyperlink r:id="rId44" ref="E61"/>
    <hyperlink r:id="rId45" ref="E62"/>
    <hyperlink r:id="rId46" ref="E63"/>
    <hyperlink r:id="rId47" ref="E64"/>
  </hyperlinks>
  <printOptions/>
  <pageMargins bottom="0.75" footer="0.0" header="0.0" left="1.25" right="0.25" top="0.75"/>
  <pageSetup paperSize="5" scale="60" orientation="landscape"/>
  <drawing r:id="rId48"/>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showGridLines="0"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4.88"/>
    <col customWidth="1" min="2" max="2" width="58.0"/>
    <col customWidth="1" min="3" max="3" width="12.0"/>
    <col customWidth="1" min="4" max="6" width="23.38"/>
    <col customWidth="1" min="7" max="8" width="58.88"/>
    <col customWidth="1" min="9" max="9" width="31.63"/>
    <col customWidth="1" min="10" max="10" width="30.63"/>
    <col customWidth="1" min="11" max="20" width="8.13"/>
    <col customWidth="1" min="21" max="21" width="12.63"/>
  </cols>
  <sheetData>
    <row r="1" ht="4.5" customHeight="1">
      <c r="A1" s="130"/>
      <c r="B1" s="2"/>
      <c r="C1" s="2"/>
      <c r="D1" s="2"/>
      <c r="E1" s="2"/>
      <c r="F1" s="2"/>
      <c r="G1" s="6"/>
      <c r="H1" s="6"/>
      <c r="I1" s="6"/>
      <c r="J1" s="6"/>
      <c r="K1" s="131"/>
      <c r="L1" s="131"/>
      <c r="M1" s="131"/>
      <c r="N1" s="131"/>
      <c r="O1" s="131"/>
      <c r="P1" s="131"/>
      <c r="Q1" s="131"/>
      <c r="R1" s="131"/>
      <c r="S1" s="131"/>
      <c r="T1" s="131"/>
      <c r="U1" s="6"/>
      <c r="V1" s="6"/>
      <c r="W1" s="6"/>
      <c r="X1" s="6"/>
      <c r="Y1" s="6"/>
      <c r="Z1" s="6"/>
      <c r="AA1" s="6"/>
      <c r="AB1" s="6"/>
    </row>
    <row r="2" ht="15.75" customHeight="1">
      <c r="A2" s="130"/>
      <c r="B2" s="2"/>
      <c r="C2" s="2"/>
      <c r="D2" s="2"/>
      <c r="E2" s="2"/>
      <c r="F2" s="2"/>
      <c r="G2" s="6"/>
      <c r="H2" s="6"/>
      <c r="I2" s="6"/>
      <c r="J2" s="6"/>
      <c r="K2" s="131"/>
      <c r="L2" s="131"/>
      <c r="M2" s="131"/>
      <c r="N2" s="131"/>
      <c r="O2" s="131"/>
      <c r="P2" s="131"/>
      <c r="Q2" s="131"/>
      <c r="R2" s="131"/>
      <c r="S2" s="131"/>
      <c r="T2" s="131"/>
      <c r="U2" s="6"/>
      <c r="V2" s="6"/>
      <c r="W2" s="6"/>
      <c r="X2" s="6"/>
      <c r="Y2" s="6"/>
      <c r="Z2" s="6"/>
      <c r="AA2" s="6"/>
      <c r="AB2" s="6"/>
    </row>
    <row r="3" ht="15.75" customHeight="1">
      <c r="A3" s="130"/>
      <c r="B3" s="2"/>
      <c r="C3" s="2"/>
      <c r="D3" s="2"/>
      <c r="E3" s="2"/>
      <c r="F3" s="2"/>
      <c r="G3" s="6"/>
      <c r="H3" s="6"/>
      <c r="I3" s="6"/>
      <c r="J3" s="6"/>
      <c r="K3" s="131"/>
      <c r="L3" s="131"/>
      <c r="M3" s="131"/>
      <c r="N3" s="131"/>
      <c r="O3" s="131"/>
      <c r="P3" s="131"/>
      <c r="Q3" s="131"/>
      <c r="R3" s="131"/>
      <c r="S3" s="131"/>
      <c r="T3" s="131"/>
      <c r="U3" s="6"/>
      <c r="V3" s="6"/>
      <c r="W3" s="6"/>
      <c r="X3" s="6"/>
      <c r="Y3" s="6"/>
      <c r="Z3" s="6"/>
      <c r="AA3" s="6"/>
      <c r="AB3" s="6"/>
    </row>
    <row r="4" ht="15.75" customHeight="1">
      <c r="A4" s="130"/>
      <c r="B4" s="2"/>
      <c r="C4" s="2"/>
      <c r="D4" s="2"/>
      <c r="E4" s="2"/>
      <c r="F4" s="2"/>
      <c r="G4" s="6"/>
      <c r="H4" s="6"/>
      <c r="I4" s="6"/>
      <c r="J4" s="6"/>
      <c r="K4" s="131"/>
      <c r="L4" s="131"/>
      <c r="M4" s="131"/>
      <c r="N4" s="131"/>
      <c r="O4" s="131"/>
      <c r="P4" s="131"/>
      <c r="Q4" s="131"/>
      <c r="R4" s="131"/>
      <c r="S4" s="131"/>
      <c r="T4" s="131"/>
      <c r="U4" s="6"/>
      <c r="V4" s="6"/>
      <c r="W4" s="6"/>
      <c r="X4" s="6"/>
      <c r="Y4" s="6"/>
      <c r="Z4" s="6"/>
      <c r="AA4" s="6"/>
      <c r="AB4" s="6"/>
    </row>
    <row r="5" ht="15.75" customHeight="1">
      <c r="A5" s="130"/>
      <c r="B5" s="2"/>
      <c r="C5" s="2"/>
      <c r="D5" s="2"/>
      <c r="E5" s="2"/>
      <c r="F5" s="2"/>
      <c r="G5" s="6"/>
      <c r="H5" s="6"/>
      <c r="I5" s="6"/>
      <c r="J5" s="6"/>
      <c r="K5" s="131"/>
      <c r="L5" s="131"/>
      <c r="M5" s="131"/>
      <c r="N5" s="131"/>
      <c r="O5" s="131"/>
      <c r="P5" s="131"/>
      <c r="Q5" s="131"/>
      <c r="R5" s="131"/>
      <c r="S5" s="131"/>
      <c r="T5" s="131"/>
      <c r="U5" s="6"/>
      <c r="V5" s="6"/>
      <c r="W5" s="6"/>
      <c r="X5" s="6"/>
      <c r="Y5" s="6"/>
      <c r="Z5" s="6"/>
      <c r="AA5" s="6"/>
      <c r="AB5" s="6"/>
    </row>
    <row r="6" ht="15.75" customHeight="1">
      <c r="A6" s="130"/>
      <c r="B6" s="2"/>
      <c r="C6" s="2"/>
      <c r="D6" s="2"/>
      <c r="E6" s="2"/>
      <c r="F6" s="2"/>
      <c r="G6" s="6"/>
      <c r="H6" s="6"/>
      <c r="I6" s="6"/>
      <c r="J6" s="6"/>
      <c r="K6" s="131"/>
      <c r="L6" s="131"/>
      <c r="M6" s="131"/>
      <c r="N6" s="131"/>
      <c r="O6" s="131"/>
      <c r="P6" s="131"/>
      <c r="Q6" s="131"/>
      <c r="R6" s="131"/>
      <c r="S6" s="131"/>
      <c r="T6" s="131"/>
      <c r="U6" s="6"/>
      <c r="V6" s="6"/>
      <c r="W6" s="6"/>
      <c r="X6" s="6"/>
      <c r="Y6" s="6"/>
      <c r="Z6" s="6"/>
      <c r="AA6" s="6"/>
      <c r="AB6" s="6"/>
    </row>
    <row r="7" ht="17.25" customHeight="1">
      <c r="A7" s="130"/>
      <c r="B7" s="7"/>
      <c r="C7" s="7"/>
      <c r="D7" s="7"/>
      <c r="E7" s="7"/>
      <c r="F7" s="7"/>
      <c r="G7" s="6"/>
      <c r="H7" s="6"/>
      <c r="I7" s="6"/>
      <c r="J7" s="6"/>
      <c r="K7" s="131"/>
      <c r="L7" s="131"/>
      <c r="M7" s="131"/>
      <c r="N7" s="131"/>
      <c r="O7" s="131"/>
      <c r="P7" s="131"/>
      <c r="Q7" s="131"/>
      <c r="R7" s="131"/>
      <c r="S7" s="131"/>
      <c r="T7" s="131"/>
      <c r="U7" s="6"/>
      <c r="V7" s="6"/>
      <c r="W7" s="6"/>
      <c r="X7" s="6"/>
      <c r="Y7" s="6"/>
      <c r="Z7" s="6"/>
      <c r="AA7" s="6"/>
      <c r="AB7" s="6"/>
    </row>
    <row r="8" ht="17.25" customHeight="1">
      <c r="A8" s="338"/>
      <c r="B8" s="7"/>
      <c r="C8" s="7"/>
      <c r="D8" s="7"/>
      <c r="E8" s="7"/>
      <c r="F8" s="7"/>
      <c r="G8" s="6"/>
      <c r="H8" s="6"/>
      <c r="I8" s="6"/>
      <c r="J8" s="6"/>
      <c r="K8" s="131"/>
      <c r="L8" s="131"/>
      <c r="M8" s="131"/>
      <c r="N8" s="131"/>
      <c r="O8" s="131"/>
      <c r="P8" s="131"/>
      <c r="Q8" s="131"/>
      <c r="R8" s="131"/>
      <c r="S8" s="131"/>
      <c r="T8" s="131"/>
      <c r="U8" s="6"/>
      <c r="V8" s="6"/>
      <c r="W8" s="6"/>
      <c r="X8" s="6"/>
      <c r="Y8" s="6"/>
      <c r="Z8" s="6"/>
      <c r="AA8" s="6"/>
      <c r="AB8" s="6"/>
    </row>
    <row r="9" ht="37.5" customHeight="1">
      <c r="A9" s="253" t="s">
        <v>0</v>
      </c>
      <c r="B9" s="255" t="s">
        <v>1209</v>
      </c>
      <c r="C9" s="255" t="s">
        <v>2</v>
      </c>
      <c r="D9" s="12" t="s">
        <v>3</v>
      </c>
      <c r="E9" s="12" t="s">
        <v>4</v>
      </c>
      <c r="F9" s="12" t="s">
        <v>5</v>
      </c>
      <c r="G9" s="12" t="s">
        <v>6</v>
      </c>
      <c r="H9" s="12" t="s">
        <v>7</v>
      </c>
      <c r="I9" s="315" t="s">
        <v>8</v>
      </c>
      <c r="J9" s="316" t="s">
        <v>9</v>
      </c>
      <c r="K9" s="136"/>
      <c r="L9" s="136"/>
      <c r="M9" s="136"/>
      <c r="N9" s="136"/>
      <c r="O9" s="136"/>
      <c r="P9" s="136"/>
      <c r="Q9" s="136"/>
      <c r="R9" s="136"/>
      <c r="S9" s="136"/>
      <c r="T9" s="136"/>
      <c r="U9" s="136"/>
      <c r="V9" s="6"/>
      <c r="W9" s="6"/>
      <c r="X9" s="6"/>
      <c r="Y9" s="6"/>
      <c r="Z9" s="6"/>
      <c r="AA9" s="6"/>
      <c r="AB9" s="6"/>
    </row>
    <row r="10" ht="34.5" customHeight="1">
      <c r="A10" s="354">
        <v>1.0</v>
      </c>
      <c r="B10" s="256" t="s">
        <v>1210</v>
      </c>
      <c r="C10" s="258"/>
      <c r="D10" s="258"/>
      <c r="E10" s="355"/>
      <c r="F10" s="258">
        <v>75.0</v>
      </c>
      <c r="G10" s="355" t="s">
        <v>1211</v>
      </c>
      <c r="H10" s="356" t="s">
        <v>1212</v>
      </c>
      <c r="I10" s="357"/>
      <c r="J10" s="358"/>
      <c r="K10" s="6"/>
      <c r="L10" s="6"/>
      <c r="M10" s="6"/>
      <c r="N10" s="6"/>
      <c r="O10" s="6"/>
      <c r="P10" s="6"/>
      <c r="Q10" s="6"/>
      <c r="R10" s="6"/>
      <c r="S10" s="6"/>
      <c r="T10" s="6"/>
      <c r="U10" s="6"/>
      <c r="V10" s="6"/>
      <c r="W10" s="6"/>
      <c r="X10" s="6"/>
      <c r="Y10" s="6"/>
      <c r="Z10" s="6"/>
      <c r="AA10" s="6"/>
      <c r="AB10" s="6"/>
    </row>
    <row r="11" ht="21.75" customHeight="1">
      <c r="A11" s="24"/>
      <c r="B11" s="272" t="s">
        <v>1213</v>
      </c>
      <c r="C11" s="321">
        <v>100.0</v>
      </c>
      <c r="D11" s="265"/>
      <c r="E11" s="287"/>
      <c r="F11" s="265"/>
      <c r="G11" s="359"/>
      <c r="H11" s="267"/>
      <c r="I11" s="285"/>
      <c r="J11" s="285"/>
      <c r="K11" s="6"/>
      <c r="L11" s="6"/>
      <c r="M11" s="6"/>
      <c r="N11" s="6"/>
      <c r="O11" s="6"/>
      <c r="P11" s="6"/>
      <c r="Q11" s="6"/>
      <c r="R11" s="6"/>
      <c r="S11" s="6"/>
      <c r="T11" s="6"/>
      <c r="U11" s="6"/>
      <c r="V11" s="6"/>
      <c r="W11" s="6"/>
      <c r="X11" s="6"/>
      <c r="Y11" s="6"/>
      <c r="Z11" s="6"/>
      <c r="AA11" s="6"/>
      <c r="AB11" s="6"/>
    </row>
    <row r="12" ht="22.5" customHeight="1">
      <c r="A12" s="24"/>
      <c r="B12" s="272" t="s">
        <v>1214</v>
      </c>
      <c r="C12" s="321">
        <v>75.0</v>
      </c>
      <c r="D12" s="265">
        <v>75.0</v>
      </c>
      <c r="E12" s="106" t="s">
        <v>1215</v>
      </c>
      <c r="F12" s="265"/>
      <c r="G12" s="359"/>
      <c r="H12" s="267"/>
      <c r="I12" s="285"/>
      <c r="J12" s="285"/>
      <c r="K12" s="6"/>
      <c r="L12" s="6"/>
      <c r="M12" s="6"/>
      <c r="N12" s="6"/>
      <c r="O12" s="6"/>
      <c r="P12" s="6"/>
      <c r="Q12" s="6"/>
      <c r="R12" s="6"/>
      <c r="S12" s="6"/>
      <c r="T12" s="6"/>
      <c r="U12" s="6"/>
      <c r="V12" s="6"/>
      <c r="W12" s="6"/>
      <c r="X12" s="6"/>
      <c r="Y12" s="6"/>
      <c r="Z12" s="6"/>
      <c r="AA12" s="6"/>
      <c r="AB12" s="6"/>
    </row>
    <row r="13" ht="27.0" customHeight="1">
      <c r="A13" s="24"/>
      <c r="B13" s="272" t="s">
        <v>1216</v>
      </c>
      <c r="C13" s="321">
        <v>50.0</v>
      </c>
      <c r="D13" s="268"/>
      <c r="E13" s="106" t="s">
        <v>1217</v>
      </c>
      <c r="F13" s="268"/>
      <c r="G13" s="359"/>
      <c r="H13" s="267"/>
      <c r="I13" s="285"/>
      <c r="J13" s="285"/>
      <c r="K13" s="6"/>
      <c r="L13" s="6"/>
      <c r="M13" s="6"/>
      <c r="N13" s="6"/>
      <c r="O13" s="6"/>
      <c r="P13" s="6"/>
      <c r="Q13" s="6"/>
      <c r="R13" s="6"/>
      <c r="S13" s="6"/>
      <c r="T13" s="6"/>
      <c r="U13" s="6"/>
      <c r="V13" s="6"/>
      <c r="W13" s="6"/>
      <c r="X13" s="6"/>
      <c r="Y13" s="6"/>
      <c r="Z13" s="6"/>
      <c r="AA13" s="6"/>
      <c r="AB13" s="6"/>
    </row>
    <row r="14" ht="26.25" customHeight="1">
      <c r="A14" s="24"/>
      <c r="B14" s="272" t="s">
        <v>1218</v>
      </c>
      <c r="C14" s="321">
        <v>25.0</v>
      </c>
      <c r="D14" s="265"/>
      <c r="E14" s="106" t="s">
        <v>1219</v>
      </c>
      <c r="F14" s="265"/>
      <c r="G14" s="359"/>
      <c r="H14" s="267"/>
      <c r="I14" s="285"/>
      <c r="J14" s="285"/>
      <c r="K14" s="6"/>
      <c r="L14" s="6"/>
      <c r="M14" s="6"/>
      <c r="N14" s="6"/>
      <c r="O14" s="6"/>
      <c r="P14" s="6"/>
      <c r="Q14" s="6"/>
      <c r="R14" s="6"/>
      <c r="S14" s="6"/>
      <c r="T14" s="6"/>
      <c r="U14" s="6"/>
      <c r="V14" s="6"/>
      <c r="W14" s="6"/>
      <c r="X14" s="6"/>
      <c r="Y14" s="6"/>
      <c r="Z14" s="6"/>
      <c r="AA14" s="6"/>
      <c r="AB14" s="6"/>
    </row>
    <row r="15" ht="27.75" customHeight="1">
      <c r="A15" s="32"/>
      <c r="B15" s="272" t="s">
        <v>1220</v>
      </c>
      <c r="C15" s="321">
        <v>0.0</v>
      </c>
      <c r="D15" s="265"/>
      <c r="E15" s="287"/>
      <c r="F15" s="265"/>
      <c r="G15" s="359"/>
      <c r="H15" s="58"/>
      <c r="I15" s="265"/>
      <c r="J15" s="265"/>
      <c r="K15" s="13"/>
      <c r="L15" s="13"/>
      <c r="M15" s="13"/>
      <c r="N15" s="13"/>
      <c r="O15" s="13"/>
      <c r="P15" s="13"/>
      <c r="Q15" s="13"/>
      <c r="R15" s="13"/>
      <c r="S15" s="13"/>
      <c r="T15" s="13"/>
      <c r="U15" s="13"/>
      <c r="V15" s="6"/>
      <c r="W15" s="6"/>
      <c r="X15" s="6"/>
      <c r="Y15" s="6"/>
      <c r="Z15" s="6"/>
      <c r="AA15" s="6"/>
      <c r="AB15" s="6"/>
    </row>
    <row r="16" ht="37.5" customHeight="1">
      <c r="A16" s="168">
        <v>2.0</v>
      </c>
      <c r="B16" s="272" t="s">
        <v>1221</v>
      </c>
      <c r="C16" s="268"/>
      <c r="D16" s="265"/>
      <c r="E16" s="287"/>
      <c r="F16" s="265">
        <v>75.0</v>
      </c>
      <c r="G16" s="355" t="s">
        <v>1211</v>
      </c>
      <c r="H16" s="360" t="s">
        <v>1222</v>
      </c>
      <c r="I16" s="265"/>
      <c r="J16" s="285"/>
      <c r="K16" s="361"/>
      <c r="L16" s="361"/>
      <c r="M16" s="361"/>
      <c r="N16" s="361"/>
      <c r="O16" s="361"/>
      <c r="P16" s="361"/>
      <c r="Q16" s="361"/>
      <c r="R16" s="361"/>
      <c r="S16" s="361"/>
      <c r="T16" s="361"/>
      <c r="U16" s="361"/>
      <c r="V16" s="6"/>
      <c r="W16" s="6"/>
      <c r="X16" s="6"/>
      <c r="Y16" s="6"/>
      <c r="Z16" s="6"/>
      <c r="AA16" s="6"/>
      <c r="AB16" s="6"/>
    </row>
    <row r="17" ht="34.5" customHeight="1">
      <c r="A17" s="24"/>
      <c r="B17" s="272" t="s">
        <v>1223</v>
      </c>
      <c r="C17" s="321">
        <v>100.0</v>
      </c>
      <c r="D17" s="265"/>
      <c r="E17" s="287"/>
      <c r="F17" s="265"/>
      <c r="G17" s="359"/>
      <c r="H17" s="267"/>
      <c r="I17" s="285"/>
      <c r="J17" s="285"/>
      <c r="K17" s="13"/>
      <c r="L17" s="13"/>
      <c r="M17" s="13"/>
      <c r="N17" s="13"/>
      <c r="O17" s="13"/>
      <c r="P17" s="13"/>
      <c r="Q17" s="13"/>
      <c r="R17" s="13"/>
      <c r="S17" s="13"/>
      <c r="T17" s="13"/>
      <c r="U17" s="13"/>
      <c r="V17" s="6"/>
      <c r="W17" s="6"/>
      <c r="X17" s="6"/>
      <c r="Y17" s="6"/>
      <c r="Z17" s="6"/>
      <c r="AA17" s="6"/>
      <c r="AB17" s="6"/>
    </row>
    <row r="18" ht="34.5" customHeight="1">
      <c r="A18" s="24"/>
      <c r="B18" s="272" t="s">
        <v>1224</v>
      </c>
      <c r="C18" s="321">
        <v>75.0</v>
      </c>
      <c r="D18" s="265">
        <v>75.0</v>
      </c>
      <c r="E18" s="106" t="s">
        <v>1225</v>
      </c>
      <c r="F18" s="265"/>
      <c r="G18" s="359"/>
      <c r="H18" s="267"/>
      <c r="I18" s="285"/>
      <c r="J18" s="285"/>
      <c r="K18" s="13"/>
      <c r="L18" s="13"/>
      <c r="M18" s="13"/>
      <c r="N18" s="13"/>
      <c r="O18" s="13"/>
      <c r="P18" s="13"/>
      <c r="Q18" s="13"/>
      <c r="R18" s="13"/>
      <c r="S18" s="13"/>
      <c r="T18" s="13"/>
      <c r="U18" s="13"/>
      <c r="V18" s="6"/>
      <c r="W18" s="6"/>
      <c r="X18" s="6"/>
      <c r="Y18" s="6"/>
      <c r="Z18" s="6"/>
      <c r="AA18" s="6"/>
      <c r="AB18" s="6"/>
    </row>
    <row r="19" ht="34.5" customHeight="1">
      <c r="A19" s="24"/>
      <c r="B19" s="272" t="s">
        <v>1226</v>
      </c>
      <c r="C19" s="321">
        <v>50.0</v>
      </c>
      <c r="D19" s="268"/>
      <c r="E19" s="106" t="s">
        <v>1227</v>
      </c>
      <c r="F19" s="268"/>
      <c r="G19" s="359"/>
      <c r="H19" s="267"/>
      <c r="I19" s="285"/>
      <c r="J19" s="285"/>
      <c r="K19" s="13"/>
      <c r="L19" s="13"/>
      <c r="M19" s="13"/>
      <c r="N19" s="13"/>
      <c r="O19" s="13"/>
      <c r="P19" s="13"/>
      <c r="Q19" s="13"/>
      <c r="R19" s="13"/>
      <c r="S19" s="13"/>
      <c r="T19" s="13"/>
      <c r="U19" s="13"/>
      <c r="V19" s="6"/>
      <c r="W19" s="6"/>
      <c r="X19" s="6"/>
      <c r="Y19" s="6"/>
      <c r="Z19" s="6"/>
      <c r="AA19" s="6"/>
      <c r="AB19" s="6"/>
    </row>
    <row r="20" ht="21.0" customHeight="1">
      <c r="A20" s="24"/>
      <c r="B20" s="272" t="s">
        <v>1228</v>
      </c>
      <c r="C20" s="321">
        <v>25.0</v>
      </c>
      <c r="D20" s="265"/>
      <c r="E20" s="106" t="s">
        <v>1229</v>
      </c>
      <c r="F20" s="265"/>
      <c r="G20" s="359"/>
      <c r="H20" s="267"/>
      <c r="I20" s="285"/>
      <c r="J20" s="285"/>
      <c r="K20" s="13"/>
      <c r="L20" s="13"/>
      <c r="M20" s="13"/>
      <c r="N20" s="13"/>
      <c r="O20" s="13"/>
      <c r="P20" s="13"/>
      <c r="Q20" s="13"/>
      <c r="R20" s="13"/>
      <c r="S20" s="13"/>
      <c r="T20" s="13"/>
      <c r="U20" s="13"/>
      <c r="V20" s="6"/>
      <c r="W20" s="6"/>
      <c r="X20" s="6"/>
      <c r="Y20" s="6"/>
      <c r="Z20" s="6"/>
      <c r="AA20" s="6"/>
      <c r="AB20" s="6"/>
    </row>
    <row r="21" ht="21.0" customHeight="1">
      <c r="A21" s="32"/>
      <c r="B21" s="272" t="s">
        <v>1230</v>
      </c>
      <c r="C21" s="321">
        <v>0.0</v>
      </c>
      <c r="D21" s="265"/>
      <c r="E21" s="287"/>
      <c r="F21" s="265"/>
      <c r="G21" s="359"/>
      <c r="H21" s="58"/>
      <c r="I21" s="265"/>
      <c r="J21" s="265"/>
      <c r="K21" s="13"/>
      <c r="L21" s="13"/>
      <c r="M21" s="13"/>
      <c r="N21" s="13"/>
      <c r="O21" s="13"/>
      <c r="P21" s="13"/>
      <c r="Q21" s="13"/>
      <c r="R21" s="13"/>
      <c r="S21" s="13"/>
      <c r="T21" s="13"/>
      <c r="U21" s="13"/>
      <c r="V21" s="6"/>
      <c r="W21" s="6"/>
      <c r="X21" s="6"/>
      <c r="Y21" s="6"/>
      <c r="Z21" s="6"/>
      <c r="AA21" s="6"/>
      <c r="AB21" s="6"/>
    </row>
    <row r="22" ht="19.5" customHeight="1">
      <c r="A22" s="168">
        <v>3.0</v>
      </c>
      <c r="B22" s="325" t="s">
        <v>1231</v>
      </c>
      <c r="C22" s="58"/>
      <c r="D22" s="268"/>
      <c r="E22" s="359"/>
      <c r="F22" s="268"/>
      <c r="G22" s="355" t="s">
        <v>1211</v>
      </c>
      <c r="H22" s="270" t="s">
        <v>1232</v>
      </c>
      <c r="I22" s="270" t="s">
        <v>1233</v>
      </c>
      <c r="J22" s="270" t="s">
        <v>1234</v>
      </c>
      <c r="K22" s="13"/>
      <c r="L22" s="13"/>
      <c r="M22" s="13"/>
      <c r="N22" s="13"/>
      <c r="O22" s="13"/>
      <c r="P22" s="13"/>
      <c r="Q22" s="13"/>
      <c r="R22" s="13"/>
      <c r="S22" s="13"/>
      <c r="T22" s="13"/>
      <c r="U22" s="13"/>
      <c r="V22" s="6"/>
      <c r="W22" s="6"/>
      <c r="X22" s="6"/>
      <c r="Y22" s="6"/>
      <c r="Z22" s="6"/>
      <c r="AA22" s="6"/>
      <c r="AB22" s="6"/>
    </row>
    <row r="23" ht="35.25" customHeight="1">
      <c r="A23" s="24"/>
      <c r="B23" s="263" t="s">
        <v>1235</v>
      </c>
      <c r="C23" s="264">
        <v>100.0</v>
      </c>
      <c r="D23" s="265"/>
      <c r="E23" s="287"/>
      <c r="F23" s="265">
        <v>50.0</v>
      </c>
      <c r="G23" s="263"/>
      <c r="H23" s="267"/>
      <c r="I23" s="267"/>
      <c r="J23" s="267"/>
      <c r="K23" s="13"/>
      <c r="L23" s="13"/>
      <c r="M23" s="13"/>
      <c r="N23" s="13"/>
      <c r="O23" s="13"/>
      <c r="P23" s="13"/>
      <c r="Q23" s="13"/>
      <c r="R23" s="13"/>
      <c r="S23" s="13"/>
      <c r="T23" s="13"/>
      <c r="U23" s="13"/>
      <c r="V23" s="6"/>
      <c r="W23" s="6"/>
      <c r="X23" s="6"/>
      <c r="Y23" s="6"/>
      <c r="Z23" s="6"/>
      <c r="AA23" s="6"/>
      <c r="AB23" s="6"/>
    </row>
    <row r="24" ht="26.25" customHeight="1">
      <c r="A24" s="24"/>
      <c r="B24" s="263" t="s">
        <v>1236</v>
      </c>
      <c r="C24" s="264">
        <v>75.0</v>
      </c>
      <c r="D24" s="265"/>
      <c r="E24" s="287"/>
      <c r="F24" s="265"/>
      <c r="G24" s="263"/>
      <c r="H24" s="267"/>
      <c r="I24" s="267"/>
      <c r="J24" s="267"/>
      <c r="K24" s="13"/>
      <c r="L24" s="13"/>
      <c r="M24" s="13"/>
      <c r="N24" s="13"/>
      <c r="O24" s="13"/>
      <c r="P24" s="13"/>
      <c r="Q24" s="13"/>
      <c r="R24" s="13"/>
      <c r="S24" s="13"/>
      <c r="T24" s="13"/>
      <c r="U24" s="13"/>
      <c r="V24" s="6"/>
      <c r="W24" s="6"/>
      <c r="X24" s="6"/>
      <c r="Y24" s="6"/>
      <c r="Z24" s="6"/>
      <c r="AA24" s="6"/>
      <c r="AB24" s="6"/>
    </row>
    <row r="25" ht="29.25" customHeight="1">
      <c r="A25" s="24"/>
      <c r="B25" s="263" t="s">
        <v>1237</v>
      </c>
      <c r="C25" s="264">
        <v>50.0</v>
      </c>
      <c r="D25" s="265">
        <v>50.0</v>
      </c>
      <c r="E25" s="106" t="s">
        <v>1238</v>
      </c>
      <c r="F25" s="265"/>
      <c r="G25" s="263"/>
      <c r="H25" s="267"/>
      <c r="I25" s="267"/>
      <c r="J25" s="267"/>
      <c r="K25" s="13"/>
      <c r="L25" s="13"/>
      <c r="M25" s="13"/>
      <c r="N25" s="13"/>
      <c r="O25" s="13"/>
      <c r="P25" s="13"/>
      <c r="Q25" s="13"/>
      <c r="R25" s="13"/>
      <c r="S25" s="13"/>
      <c r="T25" s="13"/>
      <c r="U25" s="13"/>
      <c r="V25" s="6"/>
      <c r="W25" s="6"/>
      <c r="X25" s="6"/>
      <c r="Y25" s="6"/>
      <c r="Z25" s="6"/>
      <c r="AA25" s="6"/>
      <c r="AB25" s="6"/>
    </row>
    <row r="26" ht="29.25" customHeight="1">
      <c r="A26" s="24"/>
      <c r="B26" s="286" t="s">
        <v>1239</v>
      </c>
      <c r="C26" s="264">
        <v>25.0</v>
      </c>
      <c r="D26" s="268"/>
      <c r="E26" s="106" t="s">
        <v>1240</v>
      </c>
      <c r="F26" s="268"/>
      <c r="G26" s="263"/>
      <c r="H26" s="267"/>
      <c r="I26" s="267"/>
      <c r="J26" s="267"/>
      <c r="K26" s="13"/>
      <c r="L26" s="13"/>
      <c r="M26" s="13"/>
      <c r="N26" s="13"/>
      <c r="O26" s="13"/>
      <c r="P26" s="13"/>
      <c r="Q26" s="13"/>
      <c r="R26" s="13"/>
      <c r="S26" s="13"/>
      <c r="T26" s="13"/>
      <c r="U26" s="13"/>
      <c r="V26" s="6"/>
      <c r="W26" s="6"/>
      <c r="X26" s="6"/>
      <c r="Y26" s="6"/>
      <c r="Z26" s="6"/>
      <c r="AA26" s="6"/>
      <c r="AB26" s="6"/>
    </row>
    <row r="27" ht="28.5" customHeight="1">
      <c r="A27" s="32"/>
      <c r="B27" s="286" t="s">
        <v>1241</v>
      </c>
      <c r="C27" s="264">
        <v>0.0</v>
      </c>
      <c r="D27" s="265"/>
      <c r="E27" s="106" t="s">
        <v>1242</v>
      </c>
      <c r="F27" s="265"/>
      <c r="G27" s="263"/>
      <c r="H27" s="58"/>
      <c r="I27" s="58"/>
      <c r="J27" s="58"/>
      <c r="K27" s="13"/>
      <c r="L27" s="13"/>
      <c r="M27" s="13"/>
      <c r="N27" s="13"/>
      <c r="O27" s="13"/>
      <c r="P27" s="13"/>
      <c r="Q27" s="13"/>
      <c r="R27" s="13"/>
      <c r="S27" s="13"/>
      <c r="T27" s="13"/>
      <c r="U27" s="13"/>
      <c r="V27" s="6"/>
      <c r="W27" s="6"/>
      <c r="X27" s="6"/>
      <c r="Y27" s="6"/>
      <c r="Z27" s="6"/>
      <c r="AA27" s="6"/>
      <c r="AB27" s="6"/>
    </row>
    <row r="28" ht="26.25" customHeight="1">
      <c r="A28" s="323">
        <v>4.0</v>
      </c>
      <c r="B28" s="269" t="s">
        <v>1243</v>
      </c>
      <c r="C28" s="58"/>
      <c r="D28" s="265"/>
      <c r="E28" s="287"/>
      <c r="F28" s="265">
        <v>100.0</v>
      </c>
      <c r="G28" s="263" t="s">
        <v>1244</v>
      </c>
      <c r="H28" s="270" t="s">
        <v>1245</v>
      </c>
      <c r="I28" s="328" t="s">
        <v>1246</v>
      </c>
      <c r="J28" s="270" t="s">
        <v>1247</v>
      </c>
      <c r="K28" s="13"/>
      <c r="L28" s="13"/>
      <c r="M28" s="13"/>
      <c r="N28" s="13"/>
      <c r="O28" s="13"/>
      <c r="P28" s="13"/>
      <c r="Q28" s="13"/>
      <c r="R28" s="13"/>
      <c r="S28" s="13"/>
      <c r="T28" s="13"/>
      <c r="U28" s="13"/>
      <c r="V28" s="6"/>
      <c r="W28" s="6"/>
      <c r="X28" s="6"/>
      <c r="Y28" s="6"/>
      <c r="Z28" s="6"/>
      <c r="AA28" s="6"/>
      <c r="AB28" s="6"/>
    </row>
    <row r="29" ht="36.0" customHeight="1">
      <c r="A29" s="267"/>
      <c r="B29" s="263" t="s">
        <v>1248</v>
      </c>
      <c r="C29" s="264">
        <v>100.0</v>
      </c>
      <c r="D29" s="265">
        <v>100.0</v>
      </c>
      <c r="E29" s="106" t="s">
        <v>1249</v>
      </c>
      <c r="F29" s="265"/>
      <c r="G29" s="263"/>
      <c r="H29" s="267"/>
      <c r="I29" s="267"/>
      <c r="J29" s="267"/>
      <c r="K29" s="13"/>
      <c r="L29" s="13"/>
      <c r="M29" s="13"/>
      <c r="N29" s="13"/>
      <c r="O29" s="13"/>
      <c r="P29" s="13"/>
      <c r="Q29" s="13"/>
      <c r="R29" s="13"/>
      <c r="S29" s="13"/>
      <c r="T29" s="13"/>
      <c r="U29" s="13"/>
      <c r="V29" s="6"/>
      <c r="W29" s="6"/>
      <c r="X29" s="6"/>
      <c r="Y29" s="6"/>
      <c r="Z29" s="6"/>
      <c r="AA29" s="6"/>
      <c r="AB29" s="6"/>
    </row>
    <row r="30" ht="33.0" customHeight="1">
      <c r="A30" s="267"/>
      <c r="B30" s="263" t="s">
        <v>1250</v>
      </c>
      <c r="C30" s="264">
        <v>75.0</v>
      </c>
      <c r="D30" s="268"/>
      <c r="E30" s="106" t="s">
        <v>1251</v>
      </c>
      <c r="F30" s="268"/>
      <c r="G30" s="263"/>
      <c r="H30" s="267"/>
      <c r="I30" s="267"/>
      <c r="J30" s="267"/>
      <c r="K30" s="13"/>
      <c r="L30" s="13"/>
      <c r="M30" s="13"/>
      <c r="N30" s="13"/>
      <c r="O30" s="13"/>
      <c r="P30" s="13"/>
      <c r="Q30" s="13"/>
      <c r="R30" s="13"/>
      <c r="S30" s="13"/>
      <c r="T30" s="13"/>
      <c r="U30" s="13"/>
      <c r="V30" s="6"/>
      <c r="W30" s="6"/>
      <c r="X30" s="6"/>
      <c r="Y30" s="6"/>
      <c r="Z30" s="6"/>
      <c r="AA30" s="6"/>
      <c r="AB30" s="6"/>
    </row>
    <row r="31" ht="48.75" customHeight="1">
      <c r="A31" s="267"/>
      <c r="B31" s="263" t="s">
        <v>1252</v>
      </c>
      <c r="C31" s="264">
        <v>50.0</v>
      </c>
      <c r="D31" s="265"/>
      <c r="E31" s="287"/>
      <c r="F31" s="265"/>
      <c r="G31" s="263"/>
      <c r="H31" s="267"/>
      <c r="I31" s="267"/>
      <c r="J31" s="267"/>
      <c r="K31" s="13"/>
      <c r="L31" s="13"/>
      <c r="M31" s="13"/>
      <c r="N31" s="13"/>
      <c r="O31" s="13"/>
      <c r="P31" s="13"/>
      <c r="Q31" s="13"/>
      <c r="R31" s="13"/>
      <c r="S31" s="13"/>
      <c r="T31" s="13"/>
      <c r="U31" s="13"/>
      <c r="V31" s="6"/>
      <c r="W31" s="6"/>
      <c r="X31" s="6"/>
      <c r="Y31" s="6"/>
      <c r="Z31" s="6"/>
      <c r="AA31" s="6"/>
      <c r="AB31" s="6"/>
    </row>
    <row r="32" ht="32.25" customHeight="1">
      <c r="A32" s="267"/>
      <c r="B32" s="263" t="s">
        <v>1253</v>
      </c>
      <c r="C32" s="264">
        <v>25.0</v>
      </c>
      <c r="D32" s="265"/>
      <c r="E32" s="287"/>
      <c r="F32" s="265"/>
      <c r="G32" s="263"/>
      <c r="H32" s="267"/>
      <c r="I32" s="267"/>
      <c r="J32" s="267"/>
      <c r="K32" s="13"/>
      <c r="L32" s="13"/>
      <c r="M32" s="13"/>
      <c r="N32" s="13"/>
      <c r="O32" s="13"/>
      <c r="P32" s="13"/>
      <c r="Q32" s="13"/>
      <c r="R32" s="13"/>
      <c r="S32" s="13"/>
      <c r="T32" s="13"/>
      <c r="U32" s="13"/>
      <c r="V32" s="6"/>
      <c r="W32" s="6"/>
      <c r="X32" s="6"/>
      <c r="Y32" s="6"/>
      <c r="Z32" s="6"/>
      <c r="AA32" s="6"/>
      <c r="AB32" s="6"/>
    </row>
    <row r="33" ht="21.0" customHeight="1">
      <c r="A33" s="58"/>
      <c r="B33" s="286" t="s">
        <v>1254</v>
      </c>
      <c r="C33" s="264">
        <v>0.0</v>
      </c>
      <c r="D33" s="265"/>
      <c r="E33" s="287"/>
      <c r="F33" s="265"/>
      <c r="G33" s="263"/>
      <c r="H33" s="58"/>
      <c r="I33" s="58"/>
      <c r="J33" s="58"/>
      <c r="K33" s="13"/>
      <c r="L33" s="13"/>
      <c r="M33" s="13"/>
      <c r="N33" s="13"/>
      <c r="O33" s="13"/>
      <c r="P33" s="13"/>
      <c r="Q33" s="13"/>
      <c r="R33" s="13"/>
      <c r="S33" s="13"/>
      <c r="T33" s="13"/>
      <c r="U33" s="13"/>
      <c r="V33" s="6"/>
      <c r="W33" s="6"/>
      <c r="X33" s="6"/>
      <c r="Y33" s="6"/>
      <c r="Z33" s="6"/>
      <c r="AA33" s="6"/>
      <c r="AB33" s="6"/>
    </row>
    <row r="34" ht="21.0" customHeight="1">
      <c r="A34" s="323">
        <v>5.0</v>
      </c>
      <c r="B34" s="325" t="s">
        <v>1255</v>
      </c>
      <c r="C34" s="58"/>
      <c r="D34" s="265"/>
      <c r="E34" s="106" t="s">
        <v>1256</v>
      </c>
      <c r="F34" s="265">
        <v>0.0</v>
      </c>
      <c r="G34" s="263" t="s">
        <v>1257</v>
      </c>
      <c r="H34" s="270" t="s">
        <v>1258</v>
      </c>
      <c r="I34" s="328" t="s">
        <v>1259</v>
      </c>
      <c r="J34" s="328" t="s">
        <v>1260</v>
      </c>
      <c r="K34" s="13"/>
      <c r="L34" s="13"/>
      <c r="M34" s="13"/>
      <c r="N34" s="13"/>
      <c r="O34" s="13"/>
      <c r="P34" s="13"/>
      <c r="Q34" s="13"/>
      <c r="R34" s="13"/>
      <c r="S34" s="13"/>
      <c r="T34" s="13"/>
      <c r="U34" s="13"/>
      <c r="V34" s="6"/>
      <c r="W34" s="6"/>
      <c r="X34" s="6"/>
      <c r="Y34" s="6"/>
      <c r="Z34" s="6"/>
      <c r="AA34" s="6"/>
      <c r="AB34" s="6"/>
    </row>
    <row r="35" ht="24.75" customHeight="1">
      <c r="A35" s="267"/>
      <c r="B35" s="263" t="s">
        <v>1261</v>
      </c>
      <c r="C35" s="264">
        <v>100.0</v>
      </c>
      <c r="D35" s="268">
        <v>100.0</v>
      </c>
      <c r="E35" s="106" t="s">
        <v>1262</v>
      </c>
      <c r="F35" s="268"/>
      <c r="G35" s="263"/>
      <c r="H35" s="267"/>
      <c r="I35" s="267"/>
      <c r="J35" s="267"/>
      <c r="K35" s="13"/>
      <c r="L35" s="13"/>
      <c r="M35" s="13"/>
      <c r="N35" s="13"/>
      <c r="O35" s="13"/>
      <c r="P35" s="13"/>
      <c r="Q35" s="13"/>
      <c r="R35" s="13"/>
      <c r="S35" s="13"/>
      <c r="T35" s="13"/>
      <c r="U35" s="13"/>
      <c r="V35" s="6"/>
      <c r="W35" s="6"/>
      <c r="X35" s="6"/>
      <c r="Y35" s="6"/>
      <c r="Z35" s="6"/>
      <c r="AA35" s="6"/>
      <c r="AB35" s="6"/>
    </row>
    <row r="36" ht="31.5" customHeight="1">
      <c r="A36" s="58"/>
      <c r="B36" s="263" t="s">
        <v>1263</v>
      </c>
      <c r="C36" s="264">
        <v>0.0</v>
      </c>
      <c r="D36" s="265"/>
      <c r="E36" s="232"/>
      <c r="F36" s="265"/>
      <c r="G36" s="263"/>
      <c r="H36" s="58"/>
      <c r="I36" s="58"/>
      <c r="J36" s="58"/>
      <c r="K36" s="13"/>
      <c r="L36" s="13"/>
      <c r="M36" s="13"/>
      <c r="N36" s="13"/>
      <c r="O36" s="13"/>
      <c r="P36" s="13"/>
      <c r="Q36" s="13"/>
      <c r="R36" s="13"/>
      <c r="S36" s="13"/>
      <c r="T36" s="13"/>
      <c r="U36" s="13"/>
      <c r="V36" s="6"/>
      <c r="W36" s="6"/>
      <c r="X36" s="6"/>
      <c r="Y36" s="6"/>
      <c r="Z36" s="6"/>
      <c r="AA36" s="6"/>
      <c r="AB36" s="6"/>
    </row>
    <row r="37" ht="36.0" customHeight="1">
      <c r="A37" s="168">
        <v>6.0</v>
      </c>
      <c r="B37" s="325" t="s">
        <v>1264</v>
      </c>
      <c r="C37" s="58"/>
      <c r="D37" s="265"/>
      <c r="E37" s="287"/>
      <c r="F37" s="265"/>
      <c r="G37" s="263" t="s">
        <v>1265</v>
      </c>
      <c r="H37" s="270" t="s">
        <v>1266</v>
      </c>
      <c r="I37" s="270" t="s">
        <v>1267</v>
      </c>
      <c r="J37" s="270" t="s">
        <v>1268</v>
      </c>
      <c r="K37" s="13"/>
      <c r="L37" s="13"/>
      <c r="M37" s="13"/>
      <c r="N37" s="13"/>
      <c r="O37" s="13"/>
      <c r="P37" s="13"/>
      <c r="Q37" s="13"/>
      <c r="R37" s="13"/>
      <c r="S37" s="13"/>
      <c r="T37" s="13"/>
      <c r="U37" s="13"/>
      <c r="V37" s="6"/>
      <c r="W37" s="6"/>
      <c r="X37" s="6"/>
      <c r="Y37" s="6"/>
      <c r="Z37" s="6"/>
      <c r="AA37" s="6"/>
      <c r="AB37" s="6"/>
    </row>
    <row r="38" ht="36.0" customHeight="1">
      <c r="A38" s="24"/>
      <c r="B38" s="263" t="s">
        <v>1269</v>
      </c>
      <c r="C38" s="264">
        <v>100.0</v>
      </c>
      <c r="D38" s="265">
        <v>100.0</v>
      </c>
      <c r="E38" s="106" t="s">
        <v>1270</v>
      </c>
      <c r="F38" s="265"/>
      <c r="G38" s="263"/>
      <c r="H38" s="267"/>
      <c r="I38" s="267"/>
      <c r="J38" s="267"/>
      <c r="K38" s="13"/>
      <c r="L38" s="13"/>
      <c r="M38" s="13"/>
      <c r="N38" s="13"/>
      <c r="O38" s="13"/>
      <c r="P38" s="13"/>
      <c r="Q38" s="13"/>
      <c r="R38" s="13"/>
      <c r="S38" s="13"/>
      <c r="T38" s="13"/>
      <c r="U38" s="13"/>
      <c r="V38" s="6"/>
      <c r="W38" s="6"/>
      <c r="X38" s="6"/>
      <c r="Y38" s="6"/>
      <c r="Z38" s="6"/>
      <c r="AA38" s="6"/>
      <c r="AB38" s="6"/>
    </row>
    <row r="39" ht="36.0" customHeight="1">
      <c r="A39" s="24"/>
      <c r="B39" s="263" t="s">
        <v>1271</v>
      </c>
      <c r="C39" s="264">
        <v>75.0</v>
      </c>
      <c r="D39" s="265"/>
      <c r="E39" s="106" t="s">
        <v>1272</v>
      </c>
      <c r="F39" s="265"/>
      <c r="G39" s="263"/>
      <c r="H39" s="267"/>
      <c r="I39" s="267"/>
      <c r="J39" s="267"/>
      <c r="K39" s="13"/>
      <c r="L39" s="13"/>
      <c r="M39" s="13"/>
      <c r="N39" s="13"/>
      <c r="O39" s="13"/>
      <c r="P39" s="13"/>
      <c r="Q39" s="13"/>
      <c r="R39" s="13"/>
      <c r="S39" s="13"/>
      <c r="T39" s="13"/>
      <c r="U39" s="13"/>
      <c r="V39" s="6"/>
      <c r="W39" s="6"/>
      <c r="X39" s="6"/>
      <c r="Y39" s="6"/>
      <c r="Z39" s="6"/>
      <c r="AA39" s="6"/>
      <c r="AB39" s="6"/>
    </row>
    <row r="40" ht="45.0" customHeight="1">
      <c r="A40" s="24"/>
      <c r="B40" s="263" t="s">
        <v>1273</v>
      </c>
      <c r="C40" s="264">
        <v>50.0</v>
      </c>
      <c r="D40" s="268"/>
      <c r="E40" s="106" t="s">
        <v>1274</v>
      </c>
      <c r="F40" s="268"/>
      <c r="G40" s="263"/>
      <c r="H40" s="267"/>
      <c r="I40" s="267"/>
      <c r="J40" s="267"/>
      <c r="K40" s="13"/>
      <c r="L40" s="13"/>
      <c r="M40" s="13"/>
      <c r="N40" s="13"/>
      <c r="O40" s="13"/>
      <c r="P40" s="13"/>
      <c r="Q40" s="13"/>
      <c r="R40" s="13"/>
      <c r="S40" s="13"/>
      <c r="T40" s="13"/>
      <c r="U40" s="13"/>
      <c r="V40" s="6"/>
      <c r="W40" s="6"/>
      <c r="X40" s="6"/>
      <c r="Y40" s="6"/>
      <c r="Z40" s="6"/>
      <c r="AA40" s="6"/>
      <c r="AB40" s="6"/>
    </row>
    <row r="41" ht="33.0" customHeight="1">
      <c r="A41" s="24"/>
      <c r="B41" s="263" t="s">
        <v>1275</v>
      </c>
      <c r="C41" s="264">
        <v>25.0</v>
      </c>
      <c r="D41" s="265"/>
      <c r="E41" s="287"/>
      <c r="F41" s="265"/>
      <c r="G41" s="263"/>
      <c r="H41" s="267"/>
      <c r="I41" s="267"/>
      <c r="J41" s="267"/>
      <c r="K41" s="13"/>
      <c r="L41" s="13"/>
      <c r="M41" s="13"/>
      <c r="N41" s="13"/>
      <c r="O41" s="13"/>
      <c r="P41" s="13"/>
      <c r="Q41" s="13"/>
      <c r="R41" s="13"/>
      <c r="S41" s="13"/>
      <c r="T41" s="13"/>
      <c r="U41" s="13"/>
      <c r="V41" s="6"/>
      <c r="W41" s="6"/>
      <c r="X41" s="6"/>
      <c r="Y41" s="6"/>
      <c r="Z41" s="6"/>
      <c r="AA41" s="6"/>
      <c r="AB41" s="6"/>
    </row>
    <row r="42" ht="33.75" customHeight="1">
      <c r="A42" s="32"/>
      <c r="B42" s="263" t="s">
        <v>1276</v>
      </c>
      <c r="C42" s="264">
        <v>0.0</v>
      </c>
      <c r="D42" s="265"/>
      <c r="E42" s="287"/>
      <c r="F42" s="265">
        <v>0.0</v>
      </c>
      <c r="G42" s="263"/>
      <c r="H42" s="58"/>
      <c r="I42" s="58"/>
      <c r="J42" s="58"/>
      <c r="K42" s="13"/>
      <c r="L42" s="13"/>
      <c r="M42" s="13"/>
      <c r="N42" s="13"/>
      <c r="O42" s="13"/>
      <c r="P42" s="13"/>
      <c r="Q42" s="13"/>
      <c r="R42" s="13"/>
      <c r="S42" s="13"/>
      <c r="T42" s="13"/>
      <c r="U42" s="13"/>
      <c r="V42" s="6"/>
      <c r="W42" s="6"/>
      <c r="X42" s="6"/>
      <c r="Y42" s="6"/>
      <c r="Z42" s="6"/>
      <c r="AA42" s="6"/>
      <c r="AB42" s="6"/>
    </row>
    <row r="43" ht="21.0" customHeight="1">
      <c r="A43" s="168">
        <v>7.0</v>
      </c>
      <c r="B43" s="325" t="s">
        <v>1277</v>
      </c>
      <c r="C43" s="58"/>
      <c r="D43" s="265"/>
      <c r="E43" s="287"/>
      <c r="F43" s="265"/>
      <c r="G43" s="263" t="s">
        <v>1278</v>
      </c>
      <c r="H43" s="270" t="s">
        <v>1279</v>
      </c>
      <c r="I43" s="270" t="s">
        <v>1280</v>
      </c>
      <c r="J43" s="270" t="s">
        <v>1281</v>
      </c>
      <c r="K43" s="13"/>
      <c r="L43" s="13"/>
      <c r="M43" s="13"/>
      <c r="N43" s="13"/>
      <c r="O43" s="13"/>
      <c r="P43" s="13"/>
      <c r="Q43" s="13"/>
      <c r="R43" s="13"/>
      <c r="S43" s="13"/>
      <c r="T43" s="13"/>
      <c r="U43" s="13"/>
      <c r="V43" s="6"/>
      <c r="W43" s="6"/>
      <c r="X43" s="6"/>
      <c r="Y43" s="6"/>
      <c r="Z43" s="6"/>
      <c r="AA43" s="6"/>
      <c r="AB43" s="6"/>
    </row>
    <row r="44" ht="21.0" customHeight="1">
      <c r="A44" s="24"/>
      <c r="B44" s="286" t="s">
        <v>1282</v>
      </c>
      <c r="C44" s="276">
        <v>100.0</v>
      </c>
      <c r="D44" s="265">
        <v>100.0</v>
      </c>
      <c r="E44" s="106" t="s">
        <v>1283</v>
      </c>
      <c r="F44" s="265"/>
      <c r="G44" s="263"/>
      <c r="H44" s="267"/>
      <c r="I44" s="267"/>
      <c r="J44" s="267"/>
      <c r="K44" s="362"/>
      <c r="L44" s="362"/>
      <c r="M44" s="362"/>
      <c r="N44" s="362"/>
      <c r="O44" s="362"/>
      <c r="P44" s="362"/>
      <c r="Q44" s="362"/>
      <c r="R44" s="362"/>
      <c r="S44" s="362"/>
      <c r="T44" s="362"/>
      <c r="U44" s="362"/>
      <c r="V44" s="6"/>
      <c r="W44" s="6"/>
      <c r="X44" s="6"/>
      <c r="Y44" s="6"/>
      <c r="Z44" s="6"/>
      <c r="AA44" s="6"/>
      <c r="AB44" s="6"/>
    </row>
    <row r="45" ht="24.75" customHeight="1">
      <c r="A45" s="24"/>
      <c r="B45" s="272" t="s">
        <v>1284</v>
      </c>
      <c r="C45" s="276">
        <v>50.0</v>
      </c>
      <c r="D45" s="268"/>
      <c r="E45" s="106" t="s">
        <v>1285</v>
      </c>
      <c r="F45" s="268"/>
      <c r="G45" s="263"/>
      <c r="H45" s="267"/>
      <c r="I45" s="267"/>
      <c r="J45" s="267"/>
      <c r="K45" s="363"/>
      <c r="L45" s="363"/>
      <c r="M45" s="363"/>
      <c r="N45" s="363"/>
      <c r="O45" s="363"/>
      <c r="P45" s="363"/>
      <c r="Q45" s="363"/>
      <c r="R45" s="363"/>
      <c r="S45" s="363"/>
      <c r="T45" s="363"/>
      <c r="U45" s="363"/>
      <c r="V45" s="92"/>
      <c r="W45" s="92"/>
      <c r="X45" s="92"/>
      <c r="Y45" s="92"/>
      <c r="Z45" s="92"/>
      <c r="AA45" s="92"/>
      <c r="AB45" s="92"/>
    </row>
    <row r="46" ht="21.0" customHeight="1">
      <c r="A46" s="24"/>
      <c r="B46" s="272" t="s">
        <v>1286</v>
      </c>
      <c r="C46" s="276">
        <v>25.0</v>
      </c>
      <c r="D46" s="265"/>
      <c r="E46" s="287"/>
      <c r="F46" s="265"/>
      <c r="G46" s="263"/>
      <c r="H46" s="267"/>
      <c r="I46" s="267"/>
      <c r="J46" s="267"/>
      <c r="K46" s="31"/>
      <c r="L46" s="31"/>
      <c r="M46" s="31"/>
      <c r="N46" s="31"/>
      <c r="O46" s="31"/>
      <c r="P46" s="31"/>
      <c r="Q46" s="31"/>
      <c r="R46" s="31"/>
      <c r="S46" s="31"/>
      <c r="T46" s="31"/>
      <c r="U46" s="31"/>
      <c r="V46" s="92"/>
      <c r="W46" s="92"/>
      <c r="X46" s="92"/>
      <c r="Y46" s="92"/>
      <c r="Z46" s="92"/>
      <c r="AA46" s="92"/>
      <c r="AB46" s="92"/>
    </row>
    <row r="47" ht="21.0" customHeight="1">
      <c r="A47" s="32"/>
      <c r="B47" s="272" t="s">
        <v>1287</v>
      </c>
      <c r="C47" s="276">
        <v>0.0</v>
      </c>
      <c r="D47" s="265"/>
      <c r="E47" s="287"/>
      <c r="F47" s="265">
        <v>0.0</v>
      </c>
      <c r="G47" s="263"/>
      <c r="H47" s="58"/>
      <c r="I47" s="58"/>
      <c r="J47" s="58"/>
      <c r="K47" s="31"/>
      <c r="L47" s="31"/>
      <c r="M47" s="31"/>
      <c r="N47" s="31"/>
      <c r="O47" s="31"/>
      <c r="P47" s="31"/>
      <c r="Q47" s="31"/>
      <c r="R47" s="31"/>
      <c r="S47" s="31"/>
      <c r="T47" s="31"/>
      <c r="U47" s="31"/>
      <c r="V47" s="92"/>
      <c r="W47" s="92"/>
      <c r="X47" s="92"/>
      <c r="Y47" s="92"/>
      <c r="Z47" s="92"/>
      <c r="AA47" s="92"/>
      <c r="AB47" s="92"/>
    </row>
    <row r="48" ht="46.5" customHeight="1">
      <c r="A48" s="364">
        <v>8.0</v>
      </c>
      <c r="B48" s="272" t="s">
        <v>1288</v>
      </c>
      <c r="C48" s="268"/>
      <c r="D48" s="265"/>
      <c r="E48" s="287"/>
      <c r="F48" s="265"/>
      <c r="G48" s="359" t="s">
        <v>1289</v>
      </c>
      <c r="H48" s="360" t="s">
        <v>1290</v>
      </c>
      <c r="I48" s="285"/>
      <c r="J48" s="285"/>
      <c r="K48" s="31"/>
      <c r="L48" s="31"/>
      <c r="M48" s="31"/>
      <c r="N48" s="31"/>
      <c r="O48" s="31"/>
      <c r="P48" s="31"/>
      <c r="Q48" s="31"/>
      <c r="R48" s="31"/>
      <c r="S48" s="31"/>
      <c r="T48" s="31"/>
      <c r="U48" s="31"/>
      <c r="V48" s="92"/>
      <c r="W48" s="92"/>
      <c r="X48" s="92"/>
      <c r="Y48" s="92"/>
      <c r="Z48" s="92"/>
      <c r="AA48" s="92"/>
      <c r="AB48" s="92"/>
    </row>
    <row r="49" ht="34.5" customHeight="1">
      <c r="A49" s="284"/>
      <c r="B49" s="272" t="s">
        <v>1291</v>
      </c>
      <c r="C49" s="321">
        <v>100.0</v>
      </c>
      <c r="D49" s="265"/>
      <c r="E49" s="287"/>
      <c r="F49" s="265"/>
      <c r="G49" s="359"/>
      <c r="H49" s="267"/>
      <c r="I49" s="285"/>
      <c r="J49" s="285"/>
      <c r="K49" s="31"/>
      <c r="L49" s="31"/>
      <c r="M49" s="31"/>
      <c r="N49" s="31"/>
      <c r="O49" s="31"/>
      <c r="P49" s="31"/>
      <c r="Q49" s="31"/>
      <c r="R49" s="31"/>
      <c r="S49" s="31"/>
      <c r="T49" s="31"/>
      <c r="U49" s="31"/>
      <c r="V49" s="92"/>
      <c r="W49" s="92"/>
      <c r="X49" s="92"/>
      <c r="Y49" s="92"/>
      <c r="Z49" s="92"/>
      <c r="AA49" s="92"/>
      <c r="AB49" s="92"/>
    </row>
    <row r="50" ht="38.25" customHeight="1">
      <c r="A50" s="284"/>
      <c r="B50" s="272" t="s">
        <v>1284</v>
      </c>
      <c r="C50" s="321">
        <v>50.0</v>
      </c>
      <c r="D50" s="268">
        <v>50.0</v>
      </c>
      <c r="E50" s="106" t="s">
        <v>1292</v>
      </c>
      <c r="F50" s="268"/>
      <c r="G50" s="359"/>
      <c r="H50" s="267"/>
      <c r="I50" s="285"/>
      <c r="J50" s="285"/>
      <c r="K50" s="81"/>
      <c r="L50" s="81"/>
      <c r="M50" s="81"/>
      <c r="N50" s="81"/>
      <c r="O50" s="81"/>
      <c r="P50" s="81"/>
      <c r="Q50" s="81"/>
      <c r="R50" s="81"/>
      <c r="S50" s="81"/>
      <c r="T50" s="81"/>
      <c r="U50" s="92"/>
      <c r="V50" s="92"/>
      <c r="W50" s="92"/>
      <c r="X50" s="92"/>
      <c r="Y50" s="92"/>
      <c r="Z50" s="92"/>
      <c r="AA50" s="92"/>
      <c r="AB50" s="92"/>
    </row>
    <row r="51" ht="33.0" customHeight="1">
      <c r="A51" s="284"/>
      <c r="B51" s="272" t="s">
        <v>1286</v>
      </c>
      <c r="C51" s="321">
        <v>25.0</v>
      </c>
      <c r="D51" s="265"/>
      <c r="E51" s="106" t="s">
        <v>1293</v>
      </c>
      <c r="F51" s="265"/>
      <c r="G51" s="359"/>
      <c r="H51" s="267"/>
      <c r="I51" s="285"/>
      <c r="J51" s="285"/>
      <c r="K51" s="31"/>
      <c r="L51" s="31"/>
      <c r="M51" s="31"/>
      <c r="N51" s="31"/>
      <c r="O51" s="31"/>
      <c r="P51" s="31"/>
      <c r="Q51" s="31"/>
      <c r="R51" s="31"/>
      <c r="S51" s="31"/>
      <c r="T51" s="31"/>
      <c r="U51" s="31"/>
      <c r="V51" s="92"/>
      <c r="W51" s="92"/>
      <c r="X51" s="92"/>
      <c r="Y51" s="92"/>
      <c r="Z51" s="92"/>
      <c r="AA51" s="92"/>
      <c r="AB51" s="92"/>
    </row>
    <row r="52" ht="27.75" customHeight="1">
      <c r="A52" s="191"/>
      <c r="B52" s="272" t="s">
        <v>1287</v>
      </c>
      <c r="C52" s="321">
        <v>0.0</v>
      </c>
      <c r="D52" s="265"/>
      <c r="E52" s="287"/>
      <c r="F52" s="265">
        <v>0.0</v>
      </c>
      <c r="G52" s="359"/>
      <c r="H52" s="58"/>
      <c r="I52" s="265"/>
      <c r="J52" s="265"/>
      <c r="K52" s="31"/>
      <c r="L52" s="31"/>
      <c r="M52" s="31"/>
      <c r="N52" s="31"/>
      <c r="O52" s="31"/>
      <c r="P52" s="31"/>
      <c r="Q52" s="31"/>
      <c r="R52" s="31"/>
      <c r="S52" s="31"/>
      <c r="T52" s="31"/>
      <c r="U52" s="31"/>
      <c r="V52" s="92"/>
      <c r="W52" s="92"/>
      <c r="X52" s="92"/>
      <c r="Y52" s="92"/>
      <c r="Z52" s="92"/>
      <c r="AA52" s="92"/>
      <c r="AB52" s="92"/>
    </row>
    <row r="53" ht="48.0" customHeight="1">
      <c r="A53" s="168">
        <v>9.0</v>
      </c>
      <c r="B53" s="325" t="s">
        <v>1294</v>
      </c>
      <c r="C53" s="58"/>
      <c r="D53" s="265"/>
      <c r="E53" s="106" t="s">
        <v>1295</v>
      </c>
      <c r="F53" s="265">
        <v>100.0</v>
      </c>
      <c r="G53" s="263" t="s">
        <v>1296</v>
      </c>
      <c r="H53" s="270" t="s">
        <v>1297</v>
      </c>
      <c r="I53" s="270" t="s">
        <v>1298</v>
      </c>
      <c r="J53" s="328" t="s">
        <v>1299</v>
      </c>
      <c r="K53" s="31"/>
      <c r="L53" s="31"/>
      <c r="M53" s="31"/>
      <c r="N53" s="31"/>
      <c r="O53" s="31"/>
      <c r="P53" s="31"/>
      <c r="Q53" s="31"/>
      <c r="R53" s="31"/>
      <c r="S53" s="31"/>
      <c r="T53" s="31"/>
      <c r="U53" s="31"/>
      <c r="V53" s="92"/>
      <c r="W53" s="92"/>
      <c r="X53" s="92"/>
      <c r="Y53" s="92"/>
      <c r="Z53" s="92"/>
      <c r="AA53" s="92"/>
      <c r="AB53" s="92"/>
    </row>
    <row r="54" ht="41.25" customHeight="1">
      <c r="A54" s="24"/>
      <c r="B54" s="286" t="s">
        <v>612</v>
      </c>
      <c r="C54" s="264">
        <v>100.0</v>
      </c>
      <c r="D54" s="92">
        <v>100.0</v>
      </c>
      <c r="E54" s="106" t="s">
        <v>1300</v>
      </c>
      <c r="F54" s="265"/>
      <c r="G54" s="263"/>
      <c r="H54" s="267"/>
      <c r="I54" s="267"/>
      <c r="J54" s="267"/>
      <c r="K54" s="31"/>
      <c r="L54" s="31"/>
      <c r="M54" s="31"/>
      <c r="N54" s="31"/>
      <c r="O54" s="31"/>
      <c r="P54" s="31"/>
      <c r="Q54" s="31"/>
      <c r="R54" s="31"/>
      <c r="S54" s="31"/>
      <c r="T54" s="31"/>
      <c r="U54" s="31"/>
      <c r="V54" s="92"/>
      <c r="W54" s="92"/>
      <c r="X54" s="92"/>
      <c r="Y54" s="92"/>
      <c r="Z54" s="92"/>
      <c r="AA54" s="92"/>
      <c r="AB54" s="92"/>
    </row>
    <row r="55" ht="47.25" customHeight="1">
      <c r="A55" s="32"/>
      <c r="B55" s="286" t="s">
        <v>569</v>
      </c>
      <c r="C55" s="264">
        <v>0.0</v>
      </c>
      <c r="D55" s="265"/>
      <c r="E55" s="106" t="s">
        <v>1301</v>
      </c>
      <c r="F55" s="265"/>
      <c r="G55" s="263"/>
      <c r="H55" s="58"/>
      <c r="I55" s="58"/>
      <c r="J55" s="58"/>
      <c r="K55" s="31"/>
      <c r="L55" s="31"/>
      <c r="M55" s="31"/>
      <c r="N55" s="31"/>
      <c r="O55" s="31"/>
      <c r="P55" s="31"/>
      <c r="Q55" s="31"/>
      <c r="R55" s="31"/>
      <c r="S55" s="31"/>
      <c r="T55" s="31"/>
      <c r="U55" s="31"/>
      <c r="V55" s="92"/>
      <c r="W55" s="92"/>
      <c r="X55" s="92"/>
      <c r="Y55" s="92"/>
      <c r="Z55" s="92"/>
      <c r="AA55" s="92"/>
      <c r="AB55" s="92"/>
    </row>
    <row r="56" ht="67.5" customHeight="1">
      <c r="A56" s="168">
        <v>10.0</v>
      </c>
      <c r="B56" s="325" t="s">
        <v>1302</v>
      </c>
      <c r="C56" s="58"/>
      <c r="D56" s="265"/>
      <c r="E56" s="287"/>
      <c r="F56" s="265"/>
      <c r="G56" s="263" t="s">
        <v>1303</v>
      </c>
      <c r="H56" s="270" t="s">
        <v>1304</v>
      </c>
      <c r="I56" s="270" t="s">
        <v>1305</v>
      </c>
      <c r="J56" s="270" t="s">
        <v>1306</v>
      </c>
      <c r="K56" s="31"/>
      <c r="L56" s="31"/>
      <c r="M56" s="31"/>
      <c r="N56" s="31"/>
      <c r="O56" s="31"/>
      <c r="P56" s="31"/>
      <c r="Q56" s="31"/>
      <c r="R56" s="31"/>
      <c r="S56" s="31"/>
      <c r="T56" s="31"/>
      <c r="U56" s="31"/>
      <c r="V56" s="92"/>
      <c r="W56" s="92"/>
      <c r="X56" s="92"/>
      <c r="Y56" s="92"/>
      <c r="Z56" s="92"/>
      <c r="AA56" s="92"/>
      <c r="AB56" s="92"/>
    </row>
    <row r="57" ht="49.5" customHeight="1">
      <c r="A57" s="24"/>
      <c r="B57" s="263" t="s">
        <v>1307</v>
      </c>
      <c r="C57" s="264">
        <v>100.0</v>
      </c>
      <c r="D57" s="265"/>
      <c r="E57" s="106" t="s">
        <v>1308</v>
      </c>
      <c r="F57" s="265"/>
      <c r="G57" s="263"/>
      <c r="H57" s="267"/>
      <c r="I57" s="267"/>
      <c r="J57" s="267"/>
      <c r="K57" s="31"/>
      <c r="L57" s="31"/>
      <c r="M57" s="31"/>
      <c r="N57" s="31"/>
      <c r="O57" s="31"/>
      <c r="P57" s="31"/>
      <c r="Q57" s="31"/>
      <c r="R57" s="31"/>
      <c r="S57" s="31"/>
      <c r="T57" s="31"/>
      <c r="U57" s="31"/>
      <c r="V57" s="92"/>
      <c r="W57" s="92"/>
      <c r="X57" s="92"/>
      <c r="Y57" s="92"/>
      <c r="Z57" s="92"/>
      <c r="AA57" s="92"/>
      <c r="AB57" s="92"/>
    </row>
    <row r="58" ht="21.0" customHeight="1">
      <c r="A58" s="24"/>
      <c r="B58" s="263" t="s">
        <v>1309</v>
      </c>
      <c r="C58" s="264">
        <v>50.0</v>
      </c>
      <c r="D58" s="265">
        <v>50.0</v>
      </c>
      <c r="E58" s="106" t="s">
        <v>1310</v>
      </c>
      <c r="F58" s="265"/>
      <c r="G58" s="263"/>
      <c r="H58" s="267"/>
      <c r="I58" s="267"/>
      <c r="J58" s="267"/>
      <c r="K58" s="31"/>
      <c r="L58" s="31"/>
      <c r="M58" s="31"/>
      <c r="N58" s="31"/>
      <c r="O58" s="31"/>
      <c r="P58" s="31"/>
      <c r="Q58" s="31"/>
      <c r="R58" s="31"/>
      <c r="S58" s="31"/>
      <c r="T58" s="31"/>
      <c r="U58" s="31"/>
      <c r="V58" s="92"/>
      <c r="W58" s="92"/>
      <c r="X58" s="92"/>
      <c r="Y58" s="92"/>
      <c r="Z58" s="92"/>
      <c r="AA58" s="92"/>
      <c r="AB58" s="92"/>
    </row>
    <row r="59" ht="21.0" customHeight="1">
      <c r="A59" s="24"/>
      <c r="B59" s="263" t="s">
        <v>1311</v>
      </c>
      <c r="C59" s="264">
        <v>25.0</v>
      </c>
      <c r="E59" s="106" t="s">
        <v>1312</v>
      </c>
      <c r="F59" s="265">
        <v>25.0</v>
      </c>
      <c r="G59" s="263"/>
      <c r="H59" s="267"/>
      <c r="I59" s="267"/>
      <c r="J59" s="267"/>
      <c r="K59" s="31"/>
      <c r="L59" s="31"/>
      <c r="M59" s="31"/>
      <c r="N59" s="31"/>
      <c r="O59" s="31"/>
      <c r="P59" s="31"/>
      <c r="Q59" s="31"/>
      <c r="R59" s="31"/>
      <c r="S59" s="31"/>
      <c r="T59" s="31"/>
      <c r="U59" s="31"/>
      <c r="V59" s="92"/>
      <c r="W59" s="92"/>
      <c r="X59" s="92"/>
      <c r="Y59" s="92"/>
      <c r="Z59" s="92"/>
      <c r="AA59" s="92"/>
      <c r="AB59" s="92"/>
    </row>
    <row r="60" ht="34.5" customHeight="1">
      <c r="A60" s="32"/>
      <c r="B60" s="263" t="s">
        <v>1313</v>
      </c>
      <c r="C60" s="264">
        <v>0.0</v>
      </c>
      <c r="D60" s="265"/>
      <c r="E60" s="287"/>
      <c r="F60" s="265"/>
      <c r="G60" s="263"/>
      <c r="H60" s="58"/>
      <c r="I60" s="58"/>
      <c r="J60" s="58"/>
      <c r="K60" s="31"/>
      <c r="L60" s="31"/>
      <c r="M60" s="31"/>
      <c r="N60" s="31"/>
      <c r="O60" s="31"/>
      <c r="P60" s="31"/>
      <c r="Q60" s="31"/>
      <c r="R60" s="31"/>
      <c r="S60" s="31"/>
      <c r="T60" s="31"/>
      <c r="U60" s="31"/>
      <c r="V60" s="92"/>
      <c r="W60" s="92"/>
      <c r="X60" s="92"/>
      <c r="Y60" s="92"/>
      <c r="Z60" s="92"/>
      <c r="AA60" s="92"/>
      <c r="AB60" s="92"/>
    </row>
    <row r="61" ht="29.25" customHeight="1">
      <c r="A61" s="168">
        <v>11.0</v>
      </c>
      <c r="B61" s="325" t="s">
        <v>1314</v>
      </c>
      <c r="C61" s="58"/>
      <c r="D61" s="265"/>
      <c r="E61" s="287"/>
      <c r="F61" s="265"/>
      <c r="G61" s="263" t="s">
        <v>1315</v>
      </c>
      <c r="H61" s="270" t="s">
        <v>1316</v>
      </c>
      <c r="I61" s="270" t="s">
        <v>1317</v>
      </c>
      <c r="J61" s="270" t="s">
        <v>1318</v>
      </c>
      <c r="K61" s="31"/>
      <c r="L61" s="31"/>
      <c r="M61" s="31"/>
      <c r="N61" s="31"/>
      <c r="O61" s="31"/>
      <c r="P61" s="31"/>
      <c r="Q61" s="31"/>
      <c r="R61" s="31"/>
      <c r="S61" s="31"/>
      <c r="T61" s="31"/>
      <c r="U61" s="31"/>
      <c r="V61" s="92"/>
      <c r="W61" s="92"/>
      <c r="X61" s="92"/>
      <c r="Y61" s="92"/>
      <c r="Z61" s="92"/>
      <c r="AA61" s="92"/>
      <c r="AB61" s="92"/>
    </row>
    <row r="62" ht="32.25" customHeight="1">
      <c r="A62" s="24"/>
      <c r="B62" s="286" t="s">
        <v>1319</v>
      </c>
      <c r="C62" s="276">
        <v>100.0</v>
      </c>
      <c r="D62" s="92">
        <v>100.0</v>
      </c>
      <c r="E62" s="106" t="s">
        <v>1320</v>
      </c>
      <c r="F62" s="265"/>
      <c r="G62" s="263"/>
      <c r="H62" s="267"/>
      <c r="I62" s="267"/>
      <c r="J62" s="267"/>
      <c r="K62" s="31"/>
      <c r="L62" s="31"/>
      <c r="M62" s="31"/>
      <c r="N62" s="31"/>
      <c r="O62" s="31"/>
      <c r="P62" s="31"/>
      <c r="Q62" s="31"/>
      <c r="R62" s="31"/>
      <c r="S62" s="31"/>
      <c r="T62" s="31"/>
      <c r="U62" s="31"/>
      <c r="V62" s="92"/>
      <c r="W62" s="92"/>
      <c r="X62" s="92"/>
      <c r="Y62" s="92"/>
      <c r="Z62" s="92"/>
      <c r="AA62" s="92"/>
      <c r="AB62" s="92"/>
    </row>
    <row r="63" ht="36.0" customHeight="1">
      <c r="A63" s="24"/>
      <c r="B63" s="286" t="s">
        <v>1321</v>
      </c>
      <c r="C63" s="276">
        <v>50.0</v>
      </c>
      <c r="D63" s="265"/>
      <c r="E63" s="106" t="s">
        <v>1322</v>
      </c>
      <c r="F63" s="265"/>
      <c r="G63" s="263"/>
      <c r="H63" s="267"/>
      <c r="I63" s="267"/>
      <c r="J63" s="267"/>
      <c r="K63" s="31"/>
      <c r="L63" s="31"/>
      <c r="M63" s="31"/>
      <c r="N63" s="31"/>
      <c r="O63" s="31"/>
      <c r="P63" s="31"/>
      <c r="Q63" s="31"/>
      <c r="R63" s="31"/>
      <c r="S63" s="31"/>
      <c r="T63" s="31"/>
      <c r="U63" s="31"/>
      <c r="V63" s="92"/>
      <c r="W63" s="92"/>
      <c r="X63" s="92"/>
      <c r="Y63" s="92"/>
      <c r="Z63" s="92"/>
      <c r="AA63" s="92"/>
      <c r="AB63" s="92"/>
    </row>
    <row r="64" ht="36.0" customHeight="1">
      <c r="A64" s="24"/>
      <c r="B64" s="286" t="s">
        <v>1323</v>
      </c>
      <c r="C64" s="276">
        <v>25.0</v>
      </c>
      <c r="D64" s="265"/>
      <c r="E64" s="287"/>
      <c r="F64" s="265"/>
      <c r="G64" s="263"/>
      <c r="H64" s="267"/>
      <c r="I64" s="267"/>
      <c r="J64" s="267"/>
      <c r="K64" s="31"/>
      <c r="L64" s="31"/>
      <c r="M64" s="31"/>
      <c r="N64" s="31"/>
      <c r="O64" s="31"/>
      <c r="P64" s="31"/>
      <c r="Q64" s="31"/>
      <c r="R64" s="31"/>
      <c r="S64" s="31"/>
      <c r="T64" s="31"/>
      <c r="U64" s="31"/>
      <c r="V64" s="92"/>
      <c r="W64" s="92"/>
      <c r="X64" s="92"/>
      <c r="Y64" s="92"/>
      <c r="Z64" s="92"/>
      <c r="AA64" s="92"/>
      <c r="AB64" s="92"/>
    </row>
    <row r="65" ht="21.0" customHeight="1">
      <c r="A65" s="32"/>
      <c r="B65" s="286" t="s">
        <v>399</v>
      </c>
      <c r="C65" s="276">
        <v>0.0</v>
      </c>
      <c r="D65" s="265"/>
      <c r="E65" s="287"/>
      <c r="F65" s="265">
        <v>0.0</v>
      </c>
      <c r="G65" s="263"/>
      <c r="H65" s="58"/>
      <c r="I65" s="58"/>
      <c r="J65" s="58"/>
      <c r="K65" s="31"/>
      <c r="L65" s="31"/>
      <c r="M65" s="31"/>
      <c r="N65" s="31"/>
      <c r="O65" s="31"/>
      <c r="P65" s="31"/>
      <c r="Q65" s="31"/>
      <c r="R65" s="31"/>
      <c r="S65" s="31"/>
      <c r="T65" s="31"/>
      <c r="U65" s="31"/>
      <c r="V65" s="92"/>
      <c r="W65" s="92"/>
      <c r="X65" s="92"/>
      <c r="Y65" s="92"/>
      <c r="Z65" s="92"/>
      <c r="AA65" s="92"/>
      <c r="AB65" s="92"/>
    </row>
    <row r="66" ht="21.0" customHeight="1">
      <c r="A66" s="168">
        <v>12.0</v>
      </c>
      <c r="B66" s="325" t="s">
        <v>1324</v>
      </c>
      <c r="C66" s="58"/>
      <c r="D66" s="265"/>
      <c r="E66" s="287"/>
      <c r="F66" s="265"/>
      <c r="G66" s="263" t="s">
        <v>1325</v>
      </c>
      <c r="H66" s="270" t="s">
        <v>1326</v>
      </c>
      <c r="I66" s="328" t="s">
        <v>1327</v>
      </c>
      <c r="J66" s="270" t="s">
        <v>1328</v>
      </c>
      <c r="K66" s="31"/>
      <c r="L66" s="31"/>
      <c r="M66" s="31"/>
      <c r="N66" s="31"/>
      <c r="O66" s="31"/>
      <c r="P66" s="31"/>
      <c r="Q66" s="31"/>
      <c r="R66" s="31"/>
      <c r="S66" s="31"/>
      <c r="T66" s="31"/>
      <c r="U66" s="31"/>
      <c r="V66" s="92"/>
      <c r="W66" s="92"/>
      <c r="X66" s="92"/>
      <c r="Y66" s="92"/>
      <c r="Z66" s="92"/>
      <c r="AA66" s="92"/>
      <c r="AB66" s="92"/>
    </row>
    <row r="67" ht="21.0" customHeight="1">
      <c r="A67" s="24"/>
      <c r="B67" s="286" t="s">
        <v>1329</v>
      </c>
      <c r="C67" s="276">
        <v>100.0</v>
      </c>
      <c r="D67" s="92">
        <v>100.0</v>
      </c>
      <c r="E67" s="106" t="s">
        <v>1330</v>
      </c>
      <c r="F67" s="265"/>
      <c r="G67" s="263"/>
      <c r="H67" s="267"/>
      <c r="I67" s="267"/>
      <c r="J67" s="267"/>
      <c r="K67" s="31"/>
      <c r="L67" s="31"/>
      <c r="M67" s="31"/>
      <c r="N67" s="31"/>
      <c r="O67" s="31"/>
      <c r="P67" s="31"/>
      <c r="Q67" s="31"/>
      <c r="R67" s="31"/>
      <c r="S67" s="31"/>
      <c r="T67" s="31"/>
      <c r="U67" s="31"/>
      <c r="V67" s="92"/>
      <c r="W67" s="92"/>
      <c r="X67" s="92"/>
      <c r="Y67" s="92"/>
      <c r="Z67" s="92"/>
      <c r="AA67" s="92"/>
      <c r="AB67" s="92"/>
    </row>
    <row r="68" ht="21.0" customHeight="1">
      <c r="A68" s="24"/>
      <c r="B68" s="286" t="s">
        <v>1331</v>
      </c>
      <c r="C68" s="276">
        <v>75.0</v>
      </c>
      <c r="D68" s="265"/>
      <c r="E68" s="106" t="s">
        <v>1332</v>
      </c>
      <c r="F68" s="265"/>
      <c r="G68" s="263"/>
      <c r="H68" s="267"/>
      <c r="I68" s="267"/>
      <c r="J68" s="267"/>
      <c r="K68" s="31"/>
      <c r="L68" s="31"/>
      <c r="M68" s="31"/>
      <c r="N68" s="31"/>
      <c r="O68" s="31"/>
      <c r="P68" s="31"/>
      <c r="Q68" s="31"/>
      <c r="R68" s="31"/>
      <c r="S68" s="31"/>
      <c r="T68" s="31"/>
      <c r="U68" s="31"/>
      <c r="V68" s="92"/>
      <c r="W68" s="92"/>
      <c r="X68" s="92"/>
      <c r="Y68" s="92"/>
      <c r="Z68" s="92"/>
      <c r="AA68" s="92"/>
      <c r="AB68" s="92"/>
    </row>
    <row r="69" ht="21.0" customHeight="1">
      <c r="A69" s="24"/>
      <c r="B69" s="263" t="s">
        <v>1333</v>
      </c>
      <c r="C69" s="276">
        <v>50.0</v>
      </c>
      <c r="D69" s="265"/>
      <c r="E69" s="106" t="s">
        <v>1334</v>
      </c>
      <c r="F69" s="265">
        <v>50.0</v>
      </c>
      <c r="G69" s="263"/>
      <c r="H69" s="267"/>
      <c r="I69" s="267"/>
      <c r="J69" s="267"/>
      <c r="K69" s="31"/>
      <c r="L69" s="31"/>
      <c r="M69" s="31"/>
      <c r="N69" s="31"/>
      <c r="O69" s="31"/>
      <c r="P69" s="31"/>
      <c r="Q69" s="31"/>
      <c r="R69" s="31"/>
      <c r="S69" s="31"/>
      <c r="T69" s="31"/>
      <c r="U69" s="31"/>
      <c r="V69" s="92"/>
      <c r="W69" s="92"/>
      <c r="X69" s="92"/>
      <c r="Y69" s="92"/>
      <c r="Z69" s="92"/>
      <c r="AA69" s="92"/>
      <c r="AB69" s="92"/>
    </row>
    <row r="70" ht="21.0" customHeight="1">
      <c r="A70" s="24"/>
      <c r="B70" s="263" t="s">
        <v>1335</v>
      </c>
      <c r="C70" s="276">
        <v>25.0</v>
      </c>
      <c r="D70" s="265"/>
      <c r="E70" s="287"/>
      <c r="F70" s="265"/>
      <c r="G70" s="263"/>
      <c r="H70" s="267"/>
      <c r="I70" s="267"/>
      <c r="J70" s="267"/>
      <c r="K70" s="31"/>
      <c r="L70" s="31"/>
      <c r="M70" s="31"/>
      <c r="N70" s="31"/>
      <c r="O70" s="31"/>
      <c r="P70" s="31"/>
      <c r="Q70" s="31"/>
      <c r="R70" s="31"/>
      <c r="S70" s="31"/>
      <c r="T70" s="31"/>
      <c r="U70" s="31"/>
      <c r="V70" s="92"/>
      <c r="W70" s="92"/>
      <c r="X70" s="92"/>
      <c r="Y70" s="92"/>
      <c r="Z70" s="92"/>
      <c r="AA70" s="92"/>
      <c r="AB70" s="92"/>
    </row>
    <row r="71" ht="21.0" customHeight="1">
      <c r="A71" s="32"/>
      <c r="B71" s="286" t="s">
        <v>1336</v>
      </c>
      <c r="C71" s="276">
        <v>0.0</v>
      </c>
      <c r="D71" s="265"/>
      <c r="E71" s="287"/>
      <c r="F71" s="265"/>
      <c r="G71" s="263"/>
      <c r="H71" s="58"/>
      <c r="I71" s="58"/>
      <c r="J71" s="58"/>
      <c r="K71" s="31"/>
      <c r="L71" s="31"/>
      <c r="M71" s="31"/>
      <c r="N71" s="31"/>
      <c r="O71" s="31"/>
      <c r="P71" s="31"/>
      <c r="Q71" s="31"/>
      <c r="R71" s="31"/>
      <c r="S71" s="31"/>
      <c r="T71" s="31"/>
      <c r="U71" s="31"/>
      <c r="V71" s="92"/>
      <c r="W71" s="92"/>
      <c r="X71" s="92"/>
      <c r="Y71" s="92"/>
      <c r="Z71" s="92"/>
      <c r="AA71" s="92"/>
      <c r="AB71" s="92"/>
    </row>
    <row r="72" ht="21.0" customHeight="1">
      <c r="A72" s="168">
        <v>13.0</v>
      </c>
      <c r="B72" s="365" t="s">
        <v>1337</v>
      </c>
      <c r="C72" s="265"/>
      <c r="D72" s="265"/>
      <c r="E72" s="106" t="s">
        <v>1338</v>
      </c>
      <c r="F72" s="265"/>
      <c r="G72" s="272" t="s">
        <v>1339</v>
      </c>
      <c r="H72" s="271" t="s">
        <v>1340</v>
      </c>
      <c r="I72" s="366" t="s">
        <v>1341</v>
      </c>
      <c r="J72" s="285"/>
      <c r="K72" s="31"/>
      <c r="L72" s="31"/>
      <c r="M72" s="31"/>
      <c r="N72" s="31"/>
      <c r="O72" s="31"/>
      <c r="P72" s="31"/>
      <c r="Q72" s="31"/>
      <c r="R72" s="31"/>
      <c r="S72" s="31"/>
      <c r="T72" s="31"/>
      <c r="U72" s="31"/>
      <c r="V72" s="92"/>
      <c r="W72" s="92"/>
      <c r="X72" s="92"/>
      <c r="Y72" s="92"/>
      <c r="Z72" s="92"/>
      <c r="AA72" s="92"/>
      <c r="AB72" s="92"/>
    </row>
    <row r="73" ht="21.0" customHeight="1">
      <c r="A73" s="284"/>
      <c r="B73" s="286" t="s">
        <v>1342</v>
      </c>
      <c r="C73" s="276">
        <v>100.0</v>
      </c>
      <c r="D73" s="92">
        <v>100.0</v>
      </c>
      <c r="E73" s="106" t="s">
        <v>1343</v>
      </c>
      <c r="F73" s="265"/>
      <c r="G73" s="272"/>
      <c r="H73" s="267"/>
      <c r="I73" s="267"/>
      <c r="J73" s="267"/>
      <c r="K73" s="31"/>
      <c r="L73" s="31"/>
      <c r="M73" s="31"/>
      <c r="N73" s="31"/>
      <c r="O73" s="31"/>
      <c r="P73" s="31"/>
      <c r="Q73" s="31"/>
      <c r="R73" s="31"/>
      <c r="S73" s="31"/>
      <c r="T73" s="31"/>
      <c r="U73" s="31"/>
      <c r="V73" s="92"/>
      <c r="W73" s="92"/>
      <c r="X73" s="92"/>
      <c r="Y73" s="92"/>
      <c r="Z73" s="92"/>
      <c r="AA73" s="92"/>
      <c r="AB73" s="92"/>
    </row>
    <row r="74" ht="21.0" customHeight="1">
      <c r="A74" s="191"/>
      <c r="B74" s="286" t="s">
        <v>1344</v>
      </c>
      <c r="C74" s="276">
        <v>0.0</v>
      </c>
      <c r="D74" s="265"/>
      <c r="E74" s="106" t="s">
        <v>1345</v>
      </c>
      <c r="F74" s="265">
        <v>0.0</v>
      </c>
      <c r="G74" s="272"/>
      <c r="H74" s="58"/>
      <c r="I74" s="58"/>
      <c r="J74" s="58"/>
      <c r="K74" s="31"/>
      <c r="L74" s="31"/>
      <c r="M74" s="31"/>
      <c r="N74" s="31"/>
      <c r="O74" s="31"/>
      <c r="P74" s="31"/>
      <c r="Q74" s="31"/>
      <c r="R74" s="31"/>
      <c r="S74" s="31"/>
      <c r="T74" s="31"/>
      <c r="U74" s="31"/>
      <c r="V74" s="92"/>
      <c r="W74" s="92"/>
      <c r="X74" s="92"/>
      <c r="Y74" s="92"/>
      <c r="Z74" s="92"/>
      <c r="AA74" s="92"/>
      <c r="AB74" s="92"/>
    </row>
    <row r="75" ht="21.0" customHeight="1">
      <c r="A75" s="168">
        <v>14.0</v>
      </c>
      <c r="B75" s="365" t="s">
        <v>1346</v>
      </c>
      <c r="C75" s="265"/>
      <c r="D75" s="265"/>
      <c r="E75" s="232"/>
      <c r="F75" s="265"/>
      <c r="G75" s="272"/>
      <c r="H75" s="271" t="s">
        <v>1347</v>
      </c>
      <c r="I75" s="285"/>
      <c r="J75" s="285"/>
      <c r="K75" s="31"/>
      <c r="L75" s="31"/>
      <c r="M75" s="31"/>
      <c r="N75" s="31"/>
      <c r="O75" s="31"/>
      <c r="P75" s="31"/>
      <c r="Q75" s="31"/>
      <c r="R75" s="31"/>
      <c r="S75" s="31"/>
      <c r="T75" s="31"/>
      <c r="U75" s="31"/>
      <c r="V75" s="92"/>
      <c r="W75" s="92"/>
      <c r="X75" s="92"/>
      <c r="Y75" s="92"/>
      <c r="Z75" s="92"/>
      <c r="AA75" s="92"/>
      <c r="AB75" s="92"/>
    </row>
    <row r="76" ht="21.0" customHeight="1">
      <c r="A76" s="284"/>
      <c r="B76" s="286" t="s">
        <v>1348</v>
      </c>
      <c r="C76" s="276">
        <v>100.0</v>
      </c>
      <c r="D76" s="265"/>
      <c r="E76" s="287"/>
      <c r="F76" s="265"/>
      <c r="G76" s="272"/>
      <c r="H76" s="267"/>
      <c r="I76" s="267"/>
      <c r="J76" s="267"/>
      <c r="K76" s="31"/>
      <c r="L76" s="31"/>
      <c r="M76" s="31"/>
      <c r="N76" s="31"/>
      <c r="O76" s="31"/>
      <c r="P76" s="31"/>
      <c r="Q76" s="31"/>
      <c r="R76" s="31"/>
      <c r="S76" s="31"/>
      <c r="T76" s="31"/>
      <c r="U76" s="31"/>
      <c r="V76" s="92"/>
      <c r="W76" s="92"/>
      <c r="X76" s="92"/>
      <c r="Y76" s="92"/>
      <c r="Z76" s="92"/>
      <c r="AA76" s="92"/>
      <c r="AB76" s="92"/>
    </row>
    <row r="77" ht="21.0" customHeight="1">
      <c r="A77" s="284"/>
      <c r="B77" s="286" t="s">
        <v>1349</v>
      </c>
      <c r="C77" s="276">
        <v>50.0</v>
      </c>
      <c r="D77" s="265"/>
      <c r="E77" s="265"/>
      <c r="F77" s="265"/>
      <c r="G77" s="272"/>
      <c r="H77" s="267"/>
      <c r="I77" s="267"/>
      <c r="J77" s="267"/>
      <c r="K77" s="31"/>
      <c r="L77" s="31"/>
      <c r="M77" s="31"/>
      <c r="N77" s="31"/>
      <c r="O77" s="31"/>
      <c r="P77" s="31"/>
      <c r="Q77" s="31"/>
      <c r="R77" s="31"/>
      <c r="S77" s="31"/>
      <c r="T77" s="31"/>
      <c r="U77" s="31"/>
      <c r="V77" s="92"/>
      <c r="W77" s="92"/>
      <c r="X77" s="92"/>
      <c r="Y77" s="92"/>
      <c r="Z77" s="92"/>
      <c r="AA77" s="92"/>
      <c r="AB77" s="92"/>
    </row>
    <row r="78" ht="21.0" customHeight="1">
      <c r="A78" s="191"/>
      <c r="B78" s="286" t="s">
        <v>1350</v>
      </c>
      <c r="C78" s="276">
        <v>0.0</v>
      </c>
      <c r="D78" s="265">
        <v>0.0</v>
      </c>
      <c r="E78" s="265"/>
      <c r="F78" s="265">
        <v>0.0</v>
      </c>
      <c r="G78" s="272"/>
      <c r="H78" s="58"/>
      <c r="I78" s="58"/>
      <c r="J78" s="58"/>
      <c r="K78" s="31"/>
      <c r="L78" s="31"/>
      <c r="M78" s="31"/>
      <c r="N78" s="31"/>
      <c r="O78" s="31"/>
      <c r="P78" s="31"/>
      <c r="Q78" s="31"/>
      <c r="R78" s="31"/>
      <c r="S78" s="31"/>
      <c r="T78" s="31"/>
      <c r="U78" s="31"/>
      <c r="V78" s="92"/>
      <c r="W78" s="92"/>
      <c r="X78" s="92"/>
      <c r="Y78" s="92"/>
      <c r="Z78" s="92"/>
      <c r="AA78" s="92"/>
      <c r="AB78" s="92"/>
    </row>
    <row r="79" ht="21.0" customHeight="1">
      <c r="A79" s="289"/>
      <c r="B79" s="290" t="s">
        <v>311</v>
      </c>
      <c r="C79" s="290"/>
      <c r="D79" s="367">
        <f>SUM(D11:D78)</f>
        <v>1100</v>
      </c>
      <c r="E79" s="367"/>
      <c r="F79" s="367">
        <f>SUM(F10:F78)</f>
        <v>475</v>
      </c>
      <c r="G79" s="368"/>
      <c r="H79" s="368"/>
      <c r="I79" s="369"/>
      <c r="J79" s="370"/>
      <c r="K79" s="131"/>
      <c r="L79" s="131"/>
      <c r="M79" s="131"/>
      <c r="N79" s="131"/>
      <c r="O79" s="131"/>
      <c r="P79" s="131"/>
      <c r="Q79" s="131"/>
      <c r="R79" s="131"/>
      <c r="S79" s="131"/>
      <c r="T79" s="131"/>
      <c r="U79" s="6"/>
      <c r="V79" s="6"/>
      <c r="W79" s="6"/>
      <c r="X79" s="6"/>
      <c r="Y79" s="6"/>
      <c r="Z79" s="6"/>
      <c r="AA79" s="6"/>
      <c r="AB79" s="6"/>
    </row>
    <row r="80" ht="15.75" customHeight="1">
      <c r="A80" s="130"/>
      <c r="B80" s="2" t="s">
        <v>1351</v>
      </c>
      <c r="C80" s="2"/>
      <c r="D80" s="2">
        <f>D79/1400*100</f>
        <v>78.57142857</v>
      </c>
      <c r="E80" s="2"/>
      <c r="F80" s="2">
        <f>F79/1400*100</f>
        <v>33.92857143</v>
      </c>
      <c r="G80" s="6"/>
      <c r="H80" s="6"/>
      <c r="I80" s="6"/>
      <c r="J80" s="6"/>
      <c r="K80" s="131"/>
      <c r="L80" s="131"/>
      <c r="M80" s="131"/>
      <c r="N80" s="131"/>
      <c r="O80" s="131"/>
      <c r="P80" s="131"/>
      <c r="Q80" s="131"/>
      <c r="R80" s="131"/>
      <c r="S80" s="131"/>
      <c r="T80" s="6"/>
      <c r="U80" s="6"/>
      <c r="V80" s="6"/>
      <c r="W80" s="6"/>
      <c r="X80" s="6"/>
      <c r="Y80" s="6"/>
      <c r="Z80" s="6"/>
      <c r="AA80" s="6"/>
      <c r="AB80" s="6"/>
    </row>
    <row r="81" ht="15.75" customHeight="1">
      <c r="A81" s="130"/>
      <c r="B81" s="2"/>
      <c r="C81" s="2"/>
      <c r="D81" s="2"/>
      <c r="E81" s="2"/>
      <c r="F81" s="2"/>
      <c r="G81" s="6"/>
      <c r="H81" s="6"/>
      <c r="I81" s="6"/>
      <c r="J81" s="6"/>
      <c r="K81" s="131"/>
      <c r="L81" s="131"/>
      <c r="M81" s="131"/>
      <c r="N81" s="131"/>
      <c r="O81" s="131"/>
      <c r="P81" s="131"/>
      <c r="Q81" s="131"/>
      <c r="R81" s="131"/>
      <c r="S81" s="131"/>
      <c r="T81" s="6"/>
      <c r="U81" s="6"/>
      <c r="V81" s="6"/>
      <c r="W81" s="6"/>
      <c r="X81" s="6"/>
      <c r="Y81" s="6"/>
      <c r="Z81" s="6"/>
      <c r="AA81" s="6"/>
      <c r="AB81" s="6"/>
    </row>
    <row r="82" ht="15.75" customHeight="1">
      <c r="A82" s="130"/>
      <c r="B82" s="2"/>
      <c r="C82" s="2"/>
      <c r="D82" s="2"/>
      <c r="E82" s="2"/>
      <c r="F82" s="2"/>
      <c r="G82" s="6"/>
      <c r="H82" s="6"/>
      <c r="I82" s="6"/>
      <c r="J82" s="6"/>
      <c r="K82" s="131"/>
      <c r="L82" s="131"/>
      <c r="M82" s="131"/>
      <c r="N82" s="131"/>
      <c r="O82" s="131"/>
      <c r="P82" s="131"/>
      <c r="Q82" s="131"/>
      <c r="R82" s="131"/>
      <c r="S82" s="131"/>
      <c r="T82" s="6"/>
      <c r="U82" s="6"/>
      <c r="V82" s="6"/>
      <c r="W82" s="6"/>
      <c r="X82" s="6"/>
      <c r="Y82" s="6"/>
      <c r="Z82" s="6"/>
      <c r="AA82" s="6"/>
      <c r="AB82" s="6"/>
    </row>
    <row r="83" ht="15.75" customHeight="1">
      <c r="A83" s="130"/>
      <c r="B83" s="2"/>
      <c r="C83" s="2"/>
      <c r="D83" s="2"/>
      <c r="E83" s="2"/>
      <c r="F83" s="2"/>
      <c r="G83" s="6"/>
      <c r="H83" s="6"/>
      <c r="I83" s="6"/>
      <c r="J83" s="6"/>
      <c r="K83" s="131"/>
      <c r="L83" s="131"/>
      <c r="M83" s="131"/>
      <c r="N83" s="131"/>
      <c r="O83" s="131"/>
      <c r="P83" s="131"/>
      <c r="Q83" s="131"/>
      <c r="R83" s="131"/>
      <c r="S83" s="131"/>
      <c r="T83" s="6"/>
      <c r="U83" s="6"/>
      <c r="V83" s="6"/>
      <c r="W83" s="6"/>
      <c r="X83" s="6"/>
      <c r="Y83" s="6"/>
      <c r="Z83" s="6"/>
      <c r="AA83" s="6"/>
      <c r="AB83" s="6"/>
    </row>
    <row r="84" ht="15.75" customHeight="1">
      <c r="A84" s="130"/>
      <c r="B84" s="2"/>
      <c r="C84" s="2"/>
      <c r="D84" s="2"/>
      <c r="E84" s="2"/>
      <c r="F84" s="2"/>
      <c r="G84" s="6"/>
      <c r="H84" s="6"/>
      <c r="I84" s="6"/>
      <c r="J84" s="6"/>
      <c r="K84" s="131"/>
      <c r="L84" s="131"/>
      <c r="M84" s="131"/>
      <c r="N84" s="131"/>
      <c r="O84" s="131"/>
      <c r="P84" s="131"/>
      <c r="Q84" s="131"/>
      <c r="R84" s="131"/>
      <c r="S84" s="131"/>
      <c r="T84" s="6"/>
      <c r="U84" s="6"/>
      <c r="V84" s="6"/>
      <c r="W84" s="6"/>
      <c r="X84" s="6"/>
      <c r="Y84" s="6"/>
      <c r="Z84" s="6"/>
      <c r="AA84" s="6"/>
      <c r="AB84" s="6"/>
    </row>
    <row r="85" ht="15.75" customHeight="1">
      <c r="A85" s="130"/>
      <c r="B85" s="2"/>
      <c r="C85" s="2"/>
      <c r="D85" s="2"/>
      <c r="E85" s="2"/>
      <c r="F85" s="2"/>
      <c r="G85" s="6"/>
      <c r="H85" s="6"/>
      <c r="I85" s="6"/>
      <c r="J85" s="6"/>
      <c r="K85" s="131"/>
      <c r="L85" s="131"/>
      <c r="M85" s="131"/>
      <c r="N85" s="131"/>
      <c r="O85" s="131"/>
      <c r="P85" s="131"/>
      <c r="Q85" s="131"/>
      <c r="R85" s="131"/>
      <c r="S85" s="131"/>
      <c r="T85" s="6"/>
      <c r="U85" s="6"/>
      <c r="V85" s="6"/>
      <c r="W85" s="6"/>
      <c r="X85" s="6"/>
      <c r="Y85" s="6"/>
      <c r="Z85" s="6"/>
      <c r="AA85" s="6"/>
      <c r="AB85" s="6"/>
    </row>
    <row r="86" ht="15.75" customHeight="1">
      <c r="A86" s="130"/>
      <c r="B86" s="2"/>
      <c r="C86" s="2"/>
      <c r="D86" s="2"/>
      <c r="E86" s="2"/>
      <c r="F86" s="2"/>
      <c r="G86" s="6"/>
      <c r="H86" s="6"/>
      <c r="I86" s="6"/>
      <c r="J86" s="6"/>
      <c r="K86" s="131"/>
      <c r="L86" s="131"/>
      <c r="M86" s="131"/>
      <c r="N86" s="131"/>
      <c r="O86" s="131"/>
      <c r="P86" s="131"/>
      <c r="Q86" s="131"/>
      <c r="R86" s="131"/>
      <c r="S86" s="131"/>
      <c r="T86" s="6"/>
      <c r="U86" s="6"/>
      <c r="V86" s="6"/>
      <c r="W86" s="6"/>
      <c r="X86" s="6"/>
      <c r="Y86" s="6"/>
      <c r="Z86" s="6"/>
      <c r="AA86" s="6"/>
      <c r="AB86" s="6"/>
    </row>
    <row r="87" ht="15.75" customHeight="1">
      <c r="A87" s="130"/>
      <c r="B87" s="2"/>
      <c r="C87" s="2"/>
      <c r="D87" s="2"/>
      <c r="E87" s="2"/>
      <c r="F87" s="2"/>
      <c r="G87" s="6"/>
      <c r="H87" s="6"/>
      <c r="I87" s="6"/>
      <c r="J87" s="6"/>
      <c r="K87" s="131"/>
      <c r="L87" s="131"/>
      <c r="M87" s="131"/>
      <c r="N87" s="131"/>
      <c r="O87" s="131"/>
      <c r="P87" s="131"/>
      <c r="Q87" s="131"/>
      <c r="R87" s="131"/>
      <c r="S87" s="131"/>
      <c r="T87" s="6"/>
      <c r="U87" s="6"/>
      <c r="V87" s="6"/>
      <c r="W87" s="6"/>
      <c r="X87" s="6"/>
      <c r="Y87" s="6"/>
      <c r="Z87" s="6"/>
      <c r="AA87" s="6"/>
      <c r="AB87" s="6"/>
    </row>
    <row r="88" ht="15.75" customHeight="1">
      <c r="A88" s="130"/>
      <c r="B88" s="2"/>
      <c r="C88" s="2"/>
      <c r="D88" s="2"/>
      <c r="E88" s="2"/>
      <c r="F88" s="2"/>
      <c r="G88" s="6"/>
      <c r="H88" s="6"/>
      <c r="I88" s="6"/>
      <c r="J88" s="6"/>
      <c r="K88" s="131"/>
      <c r="L88" s="131"/>
      <c r="M88" s="131"/>
      <c r="N88" s="131"/>
      <c r="O88" s="131"/>
      <c r="P88" s="131"/>
      <c r="Q88" s="131"/>
      <c r="R88" s="131"/>
      <c r="S88" s="131"/>
      <c r="T88" s="6"/>
      <c r="U88" s="6"/>
      <c r="V88" s="6"/>
      <c r="W88" s="6"/>
      <c r="X88" s="6"/>
      <c r="Y88" s="6"/>
      <c r="Z88" s="6"/>
      <c r="AA88" s="6"/>
      <c r="AB88" s="6"/>
    </row>
    <row r="89" ht="15.75" customHeight="1">
      <c r="A89" s="130"/>
      <c r="B89" s="2"/>
      <c r="C89" s="2"/>
      <c r="D89" s="2"/>
      <c r="E89" s="2"/>
      <c r="F89" s="2"/>
      <c r="G89" s="6"/>
      <c r="H89" s="6"/>
      <c r="I89" s="6"/>
      <c r="J89" s="6"/>
      <c r="K89" s="131"/>
      <c r="L89" s="131"/>
      <c r="M89" s="131"/>
      <c r="N89" s="131"/>
      <c r="O89" s="131"/>
      <c r="P89" s="131"/>
      <c r="Q89" s="131"/>
      <c r="R89" s="131"/>
      <c r="S89" s="131"/>
      <c r="T89" s="6"/>
      <c r="U89" s="6"/>
      <c r="V89" s="6"/>
      <c r="W89" s="6"/>
      <c r="X89" s="6"/>
      <c r="Y89" s="6"/>
      <c r="Z89" s="6"/>
      <c r="AA89" s="6"/>
      <c r="AB89" s="6"/>
    </row>
    <row r="90" ht="15.75" customHeight="1">
      <c r="A90" s="130"/>
      <c r="B90" s="2"/>
      <c r="C90" s="2"/>
      <c r="D90" s="2"/>
      <c r="E90" s="2"/>
      <c r="F90" s="2"/>
      <c r="G90" s="6"/>
      <c r="H90" s="6"/>
      <c r="I90" s="6"/>
      <c r="J90" s="6"/>
      <c r="K90" s="131"/>
      <c r="L90" s="131"/>
      <c r="M90" s="131"/>
      <c r="N90" s="131"/>
      <c r="O90" s="131"/>
      <c r="P90" s="131"/>
      <c r="Q90" s="131"/>
      <c r="R90" s="131"/>
      <c r="S90" s="131"/>
      <c r="T90" s="6"/>
      <c r="U90" s="6"/>
      <c r="V90" s="6"/>
      <c r="W90" s="6"/>
      <c r="X90" s="6"/>
      <c r="Y90" s="6"/>
      <c r="Z90" s="6"/>
      <c r="AA90" s="6"/>
      <c r="AB90" s="6"/>
    </row>
    <row r="91" ht="15.75" customHeight="1">
      <c r="A91" s="130"/>
      <c r="B91" s="2"/>
      <c r="C91" s="2"/>
      <c r="D91" s="2"/>
      <c r="E91" s="2"/>
      <c r="F91" s="2"/>
      <c r="G91" s="6"/>
      <c r="H91" s="6"/>
      <c r="I91" s="6"/>
      <c r="J91" s="6"/>
      <c r="K91" s="131"/>
      <c r="L91" s="131"/>
      <c r="M91" s="131"/>
      <c r="N91" s="131"/>
      <c r="O91" s="131"/>
      <c r="P91" s="131"/>
      <c r="Q91" s="131"/>
      <c r="R91" s="131"/>
      <c r="S91" s="131"/>
      <c r="T91" s="6"/>
      <c r="U91" s="6"/>
      <c r="V91" s="6"/>
      <c r="W91" s="6"/>
      <c r="X91" s="6"/>
      <c r="Y91" s="6"/>
      <c r="Z91" s="6"/>
      <c r="AA91" s="6"/>
      <c r="AB91" s="6"/>
    </row>
    <row r="92" ht="15.75" customHeight="1">
      <c r="A92" s="130"/>
      <c r="B92" s="2"/>
      <c r="C92" s="2"/>
      <c r="D92" s="2"/>
      <c r="E92" s="2"/>
      <c r="F92" s="2"/>
      <c r="G92" s="6"/>
      <c r="H92" s="6"/>
      <c r="I92" s="6"/>
      <c r="J92" s="6"/>
      <c r="K92" s="131"/>
      <c r="L92" s="131"/>
      <c r="M92" s="131"/>
      <c r="N92" s="131"/>
      <c r="O92" s="131"/>
      <c r="P92" s="131"/>
      <c r="Q92" s="131"/>
      <c r="R92" s="131"/>
      <c r="S92" s="131"/>
      <c r="T92" s="6"/>
      <c r="U92" s="6"/>
      <c r="V92" s="6"/>
      <c r="W92" s="6"/>
      <c r="X92" s="6"/>
      <c r="Y92" s="6"/>
      <c r="Z92" s="6"/>
      <c r="AA92" s="6"/>
      <c r="AB92" s="6"/>
    </row>
    <row r="93" ht="15.75" customHeight="1">
      <c r="A93" s="130"/>
      <c r="B93" s="2"/>
      <c r="C93" s="2"/>
      <c r="D93" s="2"/>
      <c r="E93" s="2"/>
      <c r="F93" s="2"/>
      <c r="G93" s="6"/>
      <c r="H93" s="6"/>
      <c r="I93" s="6"/>
      <c r="J93" s="6"/>
      <c r="K93" s="131"/>
      <c r="L93" s="131"/>
      <c r="M93" s="131"/>
      <c r="N93" s="131"/>
      <c r="O93" s="131"/>
      <c r="P93" s="131"/>
      <c r="Q93" s="131"/>
      <c r="R93" s="131"/>
      <c r="S93" s="131"/>
      <c r="T93" s="6"/>
      <c r="U93" s="6"/>
      <c r="V93" s="6"/>
      <c r="W93" s="6"/>
      <c r="X93" s="6"/>
      <c r="Y93" s="6"/>
      <c r="Z93" s="6"/>
      <c r="AA93" s="6"/>
      <c r="AB93" s="6"/>
    </row>
    <row r="94" ht="15.75" customHeight="1">
      <c r="A94" s="130"/>
      <c r="B94" s="2"/>
      <c r="C94" s="2"/>
      <c r="D94" s="2"/>
      <c r="E94" s="2"/>
      <c r="F94" s="2"/>
      <c r="G94" s="6"/>
      <c r="H94" s="6"/>
      <c r="I94" s="6"/>
      <c r="J94" s="6"/>
      <c r="K94" s="131"/>
      <c r="L94" s="131"/>
      <c r="M94" s="131"/>
      <c r="N94" s="131"/>
      <c r="O94" s="131"/>
      <c r="P94" s="131"/>
      <c r="Q94" s="131"/>
      <c r="R94" s="131"/>
      <c r="S94" s="131"/>
      <c r="T94" s="6"/>
      <c r="U94" s="6"/>
      <c r="V94" s="6"/>
      <c r="W94" s="6"/>
      <c r="X94" s="6"/>
      <c r="Y94" s="6"/>
      <c r="Z94" s="6"/>
      <c r="AA94" s="6"/>
      <c r="AB94" s="6"/>
    </row>
    <row r="95" ht="15.75" customHeight="1">
      <c r="A95" s="130"/>
      <c r="B95" s="2"/>
      <c r="C95" s="2"/>
      <c r="D95" s="2"/>
      <c r="E95" s="2"/>
      <c r="F95" s="2"/>
      <c r="G95" s="6"/>
      <c r="H95" s="6"/>
      <c r="I95" s="6"/>
      <c r="J95" s="6"/>
      <c r="K95" s="131"/>
      <c r="L95" s="131"/>
      <c r="M95" s="131"/>
      <c r="N95" s="131"/>
      <c r="O95" s="131"/>
      <c r="P95" s="131"/>
      <c r="Q95" s="131"/>
      <c r="R95" s="131"/>
      <c r="S95" s="131"/>
      <c r="T95" s="6"/>
      <c r="U95" s="6"/>
      <c r="V95" s="6"/>
      <c r="W95" s="6"/>
      <c r="X95" s="6"/>
      <c r="Y95" s="6"/>
      <c r="Z95" s="6"/>
      <c r="AA95" s="6"/>
      <c r="AB95" s="6"/>
    </row>
    <row r="96" ht="15.75" customHeight="1">
      <c r="A96" s="130"/>
      <c r="B96" s="2"/>
      <c r="C96" s="2"/>
      <c r="D96" s="2"/>
      <c r="E96" s="2"/>
      <c r="F96" s="2"/>
      <c r="G96" s="6"/>
      <c r="H96" s="6"/>
      <c r="I96" s="6"/>
      <c r="J96" s="6"/>
      <c r="K96" s="131"/>
      <c r="L96" s="131"/>
      <c r="M96" s="131"/>
      <c r="N96" s="131"/>
      <c r="O96" s="131"/>
      <c r="P96" s="131"/>
      <c r="Q96" s="131"/>
      <c r="R96" s="131"/>
      <c r="S96" s="131"/>
      <c r="T96" s="6"/>
      <c r="U96" s="6"/>
      <c r="V96" s="6"/>
      <c r="W96" s="6"/>
      <c r="X96" s="6"/>
      <c r="Y96" s="6"/>
      <c r="Z96" s="6"/>
      <c r="AA96" s="6"/>
      <c r="AB96" s="6"/>
    </row>
    <row r="97" ht="15.75" customHeight="1">
      <c r="A97" s="130"/>
      <c r="B97" s="2"/>
      <c r="C97" s="2"/>
      <c r="D97" s="2"/>
      <c r="E97" s="2"/>
      <c r="F97" s="2"/>
      <c r="G97" s="6"/>
      <c r="H97" s="6"/>
      <c r="I97" s="6"/>
      <c r="J97" s="6"/>
      <c r="K97" s="131"/>
      <c r="L97" s="131"/>
      <c r="M97" s="131"/>
      <c r="N97" s="131"/>
      <c r="O97" s="131"/>
      <c r="P97" s="131"/>
      <c r="Q97" s="131"/>
      <c r="R97" s="131"/>
      <c r="S97" s="131"/>
      <c r="T97" s="6"/>
      <c r="U97" s="6"/>
      <c r="V97" s="6"/>
      <c r="W97" s="6"/>
      <c r="X97" s="6"/>
      <c r="Y97" s="6"/>
      <c r="Z97" s="6"/>
      <c r="AA97" s="6"/>
      <c r="AB97" s="6"/>
    </row>
    <row r="98" ht="15.75" customHeight="1">
      <c r="A98" s="130"/>
      <c r="B98" s="2"/>
      <c r="C98" s="2"/>
      <c r="D98" s="2"/>
      <c r="E98" s="2"/>
      <c r="F98" s="2"/>
      <c r="G98" s="6"/>
      <c r="H98" s="6"/>
      <c r="I98" s="6"/>
      <c r="J98" s="6"/>
      <c r="K98" s="131"/>
      <c r="L98" s="131"/>
      <c r="M98" s="131"/>
      <c r="N98" s="131"/>
      <c r="O98" s="131"/>
      <c r="P98" s="131"/>
      <c r="Q98" s="131"/>
      <c r="R98" s="131"/>
      <c r="S98" s="131"/>
      <c r="T98" s="6"/>
      <c r="U98" s="6"/>
      <c r="V98" s="6"/>
      <c r="W98" s="6"/>
      <c r="X98" s="6"/>
      <c r="Y98" s="6"/>
      <c r="Z98" s="6"/>
      <c r="AA98" s="6"/>
      <c r="AB98" s="6"/>
    </row>
    <row r="99" ht="15.75" customHeight="1">
      <c r="A99" s="130"/>
      <c r="B99" s="2"/>
      <c r="C99" s="2"/>
      <c r="D99" s="2"/>
      <c r="E99" s="2"/>
      <c r="F99" s="2"/>
      <c r="G99" s="6"/>
      <c r="H99" s="6"/>
      <c r="I99" s="6"/>
      <c r="J99" s="6"/>
      <c r="K99" s="131"/>
      <c r="L99" s="131"/>
      <c r="M99" s="131"/>
      <c r="N99" s="131"/>
      <c r="O99" s="131"/>
      <c r="P99" s="131"/>
      <c r="Q99" s="131"/>
      <c r="R99" s="131"/>
      <c r="S99" s="131"/>
      <c r="T99" s="6"/>
      <c r="U99" s="6"/>
      <c r="V99" s="6"/>
      <c r="W99" s="6"/>
      <c r="X99" s="6"/>
      <c r="Y99" s="6"/>
      <c r="Z99" s="6"/>
      <c r="AA99" s="6"/>
      <c r="AB99" s="6"/>
    </row>
    <row r="100" ht="15.75" customHeight="1">
      <c r="A100" s="130"/>
      <c r="B100" s="2"/>
      <c r="C100" s="2"/>
      <c r="D100" s="2"/>
      <c r="E100" s="2"/>
      <c r="F100" s="2"/>
      <c r="G100" s="6"/>
      <c r="H100" s="6"/>
      <c r="I100" s="6"/>
      <c r="J100" s="6"/>
      <c r="K100" s="131"/>
      <c r="L100" s="131"/>
      <c r="M100" s="131"/>
      <c r="N100" s="131"/>
      <c r="O100" s="131"/>
      <c r="P100" s="131"/>
      <c r="Q100" s="131"/>
      <c r="R100" s="131"/>
      <c r="S100" s="131"/>
      <c r="T100" s="6"/>
      <c r="U100" s="6"/>
      <c r="V100" s="6"/>
      <c r="W100" s="6"/>
      <c r="X100" s="6"/>
      <c r="Y100" s="6"/>
      <c r="Z100" s="6"/>
      <c r="AA100" s="6"/>
      <c r="AB100" s="6"/>
    </row>
    <row r="101" ht="15.75" customHeight="1">
      <c r="A101" s="130"/>
      <c r="B101" s="2"/>
      <c r="C101" s="2"/>
      <c r="D101" s="2"/>
      <c r="E101" s="2"/>
      <c r="F101" s="2"/>
      <c r="G101" s="6"/>
      <c r="H101" s="6"/>
      <c r="I101" s="6"/>
      <c r="J101" s="6"/>
      <c r="K101" s="131"/>
      <c r="L101" s="131"/>
      <c r="M101" s="131"/>
      <c r="N101" s="131"/>
      <c r="O101" s="131"/>
      <c r="P101" s="131"/>
      <c r="Q101" s="131"/>
      <c r="R101" s="131"/>
      <c r="S101" s="131"/>
      <c r="T101" s="6"/>
      <c r="U101" s="6"/>
      <c r="V101" s="6"/>
      <c r="W101" s="6"/>
      <c r="X101" s="6"/>
      <c r="Y101" s="6"/>
      <c r="Z101" s="6"/>
      <c r="AA101" s="6"/>
      <c r="AB101" s="6"/>
    </row>
    <row r="102" ht="15.75" customHeight="1">
      <c r="A102" s="130"/>
      <c r="B102" s="2"/>
      <c r="C102" s="2"/>
      <c r="D102" s="2"/>
      <c r="E102" s="2"/>
      <c r="F102" s="2"/>
      <c r="G102" s="6"/>
      <c r="H102" s="6"/>
      <c r="I102" s="6"/>
      <c r="J102" s="6"/>
      <c r="K102" s="131"/>
      <c r="L102" s="131"/>
      <c r="M102" s="131"/>
      <c r="N102" s="131"/>
      <c r="O102" s="131"/>
      <c r="P102" s="131"/>
      <c r="Q102" s="131"/>
      <c r="R102" s="131"/>
      <c r="S102" s="131"/>
      <c r="T102" s="6"/>
      <c r="U102" s="6"/>
      <c r="V102" s="6"/>
      <c r="W102" s="6"/>
      <c r="X102" s="6"/>
      <c r="Y102" s="6"/>
      <c r="Z102" s="6"/>
      <c r="AA102" s="6"/>
      <c r="AB102" s="6"/>
    </row>
    <row r="103" ht="15.75" customHeight="1">
      <c r="A103" s="130"/>
      <c r="B103" s="2"/>
      <c r="C103" s="2"/>
      <c r="D103" s="2"/>
      <c r="E103" s="2"/>
      <c r="F103" s="2"/>
      <c r="G103" s="6"/>
      <c r="H103" s="6"/>
      <c r="I103" s="6"/>
      <c r="J103" s="6"/>
      <c r="K103" s="131"/>
      <c r="L103" s="131"/>
      <c r="M103" s="131"/>
      <c r="N103" s="131"/>
      <c r="O103" s="131"/>
      <c r="P103" s="131"/>
      <c r="Q103" s="131"/>
      <c r="R103" s="131"/>
      <c r="S103" s="131"/>
      <c r="T103" s="6"/>
      <c r="U103" s="6"/>
      <c r="V103" s="6"/>
      <c r="W103" s="6"/>
      <c r="X103" s="6"/>
      <c r="Y103" s="6"/>
      <c r="Z103" s="6"/>
      <c r="AA103" s="6"/>
      <c r="AB103" s="6"/>
    </row>
    <row r="104" ht="15.75" customHeight="1">
      <c r="A104" s="130"/>
      <c r="B104" s="2"/>
      <c r="C104" s="2"/>
      <c r="D104" s="2"/>
      <c r="E104" s="2"/>
      <c r="F104" s="2"/>
      <c r="G104" s="6"/>
      <c r="H104" s="6"/>
      <c r="I104" s="6"/>
      <c r="J104" s="6"/>
      <c r="K104" s="131"/>
      <c r="L104" s="131"/>
      <c r="M104" s="131"/>
      <c r="N104" s="131"/>
      <c r="O104" s="131"/>
      <c r="P104" s="131"/>
      <c r="Q104" s="131"/>
      <c r="R104" s="131"/>
      <c r="S104" s="131"/>
      <c r="T104" s="6"/>
      <c r="U104" s="6"/>
      <c r="V104" s="6"/>
      <c r="W104" s="6"/>
      <c r="X104" s="6"/>
      <c r="Y104" s="6"/>
      <c r="Z104" s="6"/>
      <c r="AA104" s="6"/>
      <c r="AB104" s="6"/>
    </row>
    <row r="105" ht="15.75" customHeight="1">
      <c r="A105" s="130"/>
      <c r="B105" s="2"/>
      <c r="C105" s="2"/>
      <c r="D105" s="2"/>
      <c r="E105" s="2"/>
      <c r="F105" s="2"/>
      <c r="G105" s="6"/>
      <c r="H105" s="6"/>
      <c r="I105" s="6"/>
      <c r="J105" s="6"/>
      <c r="K105" s="131"/>
      <c r="L105" s="131"/>
      <c r="M105" s="131"/>
      <c r="N105" s="131"/>
      <c r="O105" s="131"/>
      <c r="P105" s="131"/>
      <c r="Q105" s="131"/>
      <c r="R105" s="131"/>
      <c r="S105" s="131"/>
      <c r="T105" s="6"/>
      <c r="U105" s="6"/>
      <c r="V105" s="6"/>
      <c r="W105" s="6"/>
      <c r="X105" s="6"/>
      <c r="Y105" s="6"/>
      <c r="Z105" s="6"/>
      <c r="AA105" s="6"/>
      <c r="AB105" s="6"/>
    </row>
    <row r="106" ht="15.75" customHeight="1">
      <c r="A106" s="130"/>
      <c r="B106" s="2"/>
      <c r="C106" s="2"/>
      <c r="D106" s="2"/>
      <c r="E106" s="2"/>
      <c r="F106" s="2"/>
      <c r="G106" s="6"/>
      <c r="H106" s="6"/>
      <c r="I106" s="6"/>
      <c r="J106" s="6"/>
      <c r="K106" s="131"/>
      <c r="L106" s="131"/>
      <c r="M106" s="131"/>
      <c r="N106" s="131"/>
      <c r="O106" s="131"/>
      <c r="P106" s="131"/>
      <c r="Q106" s="131"/>
      <c r="R106" s="131"/>
      <c r="S106" s="131"/>
      <c r="T106" s="6"/>
      <c r="U106" s="6"/>
      <c r="V106" s="6"/>
      <c r="W106" s="6"/>
      <c r="X106" s="6"/>
      <c r="Y106" s="6"/>
      <c r="Z106" s="6"/>
      <c r="AA106" s="6"/>
      <c r="AB106" s="6"/>
    </row>
    <row r="107" ht="15.75" customHeight="1">
      <c r="A107" s="130"/>
      <c r="B107" s="2"/>
      <c r="C107" s="2"/>
      <c r="D107" s="2"/>
      <c r="E107" s="2"/>
      <c r="F107" s="2"/>
      <c r="G107" s="6"/>
      <c r="H107" s="6"/>
      <c r="I107" s="6"/>
      <c r="J107" s="6"/>
      <c r="K107" s="131"/>
      <c r="L107" s="131"/>
      <c r="M107" s="131"/>
      <c r="N107" s="131"/>
      <c r="O107" s="131"/>
      <c r="P107" s="131"/>
      <c r="Q107" s="131"/>
      <c r="R107" s="131"/>
      <c r="S107" s="131"/>
      <c r="T107" s="6"/>
      <c r="U107" s="6"/>
      <c r="V107" s="6"/>
      <c r="W107" s="6"/>
      <c r="X107" s="6"/>
      <c r="Y107" s="6"/>
      <c r="Z107" s="6"/>
      <c r="AA107" s="6"/>
      <c r="AB107" s="6"/>
    </row>
    <row r="108" ht="15.75" customHeight="1">
      <c r="A108" s="130"/>
      <c r="B108" s="2"/>
      <c r="C108" s="2"/>
      <c r="D108" s="2"/>
      <c r="E108" s="2"/>
      <c r="F108" s="2"/>
      <c r="G108" s="6"/>
      <c r="H108" s="6"/>
      <c r="I108" s="6"/>
      <c r="J108" s="6"/>
      <c r="K108" s="131"/>
      <c r="L108" s="131"/>
      <c r="M108" s="131"/>
      <c r="N108" s="131"/>
      <c r="O108" s="131"/>
      <c r="P108" s="131"/>
      <c r="Q108" s="131"/>
      <c r="R108" s="131"/>
      <c r="S108" s="131"/>
      <c r="T108" s="6"/>
      <c r="U108" s="6"/>
      <c r="V108" s="6"/>
      <c r="W108" s="6"/>
      <c r="X108" s="6"/>
      <c r="Y108" s="6"/>
      <c r="Z108" s="6"/>
      <c r="AA108" s="6"/>
      <c r="AB108" s="6"/>
    </row>
    <row r="109" ht="15.75" customHeight="1">
      <c r="A109" s="130"/>
      <c r="B109" s="2"/>
      <c r="C109" s="2"/>
      <c r="D109" s="2"/>
      <c r="E109" s="2"/>
      <c r="F109" s="2"/>
      <c r="G109" s="6"/>
      <c r="H109" s="6"/>
      <c r="I109" s="6"/>
      <c r="J109" s="6"/>
      <c r="K109" s="131"/>
      <c r="L109" s="131"/>
      <c r="M109" s="131"/>
      <c r="N109" s="131"/>
      <c r="O109" s="131"/>
      <c r="P109" s="131"/>
      <c r="Q109" s="131"/>
      <c r="R109" s="131"/>
      <c r="S109" s="131"/>
      <c r="T109" s="6"/>
      <c r="U109" s="6"/>
      <c r="V109" s="6"/>
      <c r="W109" s="6"/>
      <c r="X109" s="6"/>
      <c r="Y109" s="6"/>
      <c r="Z109" s="6"/>
      <c r="AA109" s="6"/>
      <c r="AB109" s="6"/>
    </row>
    <row r="110" ht="15.75" customHeight="1">
      <c r="A110" s="130"/>
      <c r="B110" s="2"/>
      <c r="C110" s="2"/>
      <c r="D110" s="2"/>
      <c r="E110" s="2"/>
      <c r="F110" s="2"/>
      <c r="G110" s="6"/>
      <c r="H110" s="6"/>
      <c r="I110" s="6"/>
      <c r="J110" s="6"/>
      <c r="K110" s="131"/>
      <c r="L110" s="131"/>
      <c r="M110" s="131"/>
      <c r="N110" s="131"/>
      <c r="O110" s="131"/>
      <c r="P110" s="131"/>
      <c r="Q110" s="131"/>
      <c r="R110" s="131"/>
      <c r="S110" s="131"/>
      <c r="T110" s="6"/>
      <c r="U110" s="6"/>
      <c r="V110" s="6"/>
      <c r="W110" s="6"/>
      <c r="X110" s="6"/>
      <c r="Y110" s="6"/>
      <c r="Z110" s="6"/>
      <c r="AA110" s="6"/>
      <c r="AB110" s="6"/>
    </row>
    <row r="111" ht="15.75" customHeight="1">
      <c r="A111" s="130"/>
      <c r="B111" s="2"/>
      <c r="C111" s="2"/>
      <c r="D111" s="2"/>
      <c r="E111" s="2"/>
      <c r="F111" s="2"/>
      <c r="G111" s="6"/>
      <c r="H111" s="6"/>
      <c r="I111" s="6"/>
      <c r="J111" s="6"/>
      <c r="K111" s="131"/>
      <c r="L111" s="131"/>
      <c r="M111" s="131"/>
      <c r="N111" s="131"/>
      <c r="O111" s="131"/>
      <c r="P111" s="131"/>
      <c r="Q111" s="131"/>
      <c r="R111" s="131"/>
      <c r="S111" s="131"/>
      <c r="T111" s="6"/>
      <c r="U111" s="6"/>
      <c r="V111" s="6"/>
      <c r="W111" s="6"/>
      <c r="X111" s="6"/>
      <c r="Y111" s="6"/>
      <c r="Z111" s="6"/>
      <c r="AA111" s="6"/>
      <c r="AB111" s="6"/>
    </row>
    <row r="112" ht="15.75" customHeight="1">
      <c r="A112" s="130"/>
      <c r="B112" s="2"/>
      <c r="C112" s="2"/>
      <c r="D112" s="2"/>
      <c r="E112" s="2"/>
      <c r="F112" s="2"/>
      <c r="G112" s="6"/>
      <c r="H112" s="6"/>
      <c r="I112" s="6"/>
      <c r="J112" s="6"/>
      <c r="K112" s="131"/>
      <c r="L112" s="131"/>
      <c r="M112" s="131"/>
      <c r="N112" s="131"/>
      <c r="O112" s="131"/>
      <c r="P112" s="131"/>
      <c r="Q112" s="131"/>
      <c r="R112" s="131"/>
      <c r="S112" s="131"/>
      <c r="T112" s="6"/>
      <c r="U112" s="6"/>
      <c r="V112" s="6"/>
      <c r="W112" s="6"/>
      <c r="X112" s="6"/>
      <c r="Y112" s="6"/>
      <c r="Z112" s="6"/>
      <c r="AA112" s="6"/>
      <c r="AB112" s="6"/>
    </row>
    <row r="113" ht="15.75" customHeight="1">
      <c r="A113" s="130"/>
      <c r="B113" s="2"/>
      <c r="C113" s="2"/>
      <c r="D113" s="2"/>
      <c r="E113" s="2"/>
      <c r="F113" s="2"/>
      <c r="G113" s="6"/>
      <c r="H113" s="6"/>
      <c r="I113" s="6"/>
      <c r="J113" s="6"/>
      <c r="K113" s="131"/>
      <c r="L113" s="131"/>
      <c r="M113" s="131"/>
      <c r="N113" s="131"/>
      <c r="O113" s="131"/>
      <c r="P113" s="131"/>
      <c r="Q113" s="131"/>
      <c r="R113" s="131"/>
      <c r="S113" s="131"/>
      <c r="T113" s="6"/>
      <c r="U113" s="6"/>
      <c r="V113" s="6"/>
      <c r="W113" s="6"/>
      <c r="X113" s="6"/>
      <c r="Y113" s="6"/>
      <c r="Z113" s="6"/>
      <c r="AA113" s="6"/>
      <c r="AB113" s="6"/>
    </row>
    <row r="114" ht="15.75" customHeight="1">
      <c r="A114" s="130"/>
      <c r="B114" s="2"/>
      <c r="C114" s="2"/>
      <c r="D114" s="2"/>
      <c r="E114" s="2"/>
      <c r="F114" s="2"/>
      <c r="G114" s="6"/>
      <c r="H114" s="6"/>
      <c r="I114" s="6"/>
      <c r="J114" s="6"/>
      <c r="K114" s="131"/>
      <c r="L114" s="131"/>
      <c r="M114" s="131"/>
      <c r="N114" s="131"/>
      <c r="O114" s="131"/>
      <c r="P114" s="131"/>
      <c r="Q114" s="131"/>
      <c r="R114" s="131"/>
      <c r="S114" s="131"/>
      <c r="T114" s="6"/>
      <c r="U114" s="6"/>
      <c r="V114" s="6"/>
      <c r="W114" s="6"/>
      <c r="X114" s="6"/>
      <c r="Y114" s="6"/>
      <c r="Z114" s="6"/>
      <c r="AA114" s="6"/>
      <c r="AB114" s="6"/>
    </row>
    <row r="115" ht="15.75" customHeight="1">
      <c r="A115" s="130"/>
      <c r="B115" s="2"/>
      <c r="C115" s="2"/>
      <c r="D115" s="2"/>
      <c r="E115" s="2"/>
      <c r="F115" s="2"/>
      <c r="G115" s="6"/>
      <c r="H115" s="6"/>
      <c r="I115" s="6"/>
      <c r="J115" s="6"/>
      <c r="K115" s="131"/>
      <c r="L115" s="131"/>
      <c r="M115" s="131"/>
      <c r="N115" s="131"/>
      <c r="O115" s="131"/>
      <c r="P115" s="131"/>
      <c r="Q115" s="131"/>
      <c r="R115" s="131"/>
      <c r="S115" s="131"/>
      <c r="T115" s="6"/>
      <c r="U115" s="6"/>
      <c r="V115" s="6"/>
      <c r="W115" s="6"/>
      <c r="X115" s="6"/>
      <c r="Y115" s="6"/>
      <c r="Z115" s="6"/>
      <c r="AA115" s="6"/>
      <c r="AB115" s="6"/>
    </row>
    <row r="116" ht="15.75" customHeight="1">
      <c r="A116" s="130"/>
      <c r="B116" s="2"/>
      <c r="C116" s="2"/>
      <c r="D116" s="2"/>
      <c r="E116" s="2"/>
      <c r="F116" s="2"/>
      <c r="G116" s="6"/>
      <c r="H116" s="6"/>
      <c r="I116" s="6"/>
      <c r="J116" s="6"/>
      <c r="K116" s="131"/>
      <c r="L116" s="131"/>
      <c r="M116" s="131"/>
      <c r="N116" s="131"/>
      <c r="O116" s="131"/>
      <c r="P116" s="131"/>
      <c r="Q116" s="131"/>
      <c r="R116" s="131"/>
      <c r="S116" s="131"/>
      <c r="T116" s="6"/>
      <c r="U116" s="6"/>
      <c r="V116" s="6"/>
      <c r="W116" s="6"/>
      <c r="X116" s="6"/>
      <c r="Y116" s="6"/>
      <c r="Z116" s="6"/>
      <c r="AA116" s="6"/>
      <c r="AB116" s="6"/>
    </row>
    <row r="117" ht="15.75" customHeight="1">
      <c r="A117" s="130"/>
      <c r="B117" s="2"/>
      <c r="C117" s="2"/>
      <c r="D117" s="2"/>
      <c r="E117" s="2"/>
      <c r="F117" s="2"/>
      <c r="G117" s="6"/>
      <c r="H117" s="6"/>
      <c r="I117" s="6"/>
      <c r="J117" s="6"/>
      <c r="K117" s="131"/>
      <c r="L117" s="131"/>
      <c r="M117" s="131"/>
      <c r="N117" s="131"/>
      <c r="O117" s="131"/>
      <c r="P117" s="131"/>
      <c r="Q117" s="131"/>
      <c r="R117" s="131"/>
      <c r="S117" s="131"/>
      <c r="T117" s="6"/>
      <c r="U117" s="6"/>
      <c r="V117" s="6"/>
      <c r="W117" s="6"/>
      <c r="X117" s="6"/>
      <c r="Y117" s="6"/>
      <c r="Z117" s="6"/>
      <c r="AA117" s="6"/>
      <c r="AB117" s="6"/>
    </row>
    <row r="118" ht="15.75" customHeight="1">
      <c r="A118" s="130"/>
      <c r="B118" s="2"/>
      <c r="C118" s="2"/>
      <c r="D118" s="2"/>
      <c r="E118" s="2"/>
      <c r="F118" s="2"/>
      <c r="G118" s="6"/>
      <c r="H118" s="6"/>
      <c r="I118" s="6"/>
      <c r="J118" s="6"/>
      <c r="K118" s="131"/>
      <c r="L118" s="131"/>
      <c r="M118" s="131"/>
      <c r="N118" s="131"/>
      <c r="O118" s="131"/>
      <c r="P118" s="131"/>
      <c r="Q118" s="131"/>
      <c r="R118" s="131"/>
      <c r="S118" s="131"/>
      <c r="T118" s="6"/>
      <c r="U118" s="6"/>
      <c r="V118" s="6"/>
      <c r="W118" s="6"/>
      <c r="X118" s="6"/>
      <c r="Y118" s="6"/>
      <c r="Z118" s="6"/>
      <c r="AA118" s="6"/>
      <c r="AB118" s="6"/>
    </row>
    <row r="119" ht="15.75" customHeight="1">
      <c r="A119" s="130"/>
      <c r="B119" s="2"/>
      <c r="C119" s="2"/>
      <c r="D119" s="2"/>
      <c r="E119" s="2"/>
      <c r="F119" s="2"/>
      <c r="G119" s="6"/>
      <c r="H119" s="6"/>
      <c r="I119" s="6"/>
      <c r="J119" s="6"/>
      <c r="K119" s="131"/>
      <c r="L119" s="131"/>
      <c r="M119" s="131"/>
      <c r="N119" s="131"/>
      <c r="O119" s="131"/>
      <c r="P119" s="131"/>
      <c r="Q119" s="131"/>
      <c r="R119" s="131"/>
      <c r="S119" s="131"/>
      <c r="T119" s="6"/>
      <c r="U119" s="6"/>
      <c r="V119" s="6"/>
      <c r="W119" s="6"/>
      <c r="X119" s="6"/>
      <c r="Y119" s="6"/>
      <c r="Z119" s="6"/>
      <c r="AA119" s="6"/>
      <c r="AB119" s="6"/>
    </row>
    <row r="120" ht="15.75" customHeight="1">
      <c r="A120" s="130"/>
      <c r="B120" s="2"/>
      <c r="C120" s="2"/>
      <c r="D120" s="2"/>
      <c r="E120" s="2"/>
      <c r="F120" s="2"/>
      <c r="G120" s="6"/>
      <c r="H120" s="6"/>
      <c r="I120" s="6"/>
      <c r="J120" s="6"/>
      <c r="K120" s="131"/>
      <c r="L120" s="131"/>
      <c r="M120" s="131"/>
      <c r="N120" s="131"/>
      <c r="O120" s="131"/>
      <c r="P120" s="131"/>
      <c r="Q120" s="131"/>
      <c r="R120" s="131"/>
      <c r="S120" s="131"/>
      <c r="T120" s="6"/>
      <c r="U120" s="6"/>
      <c r="V120" s="6"/>
      <c r="W120" s="6"/>
      <c r="X120" s="6"/>
      <c r="Y120" s="6"/>
      <c r="Z120" s="6"/>
      <c r="AA120" s="6"/>
      <c r="AB120" s="6"/>
    </row>
    <row r="121" ht="15.75" customHeight="1">
      <c r="A121" s="130"/>
      <c r="B121" s="2"/>
      <c r="C121" s="2"/>
      <c r="D121" s="2"/>
      <c r="E121" s="2"/>
      <c r="F121" s="2"/>
      <c r="G121" s="6"/>
      <c r="H121" s="6"/>
      <c r="I121" s="6"/>
      <c r="J121" s="6"/>
      <c r="K121" s="131"/>
      <c r="L121" s="131"/>
      <c r="M121" s="131"/>
      <c r="N121" s="131"/>
      <c r="O121" s="131"/>
      <c r="P121" s="131"/>
      <c r="Q121" s="131"/>
      <c r="R121" s="131"/>
      <c r="S121" s="131"/>
      <c r="T121" s="6"/>
      <c r="U121" s="6"/>
      <c r="V121" s="6"/>
      <c r="W121" s="6"/>
      <c r="X121" s="6"/>
      <c r="Y121" s="6"/>
      <c r="Z121" s="6"/>
      <c r="AA121" s="6"/>
      <c r="AB121" s="6"/>
    </row>
    <row r="122" ht="15.75" customHeight="1">
      <c r="A122" s="130"/>
      <c r="B122" s="2"/>
      <c r="C122" s="2"/>
      <c r="D122" s="2"/>
      <c r="E122" s="2"/>
      <c r="F122" s="2"/>
      <c r="G122" s="6"/>
      <c r="H122" s="6"/>
      <c r="I122" s="6"/>
      <c r="J122" s="6"/>
      <c r="K122" s="131"/>
      <c r="L122" s="131"/>
      <c r="M122" s="131"/>
      <c r="N122" s="131"/>
      <c r="O122" s="131"/>
      <c r="P122" s="131"/>
      <c r="Q122" s="131"/>
      <c r="R122" s="131"/>
      <c r="S122" s="131"/>
      <c r="T122" s="6"/>
      <c r="U122" s="6"/>
      <c r="V122" s="6"/>
      <c r="W122" s="6"/>
      <c r="X122" s="6"/>
      <c r="Y122" s="6"/>
      <c r="Z122" s="6"/>
      <c r="AA122" s="6"/>
      <c r="AB122" s="6"/>
    </row>
    <row r="123" ht="15.75" customHeight="1">
      <c r="A123" s="130"/>
      <c r="B123" s="2"/>
      <c r="C123" s="2"/>
      <c r="D123" s="2"/>
      <c r="E123" s="2"/>
      <c r="F123" s="2"/>
      <c r="G123" s="6"/>
      <c r="H123" s="6"/>
      <c r="I123" s="6"/>
      <c r="J123" s="6"/>
      <c r="K123" s="131"/>
      <c r="L123" s="131"/>
      <c r="M123" s="131"/>
      <c r="N123" s="131"/>
      <c r="O123" s="131"/>
      <c r="P123" s="131"/>
      <c r="Q123" s="131"/>
      <c r="R123" s="131"/>
      <c r="S123" s="131"/>
      <c r="T123" s="6"/>
      <c r="U123" s="6"/>
      <c r="V123" s="6"/>
      <c r="W123" s="6"/>
      <c r="X123" s="6"/>
      <c r="Y123" s="6"/>
      <c r="Z123" s="6"/>
      <c r="AA123" s="6"/>
      <c r="AB123" s="6"/>
    </row>
    <row r="124" ht="15.75" customHeight="1">
      <c r="A124" s="130"/>
      <c r="B124" s="2"/>
      <c r="C124" s="2"/>
      <c r="D124" s="2"/>
      <c r="E124" s="2"/>
      <c r="F124" s="2"/>
      <c r="G124" s="6"/>
      <c r="H124" s="6"/>
      <c r="I124" s="6"/>
      <c r="J124" s="6"/>
      <c r="K124" s="131"/>
      <c r="L124" s="131"/>
      <c r="M124" s="131"/>
      <c r="N124" s="131"/>
      <c r="O124" s="131"/>
      <c r="P124" s="131"/>
      <c r="Q124" s="131"/>
      <c r="R124" s="131"/>
      <c r="S124" s="131"/>
      <c r="T124" s="6"/>
      <c r="U124" s="6"/>
      <c r="V124" s="6"/>
      <c r="W124" s="6"/>
      <c r="X124" s="6"/>
      <c r="Y124" s="6"/>
      <c r="Z124" s="6"/>
      <c r="AA124" s="6"/>
      <c r="AB124" s="6"/>
    </row>
    <row r="125" ht="15.75" customHeight="1">
      <c r="A125" s="130"/>
      <c r="B125" s="2"/>
      <c r="C125" s="2"/>
      <c r="D125" s="2"/>
      <c r="E125" s="2"/>
      <c r="F125" s="2"/>
      <c r="G125" s="6"/>
      <c r="H125" s="6"/>
      <c r="I125" s="6"/>
      <c r="J125" s="6"/>
      <c r="K125" s="131"/>
      <c r="L125" s="131"/>
      <c r="M125" s="131"/>
      <c r="N125" s="131"/>
      <c r="O125" s="131"/>
      <c r="P125" s="131"/>
      <c r="Q125" s="131"/>
      <c r="R125" s="131"/>
      <c r="S125" s="131"/>
      <c r="T125" s="6"/>
      <c r="U125" s="6"/>
      <c r="V125" s="6"/>
      <c r="W125" s="6"/>
      <c r="X125" s="6"/>
      <c r="Y125" s="6"/>
      <c r="Z125" s="6"/>
      <c r="AA125" s="6"/>
      <c r="AB125" s="6"/>
    </row>
    <row r="126" ht="15.75" customHeight="1">
      <c r="A126" s="130"/>
      <c r="B126" s="2"/>
      <c r="C126" s="2"/>
      <c r="D126" s="2"/>
      <c r="E126" s="2"/>
      <c r="F126" s="2"/>
      <c r="G126" s="6"/>
      <c r="H126" s="6"/>
      <c r="I126" s="6"/>
      <c r="J126" s="6"/>
      <c r="K126" s="131"/>
      <c r="L126" s="131"/>
      <c r="M126" s="131"/>
      <c r="N126" s="131"/>
      <c r="O126" s="131"/>
      <c r="P126" s="131"/>
      <c r="Q126" s="131"/>
      <c r="R126" s="131"/>
      <c r="S126" s="131"/>
      <c r="T126" s="6"/>
      <c r="U126" s="6"/>
      <c r="V126" s="6"/>
      <c r="W126" s="6"/>
      <c r="X126" s="6"/>
      <c r="Y126" s="6"/>
      <c r="Z126" s="6"/>
      <c r="AA126" s="6"/>
      <c r="AB126" s="6"/>
    </row>
    <row r="127" ht="15.75" customHeight="1">
      <c r="A127" s="130"/>
      <c r="B127" s="2"/>
      <c r="C127" s="2"/>
      <c r="D127" s="2"/>
      <c r="E127" s="2"/>
      <c r="F127" s="2"/>
      <c r="G127" s="6"/>
      <c r="H127" s="6"/>
      <c r="I127" s="6"/>
      <c r="J127" s="6"/>
      <c r="K127" s="131"/>
      <c r="L127" s="131"/>
      <c r="M127" s="131"/>
      <c r="N127" s="131"/>
      <c r="O127" s="131"/>
      <c r="P127" s="131"/>
      <c r="Q127" s="131"/>
      <c r="R127" s="131"/>
      <c r="S127" s="131"/>
      <c r="T127" s="6"/>
      <c r="U127" s="6"/>
      <c r="V127" s="6"/>
      <c r="W127" s="6"/>
      <c r="X127" s="6"/>
      <c r="Y127" s="6"/>
      <c r="Z127" s="6"/>
      <c r="AA127" s="6"/>
      <c r="AB127" s="6"/>
    </row>
    <row r="128" ht="15.75" customHeight="1">
      <c r="A128" s="130"/>
      <c r="B128" s="2"/>
      <c r="C128" s="2"/>
      <c r="D128" s="2"/>
      <c r="E128" s="2"/>
      <c r="F128" s="2"/>
      <c r="G128" s="6"/>
      <c r="H128" s="6"/>
      <c r="I128" s="6"/>
      <c r="J128" s="6"/>
      <c r="K128" s="131"/>
      <c r="L128" s="131"/>
      <c r="M128" s="131"/>
      <c r="N128" s="131"/>
      <c r="O128" s="131"/>
      <c r="P128" s="131"/>
      <c r="Q128" s="131"/>
      <c r="R128" s="131"/>
      <c r="S128" s="131"/>
      <c r="T128" s="6"/>
      <c r="U128" s="6"/>
      <c r="V128" s="6"/>
      <c r="W128" s="6"/>
      <c r="X128" s="6"/>
      <c r="Y128" s="6"/>
      <c r="Z128" s="6"/>
      <c r="AA128" s="6"/>
      <c r="AB128" s="6"/>
    </row>
    <row r="129" ht="15.75" customHeight="1">
      <c r="A129" s="130"/>
      <c r="B129" s="2"/>
      <c r="C129" s="2"/>
      <c r="D129" s="2"/>
      <c r="E129" s="2"/>
      <c r="F129" s="2"/>
      <c r="G129" s="6"/>
      <c r="H129" s="6"/>
      <c r="I129" s="6"/>
      <c r="J129" s="6"/>
      <c r="K129" s="131"/>
      <c r="L129" s="131"/>
      <c r="M129" s="131"/>
      <c r="N129" s="131"/>
      <c r="O129" s="131"/>
      <c r="P129" s="131"/>
      <c r="Q129" s="131"/>
      <c r="R129" s="131"/>
      <c r="S129" s="131"/>
      <c r="T129" s="6"/>
      <c r="U129" s="6"/>
      <c r="V129" s="6"/>
      <c r="W129" s="6"/>
      <c r="X129" s="6"/>
      <c r="Y129" s="6"/>
      <c r="Z129" s="6"/>
      <c r="AA129" s="6"/>
      <c r="AB129" s="6"/>
    </row>
    <row r="130" ht="15.75" customHeight="1">
      <c r="A130" s="130"/>
      <c r="B130" s="2"/>
      <c r="C130" s="2"/>
      <c r="D130" s="2"/>
      <c r="E130" s="2"/>
      <c r="F130" s="2"/>
      <c r="G130" s="6"/>
      <c r="H130" s="6"/>
      <c r="I130" s="6"/>
      <c r="J130" s="6"/>
      <c r="K130" s="131"/>
      <c r="L130" s="131"/>
      <c r="M130" s="131"/>
      <c r="N130" s="131"/>
      <c r="O130" s="131"/>
      <c r="P130" s="131"/>
      <c r="Q130" s="131"/>
      <c r="R130" s="131"/>
      <c r="S130" s="131"/>
      <c r="T130" s="6"/>
      <c r="U130" s="6"/>
      <c r="V130" s="6"/>
      <c r="W130" s="6"/>
      <c r="X130" s="6"/>
      <c r="Y130" s="6"/>
      <c r="Z130" s="6"/>
      <c r="AA130" s="6"/>
      <c r="AB130" s="6"/>
    </row>
    <row r="131" ht="15.75" customHeight="1">
      <c r="A131" s="130"/>
      <c r="B131" s="2"/>
      <c r="C131" s="2"/>
      <c r="D131" s="2"/>
      <c r="E131" s="2"/>
      <c r="F131" s="2"/>
      <c r="G131" s="6"/>
      <c r="H131" s="6"/>
      <c r="I131" s="6"/>
      <c r="J131" s="6"/>
      <c r="K131" s="131"/>
      <c r="L131" s="131"/>
      <c r="M131" s="131"/>
      <c r="N131" s="131"/>
      <c r="O131" s="131"/>
      <c r="P131" s="131"/>
      <c r="Q131" s="131"/>
      <c r="R131" s="131"/>
      <c r="S131" s="131"/>
      <c r="T131" s="6"/>
      <c r="U131" s="6"/>
      <c r="V131" s="6"/>
      <c r="W131" s="6"/>
      <c r="X131" s="6"/>
      <c r="Y131" s="6"/>
      <c r="Z131" s="6"/>
      <c r="AA131" s="6"/>
      <c r="AB131" s="6"/>
    </row>
    <row r="132" ht="15.75" customHeight="1">
      <c r="A132" s="130"/>
      <c r="B132" s="2"/>
      <c r="C132" s="2"/>
      <c r="D132" s="2"/>
      <c r="E132" s="2"/>
      <c r="F132" s="2"/>
      <c r="G132" s="6"/>
      <c r="H132" s="6"/>
      <c r="I132" s="6"/>
      <c r="J132" s="6"/>
      <c r="K132" s="131"/>
      <c r="L132" s="131"/>
      <c r="M132" s="131"/>
      <c r="N132" s="131"/>
      <c r="O132" s="131"/>
      <c r="P132" s="131"/>
      <c r="Q132" s="131"/>
      <c r="R132" s="131"/>
      <c r="S132" s="131"/>
      <c r="T132" s="6"/>
      <c r="U132" s="6"/>
      <c r="V132" s="6"/>
      <c r="W132" s="6"/>
      <c r="X132" s="6"/>
      <c r="Y132" s="6"/>
      <c r="Z132" s="6"/>
      <c r="AA132" s="6"/>
      <c r="AB132" s="6"/>
    </row>
    <row r="133" ht="15.75" customHeight="1">
      <c r="A133" s="130"/>
      <c r="B133" s="2"/>
      <c r="C133" s="2"/>
      <c r="D133" s="2"/>
      <c r="E133" s="2"/>
      <c r="F133" s="2"/>
      <c r="G133" s="6"/>
      <c r="H133" s="6"/>
      <c r="I133" s="6"/>
      <c r="J133" s="6"/>
      <c r="K133" s="131"/>
      <c r="L133" s="131"/>
      <c r="M133" s="131"/>
      <c r="N133" s="131"/>
      <c r="O133" s="131"/>
      <c r="P133" s="131"/>
      <c r="Q133" s="131"/>
      <c r="R133" s="131"/>
      <c r="S133" s="131"/>
      <c r="T133" s="6"/>
      <c r="U133" s="6"/>
      <c r="V133" s="6"/>
      <c r="W133" s="6"/>
      <c r="X133" s="6"/>
      <c r="Y133" s="6"/>
      <c r="Z133" s="6"/>
      <c r="AA133" s="6"/>
      <c r="AB133" s="6"/>
    </row>
    <row r="134" ht="15.75" customHeight="1">
      <c r="A134" s="130"/>
      <c r="B134" s="2"/>
      <c r="C134" s="2"/>
      <c r="D134" s="2"/>
      <c r="E134" s="2"/>
      <c r="F134" s="2"/>
      <c r="G134" s="6"/>
      <c r="H134" s="6"/>
      <c r="I134" s="6"/>
      <c r="J134" s="6"/>
      <c r="K134" s="131"/>
      <c r="L134" s="131"/>
      <c r="M134" s="131"/>
      <c r="N134" s="131"/>
      <c r="O134" s="131"/>
      <c r="P134" s="131"/>
      <c r="Q134" s="131"/>
      <c r="R134" s="131"/>
      <c r="S134" s="131"/>
      <c r="T134" s="6"/>
      <c r="U134" s="6"/>
      <c r="V134" s="6"/>
      <c r="W134" s="6"/>
      <c r="X134" s="6"/>
      <c r="Y134" s="6"/>
      <c r="Z134" s="6"/>
      <c r="AA134" s="6"/>
      <c r="AB134" s="6"/>
    </row>
    <row r="135" ht="15.75" customHeight="1">
      <c r="A135" s="130"/>
      <c r="B135" s="2"/>
      <c r="C135" s="2"/>
      <c r="D135" s="2"/>
      <c r="E135" s="2"/>
      <c r="F135" s="2"/>
      <c r="G135" s="6"/>
      <c r="H135" s="6"/>
      <c r="I135" s="6"/>
      <c r="J135" s="6"/>
      <c r="K135" s="131"/>
      <c r="L135" s="131"/>
      <c r="M135" s="131"/>
      <c r="N135" s="131"/>
      <c r="O135" s="131"/>
      <c r="P135" s="131"/>
      <c r="Q135" s="131"/>
      <c r="R135" s="131"/>
      <c r="S135" s="131"/>
      <c r="T135" s="6"/>
      <c r="U135" s="6"/>
      <c r="V135" s="6"/>
      <c r="W135" s="6"/>
      <c r="X135" s="6"/>
      <c r="Y135" s="6"/>
      <c r="Z135" s="6"/>
      <c r="AA135" s="6"/>
      <c r="AB135" s="6"/>
    </row>
    <row r="136" ht="15.75" customHeight="1">
      <c r="A136" s="130"/>
      <c r="B136" s="2"/>
      <c r="C136" s="2"/>
      <c r="D136" s="2"/>
      <c r="E136" s="2"/>
      <c r="F136" s="2"/>
      <c r="G136" s="6"/>
      <c r="H136" s="6"/>
      <c r="I136" s="6"/>
      <c r="J136" s="6"/>
      <c r="K136" s="131"/>
      <c r="L136" s="131"/>
      <c r="M136" s="131"/>
      <c r="N136" s="131"/>
      <c r="O136" s="131"/>
      <c r="P136" s="131"/>
      <c r="Q136" s="131"/>
      <c r="R136" s="131"/>
      <c r="S136" s="131"/>
      <c r="T136" s="6"/>
      <c r="U136" s="6"/>
      <c r="V136" s="6"/>
      <c r="W136" s="6"/>
      <c r="X136" s="6"/>
      <c r="Y136" s="6"/>
      <c r="Z136" s="6"/>
      <c r="AA136" s="6"/>
      <c r="AB136" s="6"/>
    </row>
    <row r="137" ht="15.75" customHeight="1">
      <c r="A137" s="130"/>
      <c r="B137" s="2"/>
      <c r="C137" s="2"/>
      <c r="D137" s="2"/>
      <c r="E137" s="2"/>
      <c r="F137" s="2"/>
      <c r="G137" s="6"/>
      <c r="H137" s="6"/>
      <c r="I137" s="6"/>
      <c r="J137" s="6"/>
      <c r="K137" s="131"/>
      <c r="L137" s="131"/>
      <c r="M137" s="131"/>
      <c r="N137" s="131"/>
      <c r="O137" s="131"/>
      <c r="P137" s="131"/>
      <c r="Q137" s="131"/>
      <c r="R137" s="131"/>
      <c r="S137" s="131"/>
      <c r="T137" s="6"/>
      <c r="U137" s="6"/>
      <c r="V137" s="6"/>
      <c r="W137" s="6"/>
      <c r="X137" s="6"/>
      <c r="Y137" s="6"/>
      <c r="Z137" s="6"/>
      <c r="AA137" s="6"/>
      <c r="AB137" s="6"/>
    </row>
    <row r="138" ht="15.75" customHeight="1">
      <c r="A138" s="130"/>
      <c r="B138" s="2"/>
      <c r="C138" s="2"/>
      <c r="D138" s="2"/>
      <c r="E138" s="2"/>
      <c r="F138" s="2"/>
      <c r="G138" s="6"/>
      <c r="H138" s="6"/>
      <c r="I138" s="6"/>
      <c r="J138" s="6"/>
      <c r="K138" s="131"/>
      <c r="L138" s="131"/>
      <c r="M138" s="131"/>
      <c r="N138" s="131"/>
      <c r="O138" s="131"/>
      <c r="P138" s="131"/>
      <c r="Q138" s="131"/>
      <c r="R138" s="131"/>
      <c r="S138" s="131"/>
      <c r="T138" s="6"/>
      <c r="U138" s="6"/>
      <c r="V138" s="6"/>
      <c r="W138" s="6"/>
      <c r="X138" s="6"/>
      <c r="Y138" s="6"/>
      <c r="Z138" s="6"/>
      <c r="AA138" s="6"/>
      <c r="AB138" s="6"/>
    </row>
    <row r="139" ht="15.75" customHeight="1">
      <c r="A139" s="130"/>
      <c r="B139" s="2"/>
      <c r="C139" s="2"/>
      <c r="D139" s="2"/>
      <c r="E139" s="2"/>
      <c r="F139" s="2"/>
      <c r="G139" s="6"/>
      <c r="H139" s="6"/>
      <c r="I139" s="6"/>
      <c r="J139" s="6"/>
      <c r="K139" s="131"/>
      <c r="L139" s="131"/>
      <c r="M139" s="131"/>
      <c r="N139" s="131"/>
      <c r="O139" s="131"/>
      <c r="P139" s="131"/>
      <c r="Q139" s="131"/>
      <c r="R139" s="131"/>
      <c r="S139" s="131"/>
      <c r="T139" s="6"/>
      <c r="U139" s="6"/>
      <c r="V139" s="6"/>
      <c r="W139" s="6"/>
      <c r="X139" s="6"/>
      <c r="Y139" s="6"/>
      <c r="Z139" s="6"/>
      <c r="AA139" s="6"/>
      <c r="AB139" s="6"/>
    </row>
    <row r="140" ht="15.75" customHeight="1">
      <c r="A140" s="130"/>
      <c r="B140" s="2"/>
      <c r="C140" s="2"/>
      <c r="D140" s="2"/>
      <c r="E140" s="2"/>
      <c r="F140" s="2"/>
      <c r="G140" s="6"/>
      <c r="H140" s="6"/>
      <c r="I140" s="6"/>
      <c r="J140" s="6"/>
      <c r="K140" s="131"/>
      <c r="L140" s="131"/>
      <c r="M140" s="131"/>
      <c r="N140" s="131"/>
      <c r="O140" s="131"/>
      <c r="P140" s="131"/>
      <c r="Q140" s="131"/>
      <c r="R140" s="131"/>
      <c r="S140" s="131"/>
      <c r="T140" s="6"/>
      <c r="U140" s="6"/>
      <c r="V140" s="6"/>
      <c r="W140" s="6"/>
      <c r="X140" s="6"/>
      <c r="Y140" s="6"/>
      <c r="Z140" s="6"/>
      <c r="AA140" s="6"/>
      <c r="AB140" s="6"/>
    </row>
    <row r="141" ht="15.75" customHeight="1">
      <c r="A141" s="130"/>
      <c r="B141" s="2"/>
      <c r="C141" s="2"/>
      <c r="D141" s="2"/>
      <c r="E141" s="2"/>
      <c r="F141" s="2"/>
      <c r="G141" s="6"/>
      <c r="H141" s="6"/>
      <c r="I141" s="6"/>
      <c r="J141" s="6"/>
      <c r="K141" s="131"/>
      <c r="L141" s="131"/>
      <c r="M141" s="131"/>
      <c r="N141" s="131"/>
      <c r="O141" s="131"/>
      <c r="P141" s="131"/>
      <c r="Q141" s="131"/>
      <c r="R141" s="131"/>
      <c r="S141" s="131"/>
      <c r="T141" s="6"/>
      <c r="U141" s="6"/>
      <c r="V141" s="6"/>
      <c r="W141" s="6"/>
      <c r="X141" s="6"/>
      <c r="Y141" s="6"/>
      <c r="Z141" s="6"/>
      <c r="AA141" s="6"/>
      <c r="AB141" s="6"/>
    </row>
    <row r="142" ht="15.75" customHeight="1">
      <c r="A142" s="130"/>
      <c r="B142" s="2"/>
      <c r="C142" s="2"/>
      <c r="D142" s="2"/>
      <c r="E142" s="2"/>
      <c r="F142" s="2"/>
      <c r="G142" s="6"/>
      <c r="H142" s="6"/>
      <c r="I142" s="6"/>
      <c r="J142" s="6"/>
      <c r="K142" s="131"/>
      <c r="L142" s="131"/>
      <c r="M142" s="131"/>
      <c r="N142" s="131"/>
      <c r="O142" s="131"/>
      <c r="P142" s="131"/>
      <c r="Q142" s="131"/>
      <c r="R142" s="131"/>
      <c r="S142" s="131"/>
      <c r="T142" s="6"/>
      <c r="U142" s="6"/>
      <c r="V142" s="6"/>
      <c r="W142" s="6"/>
      <c r="X142" s="6"/>
      <c r="Y142" s="6"/>
      <c r="Z142" s="6"/>
      <c r="AA142" s="6"/>
      <c r="AB142" s="6"/>
    </row>
    <row r="143" ht="15.75" customHeight="1">
      <c r="A143" s="130"/>
      <c r="B143" s="2"/>
      <c r="C143" s="2"/>
      <c r="D143" s="2"/>
      <c r="E143" s="2"/>
      <c r="F143" s="2"/>
      <c r="G143" s="6"/>
      <c r="H143" s="6"/>
      <c r="I143" s="6"/>
      <c r="J143" s="6"/>
      <c r="K143" s="131"/>
      <c r="L143" s="131"/>
      <c r="M143" s="131"/>
      <c r="N143" s="131"/>
      <c r="O143" s="131"/>
      <c r="P143" s="131"/>
      <c r="Q143" s="131"/>
      <c r="R143" s="131"/>
      <c r="S143" s="131"/>
      <c r="T143" s="6"/>
      <c r="U143" s="6"/>
      <c r="V143" s="6"/>
      <c r="W143" s="6"/>
      <c r="X143" s="6"/>
      <c r="Y143" s="6"/>
      <c r="Z143" s="6"/>
      <c r="AA143" s="6"/>
      <c r="AB143" s="6"/>
    </row>
    <row r="144" ht="15.75" customHeight="1">
      <c r="A144" s="130"/>
      <c r="B144" s="2"/>
      <c r="C144" s="2"/>
      <c r="D144" s="2"/>
      <c r="E144" s="2"/>
      <c r="F144" s="2"/>
      <c r="G144" s="6"/>
      <c r="H144" s="6"/>
      <c r="I144" s="6"/>
      <c r="J144" s="6"/>
      <c r="K144" s="131"/>
      <c r="L144" s="131"/>
      <c r="M144" s="131"/>
      <c r="N144" s="131"/>
      <c r="O144" s="131"/>
      <c r="P144" s="131"/>
      <c r="Q144" s="131"/>
      <c r="R144" s="131"/>
      <c r="S144" s="131"/>
      <c r="T144" s="6"/>
      <c r="U144" s="6"/>
      <c r="V144" s="6"/>
      <c r="W144" s="6"/>
      <c r="X144" s="6"/>
      <c r="Y144" s="6"/>
      <c r="Z144" s="6"/>
      <c r="AA144" s="6"/>
      <c r="AB144" s="6"/>
    </row>
    <row r="145" ht="15.75" customHeight="1">
      <c r="A145" s="130"/>
      <c r="B145" s="2"/>
      <c r="C145" s="2"/>
      <c r="D145" s="2"/>
      <c r="E145" s="2"/>
      <c r="F145" s="2"/>
      <c r="G145" s="6"/>
      <c r="H145" s="6"/>
      <c r="I145" s="6"/>
      <c r="J145" s="6"/>
      <c r="K145" s="131"/>
      <c r="L145" s="131"/>
      <c r="M145" s="131"/>
      <c r="N145" s="131"/>
      <c r="O145" s="131"/>
      <c r="P145" s="131"/>
      <c r="Q145" s="131"/>
      <c r="R145" s="131"/>
      <c r="S145" s="131"/>
      <c r="T145" s="131"/>
      <c r="U145" s="6"/>
      <c r="V145" s="6"/>
      <c r="W145" s="6"/>
      <c r="X145" s="6"/>
      <c r="Y145" s="6"/>
      <c r="Z145" s="6"/>
      <c r="AA145" s="6"/>
      <c r="AB145" s="6"/>
    </row>
    <row r="146" ht="15.75" customHeight="1">
      <c r="A146" s="130"/>
      <c r="B146" s="2"/>
      <c r="C146" s="2"/>
      <c r="D146" s="2"/>
      <c r="E146" s="2"/>
      <c r="F146" s="2"/>
      <c r="G146" s="6"/>
      <c r="H146" s="6"/>
      <c r="I146" s="6"/>
      <c r="J146" s="6"/>
      <c r="K146" s="131"/>
      <c r="L146" s="131"/>
      <c r="M146" s="131"/>
      <c r="N146" s="131"/>
      <c r="O146" s="131"/>
      <c r="P146" s="131"/>
      <c r="Q146" s="131"/>
      <c r="R146" s="131"/>
      <c r="S146" s="131"/>
      <c r="T146" s="131"/>
      <c r="U146" s="6"/>
      <c r="V146" s="6"/>
      <c r="W146" s="6"/>
      <c r="X146" s="6"/>
      <c r="Y146" s="6"/>
      <c r="Z146" s="6"/>
      <c r="AA146" s="6"/>
      <c r="AB146" s="6"/>
    </row>
    <row r="147" ht="15.75" customHeight="1">
      <c r="A147" s="130"/>
      <c r="B147" s="2"/>
      <c r="C147" s="2"/>
      <c r="D147" s="2"/>
      <c r="E147" s="2"/>
      <c r="F147" s="2"/>
      <c r="G147" s="6"/>
      <c r="H147" s="6"/>
      <c r="I147" s="6"/>
      <c r="J147" s="6"/>
      <c r="K147" s="131"/>
      <c r="L147" s="131"/>
      <c r="M147" s="131"/>
      <c r="N147" s="131"/>
      <c r="O147" s="131"/>
      <c r="P147" s="131"/>
      <c r="Q147" s="131"/>
      <c r="R147" s="131"/>
      <c r="S147" s="131"/>
      <c r="T147" s="131"/>
      <c r="U147" s="6"/>
      <c r="V147" s="6"/>
      <c r="W147" s="6"/>
      <c r="X147" s="6"/>
      <c r="Y147" s="6"/>
      <c r="Z147" s="6"/>
      <c r="AA147" s="6"/>
      <c r="AB147" s="6"/>
    </row>
    <row r="148" ht="15.75" customHeight="1">
      <c r="A148" s="130"/>
      <c r="B148" s="2"/>
      <c r="C148" s="2"/>
      <c r="D148" s="2"/>
      <c r="E148" s="2"/>
      <c r="F148" s="2"/>
      <c r="G148" s="6"/>
      <c r="H148" s="6"/>
      <c r="I148" s="6"/>
      <c r="J148" s="6"/>
      <c r="K148" s="131"/>
      <c r="L148" s="131"/>
      <c r="M148" s="131"/>
      <c r="N148" s="131"/>
      <c r="O148" s="131"/>
      <c r="P148" s="131"/>
      <c r="Q148" s="131"/>
      <c r="R148" s="131"/>
      <c r="S148" s="131"/>
      <c r="T148" s="131"/>
      <c r="U148" s="6"/>
      <c r="V148" s="6"/>
      <c r="W148" s="6"/>
      <c r="X148" s="6"/>
      <c r="Y148" s="6"/>
      <c r="Z148" s="6"/>
      <c r="AA148" s="6"/>
      <c r="AB148" s="6"/>
    </row>
    <row r="149" ht="15.75" customHeight="1">
      <c r="A149" s="130"/>
      <c r="B149" s="2"/>
      <c r="C149" s="2"/>
      <c r="D149" s="2"/>
      <c r="E149" s="2"/>
      <c r="F149" s="2"/>
      <c r="G149" s="6"/>
      <c r="H149" s="6"/>
      <c r="I149" s="6"/>
      <c r="J149" s="6"/>
      <c r="K149" s="131"/>
      <c r="L149" s="131"/>
      <c r="M149" s="131"/>
      <c r="N149" s="131"/>
      <c r="O149" s="131"/>
      <c r="P149" s="131"/>
      <c r="Q149" s="131"/>
      <c r="R149" s="131"/>
      <c r="S149" s="131"/>
      <c r="T149" s="131"/>
      <c r="U149" s="6"/>
      <c r="V149" s="6"/>
      <c r="W149" s="6"/>
      <c r="X149" s="6"/>
      <c r="Y149" s="6"/>
      <c r="Z149" s="6"/>
      <c r="AA149" s="6"/>
      <c r="AB149" s="6"/>
    </row>
    <row r="150" ht="15.75" customHeight="1">
      <c r="A150" s="130"/>
      <c r="B150" s="2"/>
      <c r="C150" s="2"/>
      <c r="D150" s="2"/>
      <c r="E150" s="2"/>
      <c r="F150" s="2"/>
      <c r="G150" s="6"/>
      <c r="H150" s="6"/>
      <c r="I150" s="6"/>
      <c r="J150" s="6"/>
      <c r="K150" s="131"/>
      <c r="L150" s="131"/>
      <c r="M150" s="131"/>
      <c r="N150" s="131"/>
      <c r="O150" s="131"/>
      <c r="P150" s="131"/>
      <c r="Q150" s="131"/>
      <c r="R150" s="131"/>
      <c r="S150" s="131"/>
      <c r="T150" s="131"/>
      <c r="U150" s="6"/>
      <c r="V150" s="6"/>
      <c r="W150" s="6"/>
      <c r="X150" s="6"/>
      <c r="Y150" s="6"/>
      <c r="Z150" s="6"/>
      <c r="AA150" s="6"/>
      <c r="AB150" s="6"/>
    </row>
    <row r="151" ht="15.75" customHeight="1">
      <c r="A151" s="130"/>
      <c r="B151" s="2"/>
      <c r="C151" s="2"/>
      <c r="D151" s="2"/>
      <c r="E151" s="2"/>
      <c r="F151" s="2"/>
      <c r="G151" s="6"/>
      <c r="H151" s="6"/>
      <c r="I151" s="6"/>
      <c r="J151" s="6"/>
      <c r="K151" s="131"/>
      <c r="L151" s="131"/>
      <c r="M151" s="131"/>
      <c r="N151" s="131"/>
      <c r="O151" s="131"/>
      <c r="P151" s="131"/>
      <c r="Q151" s="131"/>
      <c r="R151" s="131"/>
      <c r="S151" s="131"/>
      <c r="T151" s="131"/>
      <c r="U151" s="6"/>
      <c r="V151" s="6"/>
      <c r="W151" s="6"/>
      <c r="X151" s="6"/>
      <c r="Y151" s="6"/>
      <c r="Z151" s="6"/>
      <c r="AA151" s="6"/>
      <c r="AB151" s="6"/>
    </row>
    <row r="152" ht="15.75" customHeight="1">
      <c r="A152" s="130"/>
      <c r="B152" s="2"/>
      <c r="C152" s="2"/>
      <c r="D152" s="2"/>
      <c r="E152" s="2"/>
      <c r="F152" s="2"/>
      <c r="G152" s="6"/>
      <c r="H152" s="6"/>
      <c r="I152" s="6"/>
      <c r="J152" s="6"/>
      <c r="K152" s="131"/>
      <c r="L152" s="131"/>
      <c r="M152" s="131"/>
      <c r="N152" s="131"/>
      <c r="O152" s="131"/>
      <c r="P152" s="131"/>
      <c r="Q152" s="131"/>
      <c r="R152" s="131"/>
      <c r="S152" s="131"/>
      <c r="T152" s="131"/>
      <c r="U152" s="6"/>
      <c r="V152" s="6"/>
      <c r="W152" s="6"/>
      <c r="X152" s="6"/>
      <c r="Y152" s="6"/>
      <c r="Z152" s="6"/>
      <c r="AA152" s="6"/>
      <c r="AB152" s="6"/>
    </row>
    <row r="153" ht="15.75" customHeight="1">
      <c r="A153" s="130"/>
      <c r="B153" s="2"/>
      <c r="C153" s="2"/>
      <c r="D153" s="2"/>
      <c r="E153" s="2"/>
      <c r="F153" s="2"/>
      <c r="G153" s="6"/>
      <c r="H153" s="6"/>
      <c r="I153" s="6"/>
      <c r="J153" s="6"/>
      <c r="K153" s="131"/>
      <c r="L153" s="131"/>
      <c r="M153" s="131"/>
      <c r="N153" s="131"/>
      <c r="O153" s="131"/>
      <c r="P153" s="131"/>
      <c r="Q153" s="131"/>
      <c r="R153" s="131"/>
      <c r="S153" s="131"/>
      <c r="T153" s="131"/>
      <c r="U153" s="6"/>
      <c r="V153" s="6"/>
      <c r="W153" s="6"/>
      <c r="X153" s="6"/>
      <c r="Y153" s="6"/>
      <c r="Z153" s="6"/>
      <c r="AA153" s="6"/>
      <c r="AB153" s="6"/>
    </row>
    <row r="154" ht="15.75" customHeight="1">
      <c r="A154" s="130"/>
      <c r="B154" s="2"/>
      <c r="C154" s="2"/>
      <c r="D154" s="2"/>
      <c r="E154" s="2"/>
      <c r="F154" s="2"/>
      <c r="G154" s="6"/>
      <c r="H154" s="6"/>
      <c r="I154" s="6"/>
      <c r="J154" s="6"/>
      <c r="K154" s="131"/>
      <c r="L154" s="131"/>
      <c r="M154" s="131"/>
      <c r="N154" s="131"/>
      <c r="O154" s="131"/>
      <c r="P154" s="131"/>
      <c r="Q154" s="131"/>
      <c r="R154" s="131"/>
      <c r="S154" s="131"/>
      <c r="T154" s="131"/>
      <c r="U154" s="6"/>
      <c r="V154" s="6"/>
      <c r="W154" s="6"/>
      <c r="X154" s="6"/>
      <c r="Y154" s="6"/>
      <c r="Z154" s="6"/>
      <c r="AA154" s="6"/>
      <c r="AB154" s="6"/>
    </row>
    <row r="155" ht="15.75" customHeight="1">
      <c r="A155" s="130"/>
      <c r="B155" s="2"/>
      <c r="C155" s="2"/>
      <c r="D155" s="2"/>
      <c r="E155" s="2"/>
      <c r="F155" s="2"/>
      <c r="G155" s="6"/>
      <c r="H155" s="6"/>
      <c r="I155" s="6"/>
      <c r="J155" s="6"/>
      <c r="K155" s="131"/>
      <c r="L155" s="131"/>
      <c r="M155" s="131"/>
      <c r="N155" s="131"/>
      <c r="O155" s="131"/>
      <c r="P155" s="131"/>
      <c r="Q155" s="131"/>
      <c r="R155" s="131"/>
      <c r="S155" s="131"/>
      <c r="T155" s="131"/>
      <c r="U155" s="6"/>
      <c r="V155" s="6"/>
      <c r="W155" s="6"/>
      <c r="X155" s="6"/>
      <c r="Y155" s="6"/>
      <c r="Z155" s="6"/>
      <c r="AA155" s="6"/>
      <c r="AB155" s="6"/>
    </row>
    <row r="156" ht="15.75" customHeight="1">
      <c r="A156" s="130"/>
      <c r="B156" s="2"/>
      <c r="C156" s="2"/>
      <c r="D156" s="2"/>
      <c r="E156" s="2"/>
      <c r="F156" s="2"/>
      <c r="G156" s="6"/>
      <c r="H156" s="6"/>
      <c r="I156" s="6"/>
      <c r="J156" s="6"/>
      <c r="K156" s="131"/>
      <c r="L156" s="131"/>
      <c r="M156" s="131"/>
      <c r="N156" s="131"/>
      <c r="O156" s="131"/>
      <c r="P156" s="131"/>
      <c r="Q156" s="131"/>
      <c r="R156" s="131"/>
      <c r="S156" s="131"/>
      <c r="T156" s="131"/>
      <c r="U156" s="6"/>
      <c r="V156" s="6"/>
      <c r="W156" s="6"/>
      <c r="X156" s="6"/>
      <c r="Y156" s="6"/>
      <c r="Z156" s="6"/>
      <c r="AA156" s="6"/>
      <c r="AB156" s="6"/>
    </row>
    <row r="157" ht="15.75" customHeight="1">
      <c r="A157" s="130"/>
      <c r="B157" s="2"/>
      <c r="C157" s="2"/>
      <c r="D157" s="2"/>
      <c r="E157" s="2"/>
      <c r="F157" s="2"/>
      <c r="G157" s="6"/>
      <c r="H157" s="6"/>
      <c r="I157" s="6"/>
      <c r="J157" s="6"/>
      <c r="K157" s="131"/>
      <c r="L157" s="131"/>
      <c r="M157" s="131"/>
      <c r="N157" s="131"/>
      <c r="O157" s="131"/>
      <c r="P157" s="131"/>
      <c r="Q157" s="131"/>
      <c r="R157" s="131"/>
      <c r="S157" s="131"/>
      <c r="T157" s="131"/>
      <c r="U157" s="6"/>
      <c r="V157" s="6"/>
      <c r="W157" s="6"/>
      <c r="X157" s="6"/>
      <c r="Y157" s="6"/>
      <c r="Z157" s="6"/>
      <c r="AA157" s="6"/>
      <c r="AB157" s="6"/>
    </row>
    <row r="158" ht="15.75" customHeight="1">
      <c r="A158" s="130"/>
      <c r="B158" s="2"/>
      <c r="C158" s="2"/>
      <c r="D158" s="2"/>
      <c r="E158" s="2"/>
      <c r="F158" s="2"/>
      <c r="G158" s="6"/>
      <c r="H158" s="6"/>
      <c r="I158" s="6"/>
      <c r="J158" s="6"/>
      <c r="K158" s="131"/>
      <c r="L158" s="131"/>
      <c r="M158" s="131"/>
      <c r="N158" s="131"/>
      <c r="O158" s="131"/>
      <c r="P158" s="131"/>
      <c r="Q158" s="131"/>
      <c r="R158" s="131"/>
      <c r="S158" s="131"/>
      <c r="T158" s="131"/>
      <c r="U158" s="6"/>
      <c r="V158" s="6"/>
      <c r="W158" s="6"/>
      <c r="X158" s="6"/>
      <c r="Y158" s="6"/>
      <c r="Z158" s="6"/>
      <c r="AA158" s="6"/>
      <c r="AB158" s="6"/>
    </row>
    <row r="159" ht="15.75" customHeight="1">
      <c r="A159" s="130"/>
      <c r="B159" s="2"/>
      <c r="C159" s="2"/>
      <c r="D159" s="2"/>
      <c r="E159" s="2"/>
      <c r="F159" s="2"/>
      <c r="G159" s="6"/>
      <c r="H159" s="6"/>
      <c r="I159" s="6"/>
      <c r="J159" s="6"/>
      <c r="K159" s="131"/>
      <c r="L159" s="131"/>
      <c r="M159" s="131"/>
      <c r="N159" s="131"/>
      <c r="O159" s="131"/>
      <c r="P159" s="131"/>
      <c r="Q159" s="131"/>
      <c r="R159" s="131"/>
      <c r="S159" s="131"/>
      <c r="T159" s="131"/>
      <c r="U159" s="6"/>
      <c r="V159" s="6"/>
      <c r="W159" s="6"/>
      <c r="X159" s="6"/>
      <c r="Y159" s="6"/>
      <c r="Z159" s="6"/>
      <c r="AA159" s="6"/>
      <c r="AB159" s="6"/>
    </row>
    <row r="160" ht="15.75" customHeight="1">
      <c r="A160" s="130"/>
      <c r="B160" s="2"/>
      <c r="C160" s="2"/>
      <c r="D160" s="2"/>
      <c r="E160" s="2"/>
      <c r="F160" s="2"/>
      <c r="G160" s="6"/>
      <c r="H160" s="6"/>
      <c r="I160" s="6"/>
      <c r="J160" s="6"/>
      <c r="K160" s="131"/>
      <c r="L160" s="131"/>
      <c r="M160" s="131"/>
      <c r="N160" s="131"/>
      <c r="O160" s="131"/>
      <c r="P160" s="131"/>
      <c r="Q160" s="131"/>
      <c r="R160" s="131"/>
      <c r="S160" s="131"/>
      <c r="T160" s="131"/>
      <c r="U160" s="6"/>
      <c r="V160" s="6"/>
      <c r="W160" s="6"/>
      <c r="X160" s="6"/>
      <c r="Y160" s="6"/>
      <c r="Z160" s="6"/>
      <c r="AA160" s="6"/>
      <c r="AB160" s="6"/>
    </row>
    <row r="161" ht="15.75" customHeight="1">
      <c r="A161" s="130"/>
      <c r="B161" s="2"/>
      <c r="C161" s="2"/>
      <c r="D161" s="2"/>
      <c r="E161" s="2"/>
      <c r="F161" s="2"/>
      <c r="G161" s="6"/>
      <c r="H161" s="6"/>
      <c r="I161" s="6"/>
      <c r="J161" s="6"/>
      <c r="K161" s="131"/>
      <c r="L161" s="131"/>
      <c r="M161" s="131"/>
      <c r="N161" s="131"/>
      <c r="O161" s="131"/>
      <c r="P161" s="131"/>
      <c r="Q161" s="131"/>
      <c r="R161" s="131"/>
      <c r="S161" s="131"/>
      <c r="T161" s="131"/>
      <c r="U161" s="6"/>
      <c r="V161" s="6"/>
      <c r="W161" s="6"/>
      <c r="X161" s="6"/>
      <c r="Y161" s="6"/>
      <c r="Z161" s="6"/>
      <c r="AA161" s="6"/>
      <c r="AB161" s="6"/>
    </row>
    <row r="162" ht="15.75" customHeight="1">
      <c r="A162" s="130"/>
      <c r="B162" s="2"/>
      <c r="C162" s="2"/>
      <c r="D162" s="2"/>
      <c r="E162" s="2"/>
      <c r="F162" s="2"/>
      <c r="G162" s="6"/>
      <c r="H162" s="6"/>
      <c r="I162" s="6"/>
      <c r="J162" s="6"/>
      <c r="K162" s="131"/>
      <c r="L162" s="131"/>
      <c r="M162" s="131"/>
      <c r="N162" s="131"/>
      <c r="O162" s="131"/>
      <c r="P162" s="131"/>
      <c r="Q162" s="131"/>
      <c r="R162" s="131"/>
      <c r="S162" s="131"/>
      <c r="T162" s="131"/>
      <c r="U162" s="6"/>
      <c r="V162" s="6"/>
      <c r="W162" s="6"/>
      <c r="X162" s="6"/>
      <c r="Y162" s="6"/>
      <c r="Z162" s="6"/>
      <c r="AA162" s="6"/>
      <c r="AB162" s="6"/>
    </row>
    <row r="163" ht="15.75" customHeight="1">
      <c r="A163" s="130"/>
      <c r="B163" s="2"/>
      <c r="C163" s="2"/>
      <c r="D163" s="2"/>
      <c r="E163" s="2"/>
      <c r="F163" s="2"/>
      <c r="G163" s="6"/>
      <c r="H163" s="6"/>
      <c r="I163" s="6"/>
      <c r="J163" s="6"/>
      <c r="K163" s="131"/>
      <c r="L163" s="131"/>
      <c r="M163" s="131"/>
      <c r="N163" s="131"/>
      <c r="O163" s="131"/>
      <c r="P163" s="131"/>
      <c r="Q163" s="131"/>
      <c r="R163" s="131"/>
      <c r="S163" s="131"/>
      <c r="T163" s="131"/>
      <c r="U163" s="6"/>
      <c r="V163" s="6"/>
      <c r="W163" s="6"/>
      <c r="X163" s="6"/>
      <c r="Y163" s="6"/>
      <c r="Z163" s="6"/>
      <c r="AA163" s="6"/>
      <c r="AB163" s="6"/>
    </row>
    <row r="164" ht="15.75" customHeight="1">
      <c r="A164" s="130"/>
      <c r="B164" s="2"/>
      <c r="C164" s="2"/>
      <c r="D164" s="2"/>
      <c r="E164" s="2"/>
      <c r="F164" s="2"/>
      <c r="G164" s="6"/>
      <c r="H164" s="6"/>
      <c r="I164" s="6"/>
      <c r="J164" s="6"/>
      <c r="K164" s="131"/>
      <c r="L164" s="131"/>
      <c r="M164" s="131"/>
      <c r="N164" s="131"/>
      <c r="O164" s="131"/>
      <c r="P164" s="131"/>
      <c r="Q164" s="131"/>
      <c r="R164" s="131"/>
      <c r="S164" s="131"/>
      <c r="T164" s="131"/>
      <c r="U164" s="6"/>
      <c r="V164" s="6"/>
      <c r="W164" s="6"/>
      <c r="X164" s="6"/>
      <c r="Y164" s="6"/>
      <c r="Z164" s="6"/>
      <c r="AA164" s="6"/>
      <c r="AB164" s="6"/>
    </row>
    <row r="165" ht="15.75" customHeight="1">
      <c r="A165" s="130"/>
      <c r="B165" s="2"/>
      <c r="C165" s="2"/>
      <c r="D165" s="2"/>
      <c r="E165" s="2"/>
      <c r="F165" s="2"/>
      <c r="G165" s="6"/>
      <c r="H165" s="6"/>
      <c r="I165" s="6"/>
      <c r="J165" s="6"/>
      <c r="K165" s="131"/>
      <c r="L165" s="131"/>
      <c r="M165" s="131"/>
      <c r="N165" s="131"/>
      <c r="O165" s="131"/>
      <c r="P165" s="131"/>
      <c r="Q165" s="131"/>
      <c r="R165" s="131"/>
      <c r="S165" s="131"/>
      <c r="T165" s="131"/>
      <c r="U165" s="6"/>
      <c r="V165" s="6"/>
      <c r="W165" s="6"/>
      <c r="X165" s="6"/>
      <c r="Y165" s="6"/>
      <c r="Z165" s="6"/>
      <c r="AA165" s="6"/>
      <c r="AB165" s="6"/>
    </row>
    <row r="166" ht="15.75" customHeight="1">
      <c r="A166" s="130"/>
      <c r="B166" s="2"/>
      <c r="C166" s="2"/>
      <c r="D166" s="2"/>
      <c r="E166" s="2"/>
      <c r="F166" s="2"/>
      <c r="G166" s="6"/>
      <c r="H166" s="6"/>
      <c r="I166" s="6"/>
      <c r="J166" s="6"/>
      <c r="K166" s="131"/>
      <c r="L166" s="131"/>
      <c r="M166" s="131"/>
      <c r="N166" s="131"/>
      <c r="O166" s="131"/>
      <c r="P166" s="131"/>
      <c r="Q166" s="131"/>
      <c r="R166" s="131"/>
      <c r="S166" s="131"/>
      <c r="T166" s="131"/>
      <c r="U166" s="6"/>
      <c r="V166" s="6"/>
      <c r="W166" s="6"/>
      <c r="X166" s="6"/>
      <c r="Y166" s="6"/>
      <c r="Z166" s="6"/>
      <c r="AA166" s="6"/>
      <c r="AB166" s="6"/>
    </row>
    <row r="167" ht="15.75" customHeight="1">
      <c r="A167" s="130"/>
      <c r="B167" s="2"/>
      <c r="C167" s="2"/>
      <c r="D167" s="2"/>
      <c r="E167" s="2"/>
      <c r="F167" s="2"/>
      <c r="G167" s="6"/>
      <c r="H167" s="6"/>
      <c r="I167" s="6"/>
      <c r="J167" s="6"/>
      <c r="K167" s="131"/>
      <c r="L167" s="131"/>
      <c r="M167" s="131"/>
      <c r="N167" s="131"/>
      <c r="O167" s="131"/>
      <c r="P167" s="131"/>
      <c r="Q167" s="131"/>
      <c r="R167" s="131"/>
      <c r="S167" s="131"/>
      <c r="T167" s="131"/>
      <c r="U167" s="6"/>
      <c r="V167" s="6"/>
      <c r="W167" s="6"/>
      <c r="X167" s="6"/>
      <c r="Y167" s="6"/>
      <c r="Z167" s="6"/>
      <c r="AA167" s="6"/>
      <c r="AB167" s="6"/>
    </row>
    <row r="168" ht="15.75" customHeight="1">
      <c r="A168" s="130"/>
      <c r="B168" s="2"/>
      <c r="C168" s="2"/>
      <c r="D168" s="2"/>
      <c r="E168" s="2"/>
      <c r="F168" s="2"/>
      <c r="G168" s="6"/>
      <c r="H168" s="6"/>
      <c r="I168" s="6"/>
      <c r="J168" s="6"/>
      <c r="K168" s="131"/>
      <c r="L168" s="131"/>
      <c r="M168" s="131"/>
      <c r="N168" s="131"/>
      <c r="O168" s="131"/>
      <c r="P168" s="131"/>
      <c r="Q168" s="131"/>
      <c r="R168" s="131"/>
      <c r="S168" s="131"/>
      <c r="T168" s="131"/>
      <c r="U168" s="6"/>
      <c r="V168" s="6"/>
      <c r="W168" s="6"/>
      <c r="X168" s="6"/>
      <c r="Y168" s="6"/>
      <c r="Z168" s="6"/>
      <c r="AA168" s="6"/>
      <c r="AB168" s="6"/>
    </row>
    <row r="169" ht="15.75" customHeight="1">
      <c r="A169" s="130"/>
      <c r="B169" s="2"/>
      <c r="C169" s="2"/>
      <c r="D169" s="2"/>
      <c r="E169" s="2"/>
      <c r="F169" s="2"/>
      <c r="G169" s="6"/>
      <c r="H169" s="6"/>
      <c r="I169" s="6"/>
      <c r="J169" s="6"/>
      <c r="K169" s="131"/>
      <c r="L169" s="131"/>
      <c r="M169" s="131"/>
      <c r="N169" s="131"/>
      <c r="O169" s="131"/>
      <c r="P169" s="131"/>
      <c r="Q169" s="131"/>
      <c r="R169" s="131"/>
      <c r="S169" s="131"/>
      <c r="T169" s="131"/>
      <c r="U169" s="6"/>
      <c r="V169" s="6"/>
      <c r="W169" s="6"/>
      <c r="X169" s="6"/>
      <c r="Y169" s="6"/>
      <c r="Z169" s="6"/>
      <c r="AA169" s="6"/>
      <c r="AB169" s="6"/>
    </row>
    <row r="170" ht="15.75" customHeight="1">
      <c r="A170" s="130"/>
      <c r="B170" s="2"/>
      <c r="C170" s="2"/>
      <c r="D170" s="2"/>
      <c r="E170" s="2"/>
      <c r="F170" s="2"/>
      <c r="G170" s="6"/>
      <c r="H170" s="6"/>
      <c r="I170" s="6"/>
      <c r="J170" s="6"/>
      <c r="K170" s="131"/>
      <c r="L170" s="131"/>
      <c r="M170" s="131"/>
      <c r="N170" s="131"/>
      <c r="O170" s="131"/>
      <c r="P170" s="131"/>
      <c r="Q170" s="131"/>
      <c r="R170" s="131"/>
      <c r="S170" s="131"/>
      <c r="T170" s="131"/>
      <c r="U170" s="6"/>
      <c r="V170" s="6"/>
      <c r="W170" s="6"/>
      <c r="X170" s="6"/>
      <c r="Y170" s="6"/>
      <c r="Z170" s="6"/>
      <c r="AA170" s="6"/>
      <c r="AB170" s="6"/>
    </row>
    <row r="171" ht="15.75" customHeight="1">
      <c r="A171" s="130"/>
      <c r="B171" s="2"/>
      <c r="C171" s="2"/>
      <c r="D171" s="2"/>
      <c r="E171" s="2"/>
      <c r="F171" s="2"/>
      <c r="G171" s="6"/>
      <c r="H171" s="6"/>
      <c r="I171" s="6"/>
      <c r="J171" s="6"/>
      <c r="K171" s="131"/>
      <c r="L171" s="131"/>
      <c r="M171" s="131"/>
      <c r="N171" s="131"/>
      <c r="O171" s="131"/>
      <c r="P171" s="131"/>
      <c r="Q171" s="131"/>
      <c r="R171" s="131"/>
      <c r="S171" s="131"/>
      <c r="T171" s="131"/>
      <c r="U171" s="6"/>
      <c r="V171" s="6"/>
      <c r="W171" s="6"/>
      <c r="X171" s="6"/>
      <c r="Y171" s="6"/>
      <c r="Z171" s="6"/>
      <c r="AA171" s="6"/>
      <c r="AB171" s="6"/>
    </row>
    <row r="172" ht="15.75" customHeight="1">
      <c r="A172" s="130"/>
      <c r="B172" s="2"/>
      <c r="C172" s="2"/>
      <c r="D172" s="2"/>
      <c r="E172" s="2"/>
      <c r="F172" s="2"/>
      <c r="G172" s="6"/>
      <c r="H172" s="6"/>
      <c r="I172" s="6"/>
      <c r="J172" s="6"/>
      <c r="K172" s="131"/>
      <c r="L172" s="131"/>
      <c r="M172" s="131"/>
      <c r="N172" s="131"/>
      <c r="O172" s="131"/>
      <c r="P172" s="131"/>
      <c r="Q172" s="131"/>
      <c r="R172" s="131"/>
      <c r="S172" s="131"/>
      <c r="T172" s="131"/>
      <c r="U172" s="6"/>
      <c r="V172" s="6"/>
      <c r="W172" s="6"/>
      <c r="X172" s="6"/>
      <c r="Y172" s="6"/>
      <c r="Z172" s="6"/>
      <c r="AA172" s="6"/>
      <c r="AB172" s="6"/>
    </row>
    <row r="173" ht="15.75" customHeight="1">
      <c r="A173" s="130"/>
      <c r="B173" s="2"/>
      <c r="C173" s="2"/>
      <c r="D173" s="2"/>
      <c r="E173" s="2"/>
      <c r="F173" s="2"/>
      <c r="G173" s="6"/>
      <c r="H173" s="6"/>
      <c r="I173" s="6"/>
      <c r="J173" s="6"/>
      <c r="K173" s="131"/>
      <c r="L173" s="131"/>
      <c r="M173" s="131"/>
      <c r="N173" s="131"/>
      <c r="O173" s="131"/>
      <c r="P173" s="131"/>
      <c r="Q173" s="131"/>
      <c r="R173" s="131"/>
      <c r="S173" s="131"/>
      <c r="T173" s="131"/>
      <c r="U173" s="6"/>
      <c r="V173" s="6"/>
      <c r="W173" s="6"/>
      <c r="X173" s="6"/>
      <c r="Y173" s="6"/>
      <c r="Z173" s="6"/>
      <c r="AA173" s="6"/>
      <c r="AB173" s="6"/>
    </row>
    <row r="174" ht="15.75" customHeight="1">
      <c r="A174" s="130"/>
      <c r="B174" s="2"/>
      <c r="C174" s="2"/>
      <c r="D174" s="2"/>
      <c r="E174" s="2"/>
      <c r="F174" s="2"/>
      <c r="G174" s="6"/>
      <c r="H174" s="6"/>
      <c r="I174" s="6"/>
      <c r="J174" s="6"/>
      <c r="K174" s="131"/>
      <c r="L174" s="131"/>
      <c r="M174" s="131"/>
      <c r="N174" s="131"/>
      <c r="O174" s="131"/>
      <c r="P174" s="131"/>
      <c r="Q174" s="131"/>
      <c r="R174" s="131"/>
      <c r="S174" s="131"/>
      <c r="T174" s="131"/>
      <c r="U174" s="6"/>
      <c r="V174" s="6"/>
      <c r="W174" s="6"/>
      <c r="X174" s="6"/>
      <c r="Y174" s="6"/>
      <c r="Z174" s="6"/>
      <c r="AA174" s="6"/>
      <c r="AB174" s="6"/>
    </row>
    <row r="175" ht="15.75" customHeight="1">
      <c r="A175" s="130"/>
      <c r="B175" s="2"/>
      <c r="C175" s="2"/>
      <c r="D175" s="2"/>
      <c r="E175" s="2"/>
      <c r="F175" s="2"/>
      <c r="G175" s="6"/>
      <c r="H175" s="6"/>
      <c r="I175" s="6"/>
      <c r="J175" s="6"/>
      <c r="K175" s="131"/>
      <c r="L175" s="131"/>
      <c r="M175" s="131"/>
      <c r="N175" s="131"/>
      <c r="O175" s="131"/>
      <c r="P175" s="131"/>
      <c r="Q175" s="131"/>
      <c r="R175" s="131"/>
      <c r="S175" s="131"/>
      <c r="T175" s="131"/>
      <c r="U175" s="6"/>
      <c r="V175" s="6"/>
      <c r="W175" s="6"/>
      <c r="X175" s="6"/>
      <c r="Y175" s="6"/>
      <c r="Z175" s="6"/>
      <c r="AA175" s="6"/>
      <c r="AB175" s="6"/>
    </row>
    <row r="176" ht="15.75" customHeight="1">
      <c r="A176" s="130"/>
      <c r="B176" s="2"/>
      <c r="C176" s="2"/>
      <c r="D176" s="2"/>
      <c r="E176" s="2"/>
      <c r="F176" s="2"/>
      <c r="G176" s="6"/>
      <c r="H176" s="6"/>
      <c r="I176" s="6"/>
      <c r="J176" s="6"/>
      <c r="K176" s="131"/>
      <c r="L176" s="131"/>
      <c r="M176" s="131"/>
      <c r="N176" s="131"/>
      <c r="O176" s="131"/>
      <c r="P176" s="131"/>
      <c r="Q176" s="131"/>
      <c r="R176" s="131"/>
      <c r="S176" s="131"/>
      <c r="T176" s="131"/>
      <c r="U176" s="6"/>
      <c r="V176" s="6"/>
      <c r="W176" s="6"/>
      <c r="X176" s="6"/>
      <c r="Y176" s="6"/>
      <c r="Z176" s="6"/>
      <c r="AA176" s="6"/>
      <c r="AB176" s="6"/>
    </row>
    <row r="177" ht="15.75" customHeight="1">
      <c r="A177" s="130"/>
      <c r="B177" s="2"/>
      <c r="C177" s="2"/>
      <c r="D177" s="2"/>
      <c r="E177" s="2"/>
      <c r="F177" s="2"/>
      <c r="G177" s="6"/>
      <c r="H177" s="6"/>
      <c r="I177" s="6"/>
      <c r="J177" s="6"/>
      <c r="K177" s="131"/>
      <c r="L177" s="131"/>
      <c r="M177" s="131"/>
      <c r="N177" s="131"/>
      <c r="O177" s="131"/>
      <c r="P177" s="131"/>
      <c r="Q177" s="131"/>
      <c r="R177" s="131"/>
      <c r="S177" s="131"/>
      <c r="T177" s="131"/>
      <c r="U177" s="6"/>
      <c r="V177" s="6"/>
      <c r="W177" s="6"/>
      <c r="X177" s="6"/>
      <c r="Y177" s="6"/>
      <c r="Z177" s="6"/>
      <c r="AA177" s="6"/>
      <c r="AB177" s="6"/>
    </row>
    <row r="178" ht="15.75" customHeight="1">
      <c r="A178" s="130"/>
      <c r="B178" s="2"/>
      <c r="C178" s="2"/>
      <c r="D178" s="2"/>
      <c r="E178" s="2"/>
      <c r="F178" s="2"/>
      <c r="G178" s="6"/>
      <c r="H178" s="6"/>
      <c r="I178" s="6"/>
      <c r="J178" s="6"/>
      <c r="K178" s="131"/>
      <c r="L178" s="131"/>
      <c r="M178" s="131"/>
      <c r="N178" s="131"/>
      <c r="O178" s="131"/>
      <c r="P178" s="131"/>
      <c r="Q178" s="131"/>
      <c r="R178" s="131"/>
      <c r="S178" s="131"/>
      <c r="T178" s="131"/>
      <c r="U178" s="6"/>
      <c r="V178" s="6"/>
      <c r="W178" s="6"/>
      <c r="X178" s="6"/>
      <c r="Y178" s="6"/>
      <c r="Z178" s="6"/>
      <c r="AA178" s="6"/>
      <c r="AB178" s="6"/>
    </row>
    <row r="179" ht="15.75" customHeight="1">
      <c r="A179" s="130"/>
      <c r="B179" s="2"/>
      <c r="C179" s="2"/>
      <c r="D179" s="2"/>
      <c r="E179" s="2"/>
      <c r="F179" s="2"/>
      <c r="G179" s="6"/>
      <c r="H179" s="6"/>
      <c r="I179" s="6"/>
      <c r="J179" s="6"/>
      <c r="K179" s="131"/>
      <c r="L179" s="131"/>
      <c r="M179" s="131"/>
      <c r="N179" s="131"/>
      <c r="O179" s="131"/>
      <c r="P179" s="131"/>
      <c r="Q179" s="131"/>
      <c r="R179" s="131"/>
      <c r="S179" s="131"/>
      <c r="T179" s="131"/>
      <c r="U179" s="6"/>
      <c r="V179" s="6"/>
      <c r="W179" s="6"/>
      <c r="X179" s="6"/>
      <c r="Y179" s="6"/>
      <c r="Z179" s="6"/>
      <c r="AA179" s="6"/>
      <c r="AB179" s="6"/>
    </row>
    <row r="180" ht="15.75" customHeight="1">
      <c r="A180" s="130"/>
      <c r="B180" s="2"/>
      <c r="C180" s="2"/>
      <c r="D180" s="2"/>
      <c r="E180" s="2"/>
      <c r="F180" s="2"/>
      <c r="G180" s="6"/>
      <c r="H180" s="6"/>
      <c r="I180" s="6"/>
      <c r="J180" s="6"/>
      <c r="K180" s="131"/>
      <c r="L180" s="131"/>
      <c r="M180" s="131"/>
      <c r="N180" s="131"/>
      <c r="O180" s="131"/>
      <c r="P180" s="131"/>
      <c r="Q180" s="131"/>
      <c r="R180" s="131"/>
      <c r="S180" s="131"/>
      <c r="T180" s="131"/>
      <c r="U180" s="6"/>
      <c r="V180" s="6"/>
      <c r="W180" s="6"/>
      <c r="X180" s="6"/>
      <c r="Y180" s="6"/>
      <c r="Z180" s="6"/>
      <c r="AA180" s="6"/>
      <c r="AB180" s="6"/>
    </row>
    <row r="181" ht="15.75" customHeight="1">
      <c r="A181" s="130"/>
      <c r="B181" s="2"/>
      <c r="C181" s="2"/>
      <c r="D181" s="2"/>
      <c r="E181" s="2"/>
      <c r="F181" s="2"/>
      <c r="G181" s="6"/>
      <c r="H181" s="6"/>
      <c r="I181" s="6"/>
      <c r="J181" s="6"/>
      <c r="K181" s="131"/>
      <c r="L181" s="131"/>
      <c r="M181" s="131"/>
      <c r="N181" s="131"/>
      <c r="O181" s="131"/>
      <c r="P181" s="131"/>
      <c r="Q181" s="131"/>
      <c r="R181" s="131"/>
      <c r="S181" s="131"/>
      <c r="T181" s="131"/>
      <c r="U181" s="6"/>
      <c r="V181" s="6"/>
      <c r="W181" s="6"/>
      <c r="X181" s="6"/>
      <c r="Y181" s="6"/>
      <c r="Z181" s="6"/>
      <c r="AA181" s="6"/>
      <c r="AB181" s="6"/>
    </row>
    <row r="182" ht="15.75" customHeight="1">
      <c r="A182" s="130"/>
      <c r="B182" s="2"/>
      <c r="C182" s="2"/>
      <c r="D182" s="2"/>
      <c r="E182" s="2"/>
      <c r="F182" s="2"/>
      <c r="G182" s="6"/>
      <c r="H182" s="6"/>
      <c r="I182" s="6"/>
      <c r="J182" s="6"/>
      <c r="K182" s="131"/>
      <c r="L182" s="131"/>
      <c r="M182" s="131"/>
      <c r="N182" s="131"/>
      <c r="O182" s="131"/>
      <c r="P182" s="131"/>
      <c r="Q182" s="131"/>
      <c r="R182" s="131"/>
      <c r="S182" s="131"/>
      <c r="T182" s="131"/>
      <c r="U182" s="6"/>
      <c r="V182" s="6"/>
      <c r="W182" s="6"/>
      <c r="X182" s="6"/>
      <c r="Y182" s="6"/>
      <c r="Z182" s="6"/>
      <c r="AA182" s="6"/>
      <c r="AB182" s="6"/>
    </row>
    <row r="183" ht="15.75" customHeight="1">
      <c r="A183" s="130"/>
      <c r="B183" s="2"/>
      <c r="C183" s="2"/>
      <c r="D183" s="2"/>
      <c r="E183" s="2"/>
      <c r="F183" s="2"/>
      <c r="G183" s="6"/>
      <c r="H183" s="6"/>
      <c r="I183" s="6"/>
      <c r="J183" s="6"/>
      <c r="K183" s="131"/>
      <c r="L183" s="131"/>
      <c r="M183" s="131"/>
      <c r="N183" s="131"/>
      <c r="O183" s="131"/>
      <c r="P183" s="131"/>
      <c r="Q183" s="131"/>
      <c r="R183" s="131"/>
      <c r="S183" s="131"/>
      <c r="T183" s="131"/>
      <c r="U183" s="6"/>
      <c r="V183" s="6"/>
      <c r="W183" s="6"/>
      <c r="X183" s="6"/>
      <c r="Y183" s="6"/>
      <c r="Z183" s="6"/>
      <c r="AA183" s="6"/>
      <c r="AB183" s="6"/>
    </row>
    <row r="184" ht="15.75" customHeight="1">
      <c r="A184" s="130"/>
      <c r="B184" s="2"/>
      <c r="C184" s="2"/>
      <c r="D184" s="2"/>
      <c r="E184" s="2"/>
      <c r="F184" s="2"/>
      <c r="G184" s="6"/>
      <c r="H184" s="6"/>
      <c r="I184" s="6"/>
      <c r="J184" s="6"/>
      <c r="K184" s="131"/>
      <c r="L184" s="131"/>
      <c r="M184" s="131"/>
      <c r="N184" s="131"/>
      <c r="O184" s="131"/>
      <c r="P184" s="131"/>
      <c r="Q184" s="131"/>
      <c r="R184" s="131"/>
      <c r="S184" s="131"/>
      <c r="T184" s="131"/>
      <c r="U184" s="6"/>
      <c r="V184" s="6"/>
      <c r="W184" s="6"/>
      <c r="X184" s="6"/>
      <c r="Y184" s="6"/>
      <c r="Z184" s="6"/>
      <c r="AA184" s="6"/>
      <c r="AB184" s="6"/>
    </row>
    <row r="185" ht="15.75" customHeight="1">
      <c r="A185" s="130"/>
      <c r="B185" s="2"/>
      <c r="C185" s="2"/>
      <c r="D185" s="2"/>
      <c r="E185" s="2"/>
      <c r="F185" s="2"/>
      <c r="G185" s="6"/>
      <c r="H185" s="6"/>
      <c r="I185" s="6"/>
      <c r="J185" s="6"/>
      <c r="K185" s="131"/>
      <c r="L185" s="131"/>
      <c r="M185" s="131"/>
      <c r="N185" s="131"/>
      <c r="O185" s="131"/>
      <c r="P185" s="131"/>
      <c r="Q185" s="131"/>
      <c r="R185" s="131"/>
      <c r="S185" s="131"/>
      <c r="T185" s="131"/>
      <c r="U185" s="6"/>
      <c r="V185" s="6"/>
      <c r="W185" s="6"/>
      <c r="X185" s="6"/>
      <c r="Y185" s="6"/>
      <c r="Z185" s="6"/>
      <c r="AA185" s="6"/>
      <c r="AB185" s="6"/>
    </row>
    <row r="186" ht="15.75" customHeight="1">
      <c r="A186" s="130"/>
      <c r="B186" s="2"/>
      <c r="C186" s="2"/>
      <c r="D186" s="2"/>
      <c r="E186" s="2"/>
      <c r="F186" s="2"/>
      <c r="G186" s="6"/>
      <c r="H186" s="6"/>
      <c r="I186" s="6"/>
      <c r="J186" s="6"/>
      <c r="K186" s="131"/>
      <c r="L186" s="131"/>
      <c r="M186" s="131"/>
      <c r="N186" s="131"/>
      <c r="O186" s="131"/>
      <c r="P186" s="131"/>
      <c r="Q186" s="131"/>
      <c r="R186" s="131"/>
      <c r="S186" s="131"/>
      <c r="T186" s="131"/>
      <c r="U186" s="6"/>
      <c r="V186" s="6"/>
      <c r="W186" s="6"/>
      <c r="X186" s="6"/>
      <c r="Y186" s="6"/>
      <c r="Z186" s="6"/>
      <c r="AA186" s="6"/>
      <c r="AB186" s="6"/>
    </row>
    <row r="187" ht="15.75" customHeight="1">
      <c r="A187" s="130"/>
      <c r="B187" s="2"/>
      <c r="C187" s="2"/>
      <c r="D187" s="2"/>
      <c r="E187" s="2"/>
      <c r="F187" s="2"/>
      <c r="G187" s="6"/>
      <c r="H187" s="6"/>
      <c r="I187" s="6"/>
      <c r="J187" s="6"/>
      <c r="K187" s="131"/>
      <c r="L187" s="131"/>
      <c r="M187" s="131"/>
      <c r="N187" s="131"/>
      <c r="O187" s="131"/>
      <c r="P187" s="131"/>
      <c r="Q187" s="131"/>
      <c r="R187" s="131"/>
      <c r="S187" s="131"/>
      <c r="T187" s="131"/>
      <c r="U187" s="6"/>
      <c r="V187" s="6"/>
      <c r="W187" s="6"/>
      <c r="X187" s="6"/>
      <c r="Y187" s="6"/>
      <c r="Z187" s="6"/>
      <c r="AA187" s="6"/>
      <c r="AB187" s="6"/>
    </row>
    <row r="188" ht="15.75" customHeight="1">
      <c r="A188" s="130"/>
      <c r="B188" s="2"/>
      <c r="C188" s="2"/>
      <c r="D188" s="2"/>
      <c r="E188" s="2"/>
      <c r="F188" s="2"/>
      <c r="G188" s="6"/>
      <c r="H188" s="6"/>
      <c r="I188" s="6"/>
      <c r="J188" s="6"/>
      <c r="K188" s="131"/>
      <c r="L188" s="131"/>
      <c r="M188" s="131"/>
      <c r="N188" s="131"/>
      <c r="O188" s="131"/>
      <c r="P188" s="131"/>
      <c r="Q188" s="131"/>
      <c r="R188" s="131"/>
      <c r="S188" s="131"/>
      <c r="T188" s="131"/>
      <c r="U188" s="6"/>
      <c r="V188" s="6"/>
      <c r="W188" s="6"/>
      <c r="X188" s="6"/>
      <c r="Y188" s="6"/>
      <c r="Z188" s="6"/>
      <c r="AA188" s="6"/>
      <c r="AB188" s="6"/>
    </row>
    <row r="189" ht="15.75" customHeight="1">
      <c r="A189" s="130"/>
      <c r="B189" s="2"/>
      <c r="C189" s="2"/>
      <c r="D189" s="2"/>
      <c r="E189" s="2"/>
      <c r="F189" s="2"/>
      <c r="G189" s="6"/>
      <c r="H189" s="6"/>
      <c r="I189" s="6"/>
      <c r="J189" s="6"/>
      <c r="K189" s="131"/>
      <c r="L189" s="131"/>
      <c r="M189" s="131"/>
      <c r="N189" s="131"/>
      <c r="O189" s="131"/>
      <c r="P189" s="131"/>
      <c r="Q189" s="131"/>
      <c r="R189" s="131"/>
      <c r="S189" s="131"/>
      <c r="T189" s="131"/>
      <c r="U189" s="6"/>
      <c r="V189" s="6"/>
      <c r="W189" s="6"/>
      <c r="X189" s="6"/>
      <c r="Y189" s="6"/>
      <c r="Z189" s="6"/>
      <c r="AA189" s="6"/>
      <c r="AB189" s="6"/>
    </row>
    <row r="190" ht="15.75" customHeight="1">
      <c r="A190" s="130"/>
      <c r="B190" s="2"/>
      <c r="C190" s="2"/>
      <c r="D190" s="2"/>
      <c r="E190" s="2"/>
      <c r="F190" s="2"/>
      <c r="G190" s="6"/>
      <c r="H190" s="6"/>
      <c r="I190" s="6"/>
      <c r="J190" s="6"/>
      <c r="K190" s="131"/>
      <c r="L190" s="131"/>
      <c r="M190" s="131"/>
      <c r="N190" s="131"/>
      <c r="O190" s="131"/>
      <c r="P190" s="131"/>
      <c r="Q190" s="131"/>
      <c r="R190" s="131"/>
      <c r="S190" s="131"/>
      <c r="T190" s="131"/>
      <c r="U190" s="6"/>
      <c r="V190" s="6"/>
      <c r="W190" s="6"/>
      <c r="X190" s="6"/>
      <c r="Y190" s="6"/>
      <c r="Z190" s="6"/>
      <c r="AA190" s="6"/>
      <c r="AB190" s="6"/>
    </row>
    <row r="191" ht="15.75" customHeight="1">
      <c r="A191" s="130"/>
      <c r="B191" s="2"/>
      <c r="C191" s="2"/>
      <c r="D191" s="2"/>
      <c r="E191" s="2"/>
      <c r="F191" s="2"/>
      <c r="G191" s="6"/>
      <c r="H191" s="6"/>
      <c r="I191" s="6"/>
      <c r="J191" s="6"/>
      <c r="K191" s="131"/>
      <c r="L191" s="131"/>
      <c r="M191" s="131"/>
      <c r="N191" s="131"/>
      <c r="O191" s="131"/>
      <c r="P191" s="131"/>
      <c r="Q191" s="131"/>
      <c r="R191" s="131"/>
      <c r="S191" s="131"/>
      <c r="T191" s="131"/>
      <c r="U191" s="6"/>
      <c r="V191" s="6"/>
      <c r="W191" s="6"/>
      <c r="X191" s="6"/>
      <c r="Y191" s="6"/>
      <c r="Z191" s="6"/>
      <c r="AA191" s="6"/>
      <c r="AB191" s="6"/>
    </row>
    <row r="192" ht="15.75" customHeight="1">
      <c r="A192" s="130"/>
      <c r="B192" s="2"/>
      <c r="C192" s="2"/>
      <c r="D192" s="2"/>
      <c r="E192" s="2"/>
      <c r="F192" s="2"/>
      <c r="G192" s="6"/>
      <c r="H192" s="6"/>
      <c r="I192" s="6"/>
      <c r="J192" s="6"/>
      <c r="K192" s="131"/>
      <c r="L192" s="131"/>
      <c r="M192" s="131"/>
      <c r="N192" s="131"/>
      <c r="O192" s="131"/>
      <c r="P192" s="131"/>
      <c r="Q192" s="131"/>
      <c r="R192" s="131"/>
      <c r="S192" s="131"/>
      <c r="T192" s="131"/>
      <c r="U192" s="6"/>
      <c r="V192" s="6"/>
      <c r="W192" s="6"/>
      <c r="X192" s="6"/>
      <c r="Y192" s="6"/>
      <c r="Z192" s="6"/>
      <c r="AA192" s="6"/>
      <c r="AB192" s="6"/>
    </row>
    <row r="193" ht="15.75" customHeight="1">
      <c r="A193" s="130"/>
      <c r="B193" s="2"/>
      <c r="C193" s="2"/>
      <c r="D193" s="2"/>
      <c r="E193" s="2"/>
      <c r="F193" s="2"/>
      <c r="G193" s="6"/>
      <c r="H193" s="6"/>
      <c r="I193" s="6"/>
      <c r="J193" s="6"/>
      <c r="K193" s="131"/>
      <c r="L193" s="131"/>
      <c r="M193" s="131"/>
      <c r="N193" s="131"/>
      <c r="O193" s="131"/>
      <c r="P193" s="131"/>
      <c r="Q193" s="131"/>
      <c r="R193" s="131"/>
      <c r="S193" s="131"/>
      <c r="T193" s="131"/>
      <c r="U193" s="6"/>
      <c r="V193" s="6"/>
      <c r="W193" s="6"/>
      <c r="X193" s="6"/>
      <c r="Y193" s="6"/>
      <c r="Z193" s="6"/>
      <c r="AA193" s="6"/>
      <c r="AB193" s="6"/>
    </row>
    <row r="194" ht="15.75" customHeight="1">
      <c r="A194" s="130"/>
      <c r="B194" s="2"/>
      <c r="C194" s="2"/>
      <c r="D194" s="2"/>
      <c r="E194" s="2"/>
      <c r="F194" s="2"/>
      <c r="G194" s="6"/>
      <c r="H194" s="6"/>
      <c r="I194" s="6"/>
      <c r="J194" s="6"/>
      <c r="K194" s="131"/>
      <c r="L194" s="131"/>
      <c r="M194" s="131"/>
      <c r="N194" s="131"/>
      <c r="O194" s="131"/>
      <c r="P194" s="131"/>
      <c r="Q194" s="131"/>
      <c r="R194" s="131"/>
      <c r="S194" s="131"/>
      <c r="T194" s="131"/>
      <c r="U194" s="6"/>
      <c r="V194" s="6"/>
      <c r="W194" s="6"/>
      <c r="X194" s="6"/>
      <c r="Y194" s="6"/>
      <c r="Z194" s="6"/>
      <c r="AA194" s="6"/>
      <c r="AB194" s="6"/>
    </row>
    <row r="195" ht="15.75" customHeight="1">
      <c r="A195" s="130"/>
      <c r="B195" s="2"/>
      <c r="C195" s="2"/>
      <c r="D195" s="2"/>
      <c r="E195" s="2"/>
      <c r="F195" s="2"/>
      <c r="G195" s="6"/>
      <c r="H195" s="6"/>
      <c r="I195" s="6"/>
      <c r="J195" s="6"/>
      <c r="K195" s="131"/>
      <c r="L195" s="131"/>
      <c r="M195" s="131"/>
      <c r="N195" s="131"/>
      <c r="O195" s="131"/>
      <c r="P195" s="131"/>
      <c r="Q195" s="131"/>
      <c r="R195" s="131"/>
      <c r="S195" s="131"/>
      <c r="T195" s="131"/>
      <c r="U195" s="6"/>
      <c r="V195" s="6"/>
      <c r="W195" s="6"/>
      <c r="X195" s="6"/>
      <c r="Y195" s="6"/>
      <c r="Z195" s="6"/>
      <c r="AA195" s="6"/>
      <c r="AB195" s="6"/>
    </row>
    <row r="196" ht="15.75" customHeight="1">
      <c r="A196" s="130"/>
      <c r="B196" s="2"/>
      <c r="C196" s="2"/>
      <c r="D196" s="2"/>
      <c r="E196" s="2"/>
      <c r="F196" s="2"/>
      <c r="G196" s="6"/>
      <c r="H196" s="6"/>
      <c r="I196" s="6"/>
      <c r="J196" s="6"/>
      <c r="K196" s="131"/>
      <c r="L196" s="131"/>
      <c r="M196" s="131"/>
      <c r="N196" s="131"/>
      <c r="O196" s="131"/>
      <c r="P196" s="131"/>
      <c r="Q196" s="131"/>
      <c r="R196" s="131"/>
      <c r="S196" s="131"/>
      <c r="T196" s="131"/>
      <c r="U196" s="6"/>
      <c r="V196" s="6"/>
      <c r="W196" s="6"/>
      <c r="X196" s="6"/>
      <c r="Y196" s="6"/>
      <c r="Z196" s="6"/>
      <c r="AA196" s="6"/>
      <c r="AB196" s="6"/>
    </row>
    <row r="197" ht="15.75" customHeight="1">
      <c r="A197" s="130"/>
      <c r="B197" s="2"/>
      <c r="C197" s="2"/>
      <c r="D197" s="2"/>
      <c r="E197" s="2"/>
      <c r="F197" s="2"/>
      <c r="G197" s="6"/>
      <c r="H197" s="6"/>
      <c r="I197" s="6"/>
      <c r="J197" s="6"/>
      <c r="K197" s="131"/>
      <c r="L197" s="131"/>
      <c r="M197" s="131"/>
      <c r="N197" s="131"/>
      <c r="O197" s="131"/>
      <c r="P197" s="131"/>
      <c r="Q197" s="131"/>
      <c r="R197" s="131"/>
      <c r="S197" s="131"/>
      <c r="T197" s="131"/>
      <c r="U197" s="6"/>
      <c r="V197" s="6"/>
      <c r="W197" s="6"/>
      <c r="X197" s="6"/>
      <c r="Y197" s="6"/>
      <c r="Z197" s="6"/>
      <c r="AA197" s="6"/>
      <c r="AB197" s="6"/>
    </row>
    <row r="198" ht="15.75" customHeight="1">
      <c r="A198" s="130"/>
      <c r="B198" s="2"/>
      <c r="C198" s="2"/>
      <c r="D198" s="2"/>
      <c r="E198" s="2"/>
      <c r="F198" s="2"/>
      <c r="G198" s="6"/>
      <c r="H198" s="6"/>
      <c r="I198" s="6"/>
      <c r="J198" s="6"/>
      <c r="K198" s="131"/>
      <c r="L198" s="131"/>
      <c r="M198" s="131"/>
      <c r="N198" s="131"/>
      <c r="O198" s="131"/>
      <c r="P198" s="131"/>
      <c r="Q198" s="131"/>
      <c r="R198" s="131"/>
      <c r="S198" s="131"/>
      <c r="T198" s="131"/>
      <c r="U198" s="6"/>
      <c r="V198" s="6"/>
      <c r="W198" s="6"/>
      <c r="X198" s="6"/>
      <c r="Y198" s="6"/>
      <c r="Z198" s="6"/>
      <c r="AA198" s="6"/>
      <c r="AB198" s="6"/>
    </row>
    <row r="199" ht="15.75" customHeight="1">
      <c r="A199" s="130"/>
      <c r="B199" s="2"/>
      <c r="C199" s="2"/>
      <c r="D199" s="2"/>
      <c r="E199" s="2"/>
      <c r="F199" s="2"/>
      <c r="G199" s="6"/>
      <c r="H199" s="6"/>
      <c r="I199" s="6"/>
      <c r="J199" s="6"/>
      <c r="K199" s="131"/>
      <c r="L199" s="131"/>
      <c r="M199" s="131"/>
      <c r="N199" s="131"/>
      <c r="O199" s="131"/>
      <c r="P199" s="131"/>
      <c r="Q199" s="131"/>
      <c r="R199" s="131"/>
      <c r="S199" s="131"/>
      <c r="T199" s="131"/>
      <c r="U199" s="6"/>
      <c r="V199" s="6"/>
      <c r="W199" s="6"/>
      <c r="X199" s="6"/>
      <c r="Y199" s="6"/>
      <c r="Z199" s="6"/>
      <c r="AA199" s="6"/>
      <c r="AB199" s="6"/>
    </row>
    <row r="200" ht="15.75" customHeight="1">
      <c r="A200" s="130"/>
      <c r="B200" s="2"/>
      <c r="C200" s="2"/>
      <c r="D200" s="2"/>
      <c r="E200" s="2"/>
      <c r="F200" s="2"/>
      <c r="G200" s="6"/>
      <c r="H200" s="6"/>
      <c r="I200" s="6"/>
      <c r="J200" s="6"/>
      <c r="K200" s="131"/>
      <c r="L200" s="131"/>
      <c r="M200" s="131"/>
      <c r="N200" s="131"/>
      <c r="O200" s="131"/>
      <c r="P200" s="131"/>
      <c r="Q200" s="131"/>
      <c r="R200" s="131"/>
      <c r="S200" s="131"/>
      <c r="T200" s="131"/>
      <c r="U200" s="6"/>
      <c r="V200" s="6"/>
      <c r="W200" s="6"/>
      <c r="X200" s="6"/>
      <c r="Y200" s="6"/>
      <c r="Z200" s="6"/>
      <c r="AA200" s="6"/>
      <c r="AB200" s="6"/>
    </row>
    <row r="201" ht="15.75" customHeight="1">
      <c r="A201" s="130"/>
      <c r="B201" s="2"/>
      <c r="C201" s="2"/>
      <c r="D201" s="2"/>
      <c r="E201" s="2"/>
      <c r="F201" s="2"/>
      <c r="G201" s="6"/>
      <c r="H201" s="6"/>
      <c r="I201" s="6"/>
      <c r="J201" s="6"/>
      <c r="K201" s="131"/>
      <c r="L201" s="131"/>
      <c r="M201" s="131"/>
      <c r="N201" s="131"/>
      <c r="O201" s="131"/>
      <c r="P201" s="131"/>
      <c r="Q201" s="131"/>
      <c r="R201" s="131"/>
      <c r="S201" s="131"/>
      <c r="T201" s="131"/>
      <c r="U201" s="6"/>
      <c r="V201" s="6"/>
      <c r="W201" s="6"/>
      <c r="X201" s="6"/>
      <c r="Y201" s="6"/>
      <c r="Z201" s="6"/>
      <c r="AA201" s="6"/>
      <c r="AB201" s="6"/>
    </row>
    <row r="202" ht="15.75" customHeight="1">
      <c r="A202" s="130"/>
      <c r="B202" s="2"/>
      <c r="C202" s="2"/>
      <c r="D202" s="2"/>
      <c r="E202" s="2"/>
      <c r="F202" s="2"/>
      <c r="G202" s="6"/>
      <c r="H202" s="6"/>
      <c r="I202" s="6"/>
      <c r="J202" s="6"/>
      <c r="K202" s="131"/>
      <c r="L202" s="131"/>
      <c r="M202" s="131"/>
      <c r="N202" s="131"/>
      <c r="O202" s="131"/>
      <c r="P202" s="131"/>
      <c r="Q202" s="131"/>
      <c r="R202" s="131"/>
      <c r="S202" s="131"/>
      <c r="T202" s="131"/>
      <c r="U202" s="6"/>
      <c r="V202" s="6"/>
      <c r="W202" s="6"/>
      <c r="X202" s="6"/>
      <c r="Y202" s="6"/>
      <c r="Z202" s="6"/>
      <c r="AA202" s="6"/>
      <c r="AB202" s="6"/>
    </row>
    <row r="203" ht="15.75" customHeight="1">
      <c r="A203" s="130"/>
      <c r="B203" s="2"/>
      <c r="C203" s="2"/>
      <c r="D203" s="2"/>
      <c r="E203" s="2"/>
      <c r="F203" s="2"/>
      <c r="G203" s="6"/>
      <c r="H203" s="6"/>
      <c r="I203" s="6"/>
      <c r="J203" s="6"/>
      <c r="K203" s="131"/>
      <c r="L203" s="131"/>
      <c r="M203" s="131"/>
      <c r="N203" s="131"/>
      <c r="O203" s="131"/>
      <c r="P203" s="131"/>
      <c r="Q203" s="131"/>
      <c r="R203" s="131"/>
      <c r="S203" s="131"/>
      <c r="T203" s="131"/>
      <c r="U203" s="6"/>
      <c r="V203" s="6"/>
      <c r="W203" s="6"/>
      <c r="X203" s="6"/>
      <c r="Y203" s="6"/>
      <c r="Z203" s="6"/>
      <c r="AA203" s="6"/>
      <c r="AB203" s="6"/>
    </row>
    <row r="204" ht="15.75" customHeight="1">
      <c r="A204" s="130"/>
      <c r="B204" s="2"/>
      <c r="C204" s="2"/>
      <c r="D204" s="2"/>
      <c r="E204" s="2"/>
      <c r="F204" s="2"/>
      <c r="G204" s="6"/>
      <c r="H204" s="6"/>
      <c r="I204" s="6"/>
      <c r="J204" s="6"/>
      <c r="K204" s="131"/>
      <c r="L204" s="131"/>
      <c r="M204" s="131"/>
      <c r="N204" s="131"/>
      <c r="O204" s="131"/>
      <c r="P204" s="131"/>
      <c r="Q204" s="131"/>
      <c r="R204" s="131"/>
      <c r="S204" s="131"/>
      <c r="T204" s="131"/>
      <c r="U204" s="6"/>
      <c r="V204" s="6"/>
      <c r="W204" s="6"/>
      <c r="X204" s="6"/>
      <c r="Y204" s="6"/>
      <c r="Z204" s="6"/>
      <c r="AA204" s="6"/>
      <c r="AB204" s="6"/>
    </row>
    <row r="205" ht="15.75" customHeight="1">
      <c r="A205" s="130"/>
      <c r="B205" s="2"/>
      <c r="C205" s="2"/>
      <c r="D205" s="2"/>
      <c r="E205" s="2"/>
      <c r="F205" s="2"/>
      <c r="G205" s="6"/>
      <c r="H205" s="6"/>
      <c r="I205" s="6"/>
      <c r="J205" s="6"/>
      <c r="K205" s="131"/>
      <c r="L205" s="131"/>
      <c r="M205" s="131"/>
      <c r="N205" s="131"/>
      <c r="O205" s="131"/>
      <c r="P205" s="131"/>
      <c r="Q205" s="131"/>
      <c r="R205" s="131"/>
      <c r="S205" s="131"/>
      <c r="T205" s="131"/>
      <c r="U205" s="6"/>
      <c r="V205" s="6"/>
      <c r="W205" s="6"/>
      <c r="X205" s="6"/>
      <c r="Y205" s="6"/>
      <c r="Z205" s="6"/>
      <c r="AA205" s="6"/>
      <c r="AB205" s="6"/>
    </row>
    <row r="206" ht="15.75" customHeight="1">
      <c r="A206" s="130"/>
      <c r="B206" s="2"/>
      <c r="C206" s="2"/>
      <c r="D206" s="2"/>
      <c r="E206" s="2"/>
      <c r="F206" s="2"/>
      <c r="G206" s="6"/>
      <c r="H206" s="6"/>
      <c r="I206" s="6"/>
      <c r="J206" s="6"/>
      <c r="K206" s="131"/>
      <c r="L206" s="131"/>
      <c r="M206" s="131"/>
      <c r="N206" s="131"/>
      <c r="O206" s="131"/>
      <c r="P206" s="131"/>
      <c r="Q206" s="131"/>
      <c r="R206" s="131"/>
      <c r="S206" s="131"/>
      <c r="T206" s="131"/>
      <c r="U206" s="6"/>
      <c r="V206" s="6"/>
      <c r="W206" s="6"/>
      <c r="X206" s="6"/>
      <c r="Y206" s="6"/>
      <c r="Z206" s="6"/>
      <c r="AA206" s="6"/>
      <c r="AB206" s="6"/>
    </row>
    <row r="207" ht="15.75" customHeight="1">
      <c r="A207" s="130"/>
      <c r="B207" s="2"/>
      <c r="C207" s="2"/>
      <c r="D207" s="2"/>
      <c r="E207" s="2"/>
      <c r="F207" s="2"/>
      <c r="G207" s="6"/>
      <c r="H207" s="6"/>
      <c r="I207" s="6"/>
      <c r="J207" s="6"/>
      <c r="K207" s="131"/>
      <c r="L207" s="131"/>
      <c r="M207" s="131"/>
      <c r="N207" s="131"/>
      <c r="O207" s="131"/>
      <c r="P207" s="131"/>
      <c r="Q207" s="131"/>
      <c r="R207" s="131"/>
      <c r="S207" s="131"/>
      <c r="T207" s="131"/>
      <c r="U207" s="6"/>
      <c r="V207" s="6"/>
      <c r="W207" s="6"/>
      <c r="X207" s="6"/>
      <c r="Y207" s="6"/>
      <c r="Z207" s="6"/>
      <c r="AA207" s="6"/>
      <c r="AB207" s="6"/>
    </row>
    <row r="208" ht="15.75" customHeight="1">
      <c r="A208" s="130"/>
      <c r="B208" s="2"/>
      <c r="C208" s="2"/>
      <c r="D208" s="2"/>
      <c r="E208" s="2"/>
      <c r="F208" s="2"/>
      <c r="G208" s="6"/>
      <c r="H208" s="6"/>
      <c r="I208" s="6"/>
      <c r="J208" s="6"/>
      <c r="K208" s="131"/>
      <c r="L208" s="131"/>
      <c r="M208" s="131"/>
      <c r="N208" s="131"/>
      <c r="O208" s="131"/>
      <c r="P208" s="131"/>
      <c r="Q208" s="131"/>
      <c r="R208" s="131"/>
      <c r="S208" s="131"/>
      <c r="T208" s="131"/>
      <c r="U208" s="6"/>
      <c r="V208" s="6"/>
      <c r="W208" s="6"/>
      <c r="X208" s="6"/>
      <c r="Y208" s="6"/>
      <c r="Z208" s="6"/>
      <c r="AA208" s="6"/>
      <c r="AB208" s="6"/>
    </row>
    <row r="209" ht="15.75" customHeight="1">
      <c r="A209" s="130"/>
      <c r="B209" s="2"/>
      <c r="C209" s="2"/>
      <c r="D209" s="2"/>
      <c r="E209" s="2"/>
      <c r="F209" s="2"/>
      <c r="G209" s="6"/>
      <c r="H209" s="6"/>
      <c r="I209" s="6"/>
      <c r="J209" s="6"/>
      <c r="K209" s="131"/>
      <c r="L209" s="131"/>
      <c r="M209" s="131"/>
      <c r="N209" s="131"/>
      <c r="O209" s="131"/>
      <c r="P209" s="131"/>
      <c r="Q209" s="131"/>
      <c r="R209" s="131"/>
      <c r="S209" s="131"/>
      <c r="T209" s="131"/>
      <c r="U209" s="6"/>
      <c r="V209" s="6"/>
      <c r="W209" s="6"/>
      <c r="X209" s="6"/>
      <c r="Y209" s="6"/>
      <c r="Z209" s="6"/>
      <c r="AA209" s="6"/>
      <c r="AB209" s="6"/>
    </row>
    <row r="210" ht="15.75" customHeight="1">
      <c r="A210" s="130"/>
      <c r="B210" s="2"/>
      <c r="C210" s="2"/>
      <c r="D210" s="2"/>
      <c r="E210" s="2"/>
      <c r="F210" s="2"/>
      <c r="G210" s="6"/>
      <c r="H210" s="6"/>
      <c r="I210" s="6"/>
      <c r="J210" s="6"/>
      <c r="K210" s="131"/>
      <c r="L210" s="131"/>
      <c r="M210" s="131"/>
      <c r="N210" s="131"/>
      <c r="O210" s="131"/>
      <c r="P210" s="131"/>
      <c r="Q210" s="131"/>
      <c r="R210" s="131"/>
      <c r="S210" s="131"/>
      <c r="T210" s="131"/>
      <c r="U210" s="6"/>
      <c r="V210" s="6"/>
      <c r="W210" s="6"/>
      <c r="X210" s="6"/>
      <c r="Y210" s="6"/>
      <c r="Z210" s="6"/>
      <c r="AA210" s="6"/>
      <c r="AB210" s="6"/>
    </row>
    <row r="211" ht="15.75" customHeight="1">
      <c r="A211" s="130"/>
      <c r="B211" s="2"/>
      <c r="C211" s="2"/>
      <c r="D211" s="2"/>
      <c r="E211" s="2"/>
      <c r="F211" s="2"/>
      <c r="G211" s="6"/>
      <c r="H211" s="6"/>
      <c r="I211" s="6"/>
      <c r="J211" s="6"/>
      <c r="K211" s="131"/>
      <c r="L211" s="131"/>
      <c r="M211" s="131"/>
      <c r="N211" s="131"/>
      <c r="O211" s="131"/>
      <c r="P211" s="131"/>
      <c r="Q211" s="131"/>
      <c r="R211" s="131"/>
      <c r="S211" s="131"/>
      <c r="T211" s="131"/>
      <c r="U211" s="6"/>
      <c r="V211" s="6"/>
      <c r="W211" s="6"/>
      <c r="X211" s="6"/>
      <c r="Y211" s="6"/>
      <c r="Z211" s="6"/>
      <c r="AA211" s="6"/>
      <c r="AB211" s="6"/>
    </row>
    <row r="212" ht="15.75" customHeight="1">
      <c r="A212" s="130"/>
      <c r="B212" s="2"/>
      <c r="C212" s="2"/>
      <c r="D212" s="2"/>
      <c r="E212" s="2"/>
      <c r="F212" s="2"/>
      <c r="G212" s="6"/>
      <c r="H212" s="6"/>
      <c r="I212" s="6"/>
      <c r="J212" s="6"/>
      <c r="K212" s="131"/>
      <c r="L212" s="131"/>
      <c r="M212" s="131"/>
      <c r="N212" s="131"/>
      <c r="O212" s="131"/>
      <c r="P212" s="131"/>
      <c r="Q212" s="131"/>
      <c r="R212" s="131"/>
      <c r="S212" s="131"/>
      <c r="T212" s="131"/>
      <c r="U212" s="6"/>
      <c r="V212" s="6"/>
      <c r="W212" s="6"/>
      <c r="X212" s="6"/>
      <c r="Y212" s="6"/>
      <c r="Z212" s="6"/>
      <c r="AA212" s="6"/>
      <c r="AB212" s="6"/>
    </row>
    <row r="213" ht="15.75" customHeight="1">
      <c r="A213" s="130"/>
      <c r="B213" s="2"/>
      <c r="C213" s="2"/>
      <c r="D213" s="2"/>
      <c r="E213" s="2"/>
      <c r="F213" s="2"/>
      <c r="G213" s="6"/>
      <c r="H213" s="6"/>
      <c r="I213" s="6"/>
      <c r="J213" s="6"/>
      <c r="K213" s="131"/>
      <c r="L213" s="131"/>
      <c r="M213" s="131"/>
      <c r="N213" s="131"/>
      <c r="O213" s="131"/>
      <c r="P213" s="131"/>
      <c r="Q213" s="131"/>
      <c r="R213" s="131"/>
      <c r="S213" s="131"/>
      <c r="T213" s="131"/>
      <c r="U213" s="6"/>
      <c r="V213" s="6"/>
      <c r="W213" s="6"/>
      <c r="X213" s="6"/>
      <c r="Y213" s="6"/>
      <c r="Z213" s="6"/>
      <c r="AA213" s="6"/>
      <c r="AB213" s="6"/>
    </row>
    <row r="214" ht="15.75" customHeight="1">
      <c r="A214" s="130"/>
      <c r="B214" s="2"/>
      <c r="C214" s="2"/>
      <c r="D214" s="2"/>
      <c r="E214" s="2"/>
      <c r="F214" s="2"/>
      <c r="G214" s="6"/>
      <c r="H214" s="6"/>
      <c r="I214" s="6"/>
      <c r="J214" s="6"/>
      <c r="K214" s="131"/>
      <c r="L214" s="131"/>
      <c r="M214" s="131"/>
      <c r="N214" s="131"/>
      <c r="O214" s="131"/>
      <c r="P214" s="131"/>
      <c r="Q214" s="131"/>
      <c r="R214" s="131"/>
      <c r="S214" s="131"/>
      <c r="T214" s="131"/>
      <c r="U214" s="6"/>
      <c r="V214" s="6"/>
      <c r="W214" s="6"/>
      <c r="X214" s="6"/>
      <c r="Y214" s="6"/>
      <c r="Z214" s="6"/>
      <c r="AA214" s="6"/>
      <c r="AB214" s="6"/>
    </row>
    <row r="215" ht="15.75" customHeight="1">
      <c r="A215" s="130"/>
      <c r="B215" s="2"/>
      <c r="C215" s="2"/>
      <c r="D215" s="2"/>
      <c r="E215" s="2"/>
      <c r="F215" s="2"/>
      <c r="G215" s="6"/>
      <c r="H215" s="6"/>
      <c r="I215" s="6"/>
      <c r="J215" s="6"/>
      <c r="K215" s="131"/>
      <c r="L215" s="131"/>
      <c r="M215" s="131"/>
      <c r="N215" s="131"/>
      <c r="O215" s="131"/>
      <c r="P215" s="131"/>
      <c r="Q215" s="131"/>
      <c r="R215" s="131"/>
      <c r="S215" s="131"/>
      <c r="T215" s="131"/>
      <c r="U215" s="6"/>
      <c r="V215" s="6"/>
      <c r="W215" s="6"/>
      <c r="X215" s="6"/>
      <c r="Y215" s="6"/>
      <c r="Z215" s="6"/>
      <c r="AA215" s="6"/>
      <c r="AB215" s="6"/>
    </row>
    <row r="216" ht="15.75" customHeight="1">
      <c r="A216" s="130"/>
      <c r="B216" s="2"/>
      <c r="C216" s="2"/>
      <c r="D216" s="2"/>
      <c r="E216" s="2"/>
      <c r="F216" s="2"/>
      <c r="G216" s="6"/>
      <c r="H216" s="6"/>
      <c r="I216" s="6"/>
      <c r="J216" s="6"/>
      <c r="K216" s="131"/>
      <c r="L216" s="131"/>
      <c r="M216" s="131"/>
      <c r="N216" s="131"/>
      <c r="O216" s="131"/>
      <c r="P216" s="131"/>
      <c r="Q216" s="131"/>
      <c r="R216" s="131"/>
      <c r="S216" s="131"/>
      <c r="T216" s="131"/>
      <c r="U216" s="6"/>
      <c r="V216" s="6"/>
      <c r="W216" s="6"/>
      <c r="X216" s="6"/>
      <c r="Y216" s="6"/>
      <c r="Z216" s="6"/>
      <c r="AA216" s="6"/>
      <c r="AB216" s="6"/>
    </row>
    <row r="217" ht="15.75" customHeight="1">
      <c r="A217" s="130"/>
      <c r="B217" s="2"/>
      <c r="C217" s="2"/>
      <c r="D217" s="2"/>
      <c r="E217" s="2"/>
      <c r="F217" s="2"/>
      <c r="G217" s="6"/>
      <c r="H217" s="6"/>
      <c r="I217" s="6"/>
      <c r="J217" s="6"/>
      <c r="K217" s="131"/>
      <c r="L217" s="131"/>
      <c r="M217" s="131"/>
      <c r="N217" s="131"/>
      <c r="O217" s="131"/>
      <c r="P217" s="131"/>
      <c r="Q217" s="131"/>
      <c r="R217" s="131"/>
      <c r="S217" s="131"/>
      <c r="T217" s="131"/>
      <c r="U217" s="6"/>
      <c r="V217" s="6"/>
      <c r="W217" s="6"/>
      <c r="X217" s="6"/>
      <c r="Y217" s="6"/>
      <c r="Z217" s="6"/>
      <c r="AA217" s="6"/>
      <c r="AB217" s="6"/>
    </row>
    <row r="218" ht="15.75" customHeight="1">
      <c r="A218" s="130"/>
      <c r="B218" s="2"/>
      <c r="C218" s="2"/>
      <c r="D218" s="2"/>
      <c r="E218" s="2"/>
      <c r="F218" s="2"/>
      <c r="G218" s="6"/>
      <c r="H218" s="6"/>
      <c r="I218" s="6"/>
      <c r="J218" s="6"/>
      <c r="K218" s="131"/>
      <c r="L218" s="131"/>
      <c r="M218" s="131"/>
      <c r="N218" s="131"/>
      <c r="O218" s="131"/>
      <c r="P218" s="131"/>
      <c r="Q218" s="131"/>
      <c r="R218" s="131"/>
      <c r="S218" s="131"/>
      <c r="T218" s="131"/>
      <c r="U218" s="6"/>
      <c r="V218" s="6"/>
      <c r="W218" s="6"/>
      <c r="X218" s="6"/>
      <c r="Y218" s="6"/>
      <c r="Z218" s="6"/>
      <c r="AA218" s="6"/>
      <c r="AB218" s="6"/>
    </row>
    <row r="219" ht="15.75" customHeight="1">
      <c r="A219" s="130"/>
      <c r="B219" s="2"/>
      <c r="C219" s="2"/>
      <c r="D219" s="2"/>
      <c r="E219" s="2"/>
      <c r="F219" s="2"/>
      <c r="G219" s="6"/>
      <c r="H219" s="6"/>
      <c r="I219" s="6"/>
      <c r="J219" s="6"/>
      <c r="K219" s="131"/>
      <c r="L219" s="131"/>
      <c r="M219" s="131"/>
      <c r="N219" s="131"/>
      <c r="O219" s="131"/>
      <c r="P219" s="131"/>
      <c r="Q219" s="131"/>
      <c r="R219" s="131"/>
      <c r="S219" s="131"/>
      <c r="T219" s="131"/>
      <c r="U219" s="6"/>
      <c r="V219" s="6"/>
      <c r="W219" s="6"/>
      <c r="X219" s="6"/>
      <c r="Y219" s="6"/>
      <c r="Z219" s="6"/>
      <c r="AA219" s="6"/>
      <c r="AB219" s="6"/>
    </row>
    <row r="220" ht="15.75" customHeight="1">
      <c r="A220" s="130"/>
      <c r="B220" s="2"/>
      <c r="C220" s="2"/>
      <c r="D220" s="2"/>
      <c r="E220" s="2"/>
      <c r="F220" s="2"/>
      <c r="G220" s="6"/>
      <c r="H220" s="6"/>
      <c r="I220" s="6"/>
      <c r="J220" s="6"/>
      <c r="K220" s="131"/>
      <c r="L220" s="131"/>
      <c r="M220" s="131"/>
      <c r="N220" s="131"/>
      <c r="O220" s="131"/>
      <c r="P220" s="131"/>
      <c r="Q220" s="131"/>
      <c r="R220" s="131"/>
      <c r="S220" s="131"/>
      <c r="T220" s="131"/>
      <c r="U220" s="6"/>
      <c r="V220" s="6"/>
      <c r="W220" s="6"/>
      <c r="X220" s="6"/>
      <c r="Y220" s="6"/>
      <c r="Z220" s="6"/>
      <c r="AA220" s="6"/>
      <c r="AB220" s="6"/>
    </row>
    <row r="221" ht="15.75" customHeight="1">
      <c r="A221" s="130"/>
      <c r="B221" s="2"/>
      <c r="C221" s="2"/>
      <c r="D221" s="2"/>
      <c r="E221" s="2"/>
      <c r="F221" s="2"/>
      <c r="G221" s="6"/>
      <c r="H221" s="6"/>
      <c r="I221" s="6"/>
      <c r="J221" s="6"/>
      <c r="K221" s="131"/>
      <c r="L221" s="131"/>
      <c r="M221" s="131"/>
      <c r="N221" s="131"/>
      <c r="O221" s="131"/>
      <c r="P221" s="131"/>
      <c r="Q221" s="131"/>
      <c r="R221" s="131"/>
      <c r="S221" s="131"/>
      <c r="T221" s="131"/>
      <c r="U221" s="6"/>
      <c r="V221" s="6"/>
      <c r="W221" s="6"/>
      <c r="X221" s="6"/>
      <c r="Y221" s="6"/>
      <c r="Z221" s="6"/>
      <c r="AA221" s="6"/>
      <c r="AB221" s="6"/>
    </row>
    <row r="222" ht="15.75" customHeight="1">
      <c r="A222" s="130"/>
      <c r="B222" s="2"/>
      <c r="C222" s="2"/>
      <c r="D222" s="2"/>
      <c r="E222" s="2"/>
      <c r="F222" s="2"/>
      <c r="G222" s="6"/>
      <c r="H222" s="6"/>
      <c r="I222" s="6"/>
      <c r="J222" s="6"/>
      <c r="K222" s="131"/>
      <c r="L222" s="131"/>
      <c r="M222" s="131"/>
      <c r="N222" s="131"/>
      <c r="O222" s="131"/>
      <c r="P222" s="131"/>
      <c r="Q222" s="131"/>
      <c r="R222" s="131"/>
      <c r="S222" s="131"/>
      <c r="T222" s="131"/>
      <c r="U222" s="6"/>
      <c r="V222" s="6"/>
      <c r="W222" s="6"/>
      <c r="X222" s="6"/>
      <c r="Y222" s="6"/>
      <c r="Z222" s="6"/>
      <c r="AA222" s="6"/>
      <c r="AB222" s="6"/>
    </row>
    <row r="223" ht="15.75" customHeight="1">
      <c r="A223" s="130"/>
      <c r="B223" s="2"/>
      <c r="C223" s="2"/>
      <c r="D223" s="2"/>
      <c r="E223" s="2"/>
      <c r="F223" s="2"/>
      <c r="G223" s="6"/>
      <c r="H223" s="6"/>
      <c r="I223" s="6"/>
      <c r="J223" s="6"/>
      <c r="K223" s="131"/>
      <c r="L223" s="131"/>
      <c r="M223" s="131"/>
      <c r="N223" s="131"/>
      <c r="O223" s="131"/>
      <c r="P223" s="131"/>
      <c r="Q223" s="131"/>
      <c r="R223" s="131"/>
      <c r="S223" s="131"/>
      <c r="T223" s="131"/>
      <c r="U223" s="6"/>
      <c r="V223" s="6"/>
      <c r="W223" s="6"/>
      <c r="X223" s="6"/>
      <c r="Y223" s="6"/>
      <c r="Z223" s="6"/>
      <c r="AA223" s="6"/>
      <c r="AB223" s="6"/>
    </row>
    <row r="224" ht="15.75" customHeight="1">
      <c r="A224" s="130"/>
      <c r="B224" s="2"/>
      <c r="C224" s="2"/>
      <c r="D224" s="2"/>
      <c r="E224" s="2"/>
      <c r="F224" s="2"/>
      <c r="G224" s="6"/>
      <c r="H224" s="6"/>
      <c r="I224" s="6"/>
      <c r="J224" s="6"/>
      <c r="K224" s="131"/>
      <c r="L224" s="131"/>
      <c r="M224" s="131"/>
      <c r="N224" s="131"/>
      <c r="O224" s="131"/>
      <c r="P224" s="131"/>
      <c r="Q224" s="131"/>
      <c r="R224" s="131"/>
      <c r="S224" s="131"/>
      <c r="T224" s="131"/>
      <c r="U224" s="6"/>
      <c r="V224" s="6"/>
      <c r="W224" s="6"/>
      <c r="X224" s="6"/>
      <c r="Y224" s="6"/>
      <c r="Z224" s="6"/>
      <c r="AA224" s="6"/>
      <c r="AB224" s="6"/>
    </row>
    <row r="225" ht="15.75" customHeight="1">
      <c r="A225" s="130"/>
      <c r="B225" s="2"/>
      <c r="C225" s="2"/>
      <c r="D225" s="2"/>
      <c r="E225" s="2"/>
      <c r="F225" s="2"/>
      <c r="G225" s="6"/>
      <c r="H225" s="6"/>
      <c r="I225" s="6"/>
      <c r="J225" s="6"/>
      <c r="K225" s="131"/>
      <c r="L225" s="131"/>
      <c r="M225" s="131"/>
      <c r="N225" s="131"/>
      <c r="O225" s="131"/>
      <c r="P225" s="131"/>
      <c r="Q225" s="131"/>
      <c r="R225" s="131"/>
      <c r="S225" s="131"/>
      <c r="T225" s="131"/>
      <c r="U225" s="6"/>
      <c r="V225" s="6"/>
      <c r="W225" s="6"/>
      <c r="X225" s="6"/>
      <c r="Y225" s="6"/>
      <c r="Z225" s="6"/>
      <c r="AA225" s="6"/>
      <c r="AB225" s="6"/>
    </row>
    <row r="226" ht="15.75" customHeight="1">
      <c r="A226" s="130"/>
      <c r="B226" s="2"/>
      <c r="C226" s="2"/>
      <c r="D226" s="2"/>
      <c r="E226" s="2"/>
      <c r="F226" s="2"/>
      <c r="G226" s="6"/>
      <c r="H226" s="6"/>
      <c r="I226" s="6"/>
      <c r="J226" s="6"/>
      <c r="K226" s="131"/>
      <c r="L226" s="131"/>
      <c r="M226" s="131"/>
      <c r="N226" s="131"/>
      <c r="O226" s="131"/>
      <c r="P226" s="131"/>
      <c r="Q226" s="131"/>
      <c r="R226" s="131"/>
      <c r="S226" s="131"/>
      <c r="T226" s="131"/>
      <c r="U226" s="6"/>
      <c r="V226" s="6"/>
      <c r="W226" s="6"/>
      <c r="X226" s="6"/>
      <c r="Y226" s="6"/>
      <c r="Z226" s="6"/>
      <c r="AA226" s="6"/>
      <c r="AB226" s="6"/>
    </row>
    <row r="227" ht="15.75" customHeight="1">
      <c r="A227" s="130"/>
      <c r="B227" s="2"/>
      <c r="C227" s="2"/>
      <c r="D227" s="2"/>
      <c r="E227" s="2"/>
      <c r="F227" s="2"/>
      <c r="G227" s="6"/>
      <c r="H227" s="6"/>
      <c r="I227" s="6"/>
      <c r="J227" s="6"/>
      <c r="K227" s="131"/>
      <c r="L227" s="131"/>
      <c r="M227" s="131"/>
      <c r="N227" s="131"/>
      <c r="O227" s="131"/>
      <c r="P227" s="131"/>
      <c r="Q227" s="131"/>
      <c r="R227" s="131"/>
      <c r="S227" s="131"/>
      <c r="T227" s="131"/>
      <c r="U227" s="6"/>
      <c r="V227" s="6"/>
      <c r="W227" s="6"/>
      <c r="X227" s="6"/>
      <c r="Y227" s="6"/>
      <c r="Z227" s="6"/>
      <c r="AA227" s="6"/>
      <c r="AB227" s="6"/>
    </row>
    <row r="228" ht="15.75" customHeight="1">
      <c r="A228" s="130"/>
      <c r="B228" s="2"/>
      <c r="C228" s="2"/>
      <c r="D228" s="2"/>
      <c r="E228" s="2"/>
      <c r="F228" s="2"/>
      <c r="G228" s="6"/>
      <c r="H228" s="6"/>
      <c r="I228" s="6"/>
      <c r="J228" s="6"/>
      <c r="K228" s="131"/>
      <c r="L228" s="131"/>
      <c r="M228" s="131"/>
      <c r="N228" s="131"/>
      <c r="O228" s="131"/>
      <c r="P228" s="131"/>
      <c r="Q228" s="131"/>
      <c r="R228" s="131"/>
      <c r="S228" s="131"/>
      <c r="T228" s="131"/>
      <c r="U228" s="6"/>
      <c r="V228" s="6"/>
      <c r="W228" s="6"/>
      <c r="X228" s="6"/>
      <c r="Y228" s="6"/>
      <c r="Z228" s="6"/>
      <c r="AA228" s="6"/>
      <c r="AB228" s="6"/>
    </row>
    <row r="229" ht="15.75" customHeight="1">
      <c r="A229" s="130"/>
      <c r="B229" s="2"/>
      <c r="C229" s="2"/>
      <c r="D229" s="2"/>
      <c r="E229" s="2"/>
      <c r="F229" s="2"/>
      <c r="G229" s="6"/>
      <c r="H229" s="6"/>
      <c r="I229" s="6"/>
      <c r="J229" s="6"/>
      <c r="K229" s="131"/>
      <c r="L229" s="131"/>
      <c r="M229" s="131"/>
      <c r="N229" s="131"/>
      <c r="O229" s="131"/>
      <c r="P229" s="131"/>
      <c r="Q229" s="131"/>
      <c r="R229" s="131"/>
      <c r="S229" s="131"/>
      <c r="T229" s="131"/>
      <c r="U229" s="6"/>
      <c r="V229" s="6"/>
      <c r="W229" s="6"/>
      <c r="X229" s="6"/>
      <c r="Y229" s="6"/>
      <c r="Z229" s="6"/>
      <c r="AA229" s="6"/>
      <c r="AB229" s="6"/>
    </row>
    <row r="230" ht="15.75" customHeight="1">
      <c r="A230" s="130"/>
      <c r="B230" s="2"/>
      <c r="C230" s="2"/>
      <c r="D230" s="2"/>
      <c r="E230" s="2"/>
      <c r="F230" s="2"/>
      <c r="G230" s="6"/>
      <c r="H230" s="6"/>
      <c r="I230" s="6"/>
      <c r="J230" s="6"/>
      <c r="K230" s="131"/>
      <c r="L230" s="131"/>
      <c r="M230" s="131"/>
      <c r="N230" s="131"/>
      <c r="O230" s="131"/>
      <c r="P230" s="131"/>
      <c r="Q230" s="131"/>
      <c r="R230" s="131"/>
      <c r="S230" s="131"/>
      <c r="T230" s="131"/>
      <c r="U230" s="6"/>
      <c r="V230" s="6"/>
      <c r="W230" s="6"/>
      <c r="X230" s="6"/>
      <c r="Y230" s="6"/>
      <c r="Z230" s="6"/>
      <c r="AA230" s="6"/>
      <c r="AB230" s="6"/>
    </row>
    <row r="231" ht="15.75" customHeight="1">
      <c r="A231" s="130"/>
      <c r="B231" s="2"/>
      <c r="C231" s="2"/>
      <c r="D231" s="2"/>
      <c r="E231" s="2"/>
      <c r="F231" s="2"/>
      <c r="G231" s="6"/>
      <c r="H231" s="6"/>
      <c r="I231" s="6"/>
      <c r="J231" s="6"/>
      <c r="K231" s="131"/>
      <c r="L231" s="131"/>
      <c r="M231" s="131"/>
      <c r="N231" s="131"/>
      <c r="O231" s="131"/>
      <c r="P231" s="131"/>
      <c r="Q231" s="131"/>
      <c r="R231" s="131"/>
      <c r="S231" s="131"/>
      <c r="T231" s="131"/>
      <c r="U231" s="6"/>
      <c r="V231" s="6"/>
      <c r="W231" s="6"/>
      <c r="X231" s="6"/>
      <c r="Y231" s="6"/>
      <c r="Z231" s="6"/>
      <c r="AA231" s="6"/>
      <c r="AB231" s="6"/>
    </row>
    <row r="232" ht="15.75" customHeight="1">
      <c r="A232" s="130"/>
      <c r="B232" s="2"/>
      <c r="C232" s="2"/>
      <c r="D232" s="2"/>
      <c r="E232" s="2"/>
      <c r="F232" s="2"/>
      <c r="G232" s="6"/>
      <c r="H232" s="6"/>
      <c r="I232" s="6"/>
      <c r="J232" s="6"/>
      <c r="K232" s="131"/>
      <c r="L232" s="131"/>
      <c r="M232" s="131"/>
      <c r="N232" s="131"/>
      <c r="O232" s="131"/>
      <c r="P232" s="131"/>
      <c r="Q232" s="131"/>
      <c r="R232" s="131"/>
      <c r="S232" s="131"/>
      <c r="T232" s="131"/>
      <c r="U232" s="6"/>
      <c r="V232" s="6"/>
      <c r="W232" s="6"/>
      <c r="X232" s="6"/>
      <c r="Y232" s="6"/>
      <c r="Z232" s="6"/>
      <c r="AA232" s="6"/>
      <c r="AB232" s="6"/>
    </row>
    <row r="233" ht="15.75" customHeight="1">
      <c r="A233" s="130"/>
      <c r="B233" s="2"/>
      <c r="C233" s="2"/>
      <c r="D233" s="2"/>
      <c r="E233" s="2"/>
      <c r="F233" s="2"/>
      <c r="G233" s="6"/>
      <c r="H233" s="6"/>
      <c r="I233" s="6"/>
      <c r="J233" s="6"/>
      <c r="K233" s="131"/>
      <c r="L233" s="131"/>
      <c r="M233" s="131"/>
      <c r="N233" s="131"/>
      <c r="O233" s="131"/>
      <c r="P233" s="131"/>
      <c r="Q233" s="131"/>
      <c r="R233" s="131"/>
      <c r="S233" s="131"/>
      <c r="T233" s="131"/>
      <c r="U233" s="6"/>
      <c r="V233" s="6"/>
      <c r="W233" s="6"/>
      <c r="X233" s="6"/>
      <c r="Y233" s="6"/>
      <c r="Z233" s="6"/>
      <c r="AA233" s="6"/>
      <c r="AB233" s="6"/>
    </row>
    <row r="234" ht="15.75" customHeight="1">
      <c r="A234" s="130"/>
      <c r="B234" s="2"/>
      <c r="C234" s="2"/>
      <c r="D234" s="2"/>
      <c r="E234" s="2"/>
      <c r="F234" s="2"/>
      <c r="G234" s="6"/>
      <c r="H234" s="6"/>
      <c r="I234" s="6"/>
      <c r="J234" s="6"/>
      <c r="K234" s="131"/>
      <c r="L234" s="131"/>
      <c r="M234" s="131"/>
      <c r="N234" s="131"/>
      <c r="O234" s="131"/>
      <c r="P234" s="131"/>
      <c r="Q234" s="131"/>
      <c r="R234" s="131"/>
      <c r="S234" s="131"/>
      <c r="T234" s="131"/>
      <c r="U234" s="6"/>
      <c r="V234" s="6"/>
      <c r="W234" s="6"/>
      <c r="X234" s="6"/>
      <c r="Y234" s="6"/>
      <c r="Z234" s="6"/>
      <c r="AA234" s="6"/>
      <c r="AB234" s="6"/>
    </row>
    <row r="235" ht="15.75" customHeight="1">
      <c r="A235" s="130"/>
      <c r="B235" s="2"/>
      <c r="C235" s="2"/>
      <c r="D235" s="2"/>
      <c r="E235" s="2"/>
      <c r="F235" s="2"/>
      <c r="G235" s="6"/>
      <c r="H235" s="6"/>
      <c r="I235" s="6"/>
      <c r="J235" s="6"/>
      <c r="K235" s="131"/>
      <c r="L235" s="131"/>
      <c r="M235" s="131"/>
      <c r="N235" s="131"/>
      <c r="O235" s="131"/>
      <c r="P235" s="131"/>
      <c r="Q235" s="131"/>
      <c r="R235" s="131"/>
      <c r="S235" s="131"/>
      <c r="T235" s="131"/>
      <c r="U235" s="6"/>
      <c r="V235" s="6"/>
      <c r="W235" s="6"/>
      <c r="X235" s="6"/>
      <c r="Y235" s="6"/>
      <c r="Z235" s="6"/>
      <c r="AA235" s="6"/>
      <c r="AB235" s="6"/>
    </row>
    <row r="236" ht="15.75" customHeight="1">
      <c r="A236" s="130"/>
      <c r="B236" s="2"/>
      <c r="C236" s="2"/>
      <c r="D236" s="2"/>
      <c r="E236" s="2"/>
      <c r="F236" s="2"/>
      <c r="G236" s="6"/>
      <c r="H236" s="6"/>
      <c r="I236" s="6"/>
      <c r="J236" s="6"/>
      <c r="K236" s="131"/>
      <c r="L236" s="131"/>
      <c r="M236" s="131"/>
      <c r="N236" s="131"/>
      <c r="O236" s="131"/>
      <c r="P236" s="131"/>
      <c r="Q236" s="131"/>
      <c r="R236" s="131"/>
      <c r="S236" s="131"/>
      <c r="T236" s="131"/>
      <c r="U236" s="6"/>
      <c r="V236" s="6"/>
      <c r="W236" s="6"/>
      <c r="X236" s="6"/>
      <c r="Y236" s="6"/>
      <c r="Z236" s="6"/>
      <c r="AA236" s="6"/>
      <c r="AB236" s="6"/>
    </row>
    <row r="237" ht="15.75" customHeight="1">
      <c r="A237" s="130"/>
      <c r="B237" s="2"/>
      <c r="C237" s="2"/>
      <c r="D237" s="2"/>
      <c r="E237" s="2"/>
      <c r="F237" s="2"/>
      <c r="G237" s="6"/>
      <c r="H237" s="6"/>
      <c r="I237" s="6"/>
      <c r="J237" s="6"/>
      <c r="K237" s="131"/>
      <c r="L237" s="131"/>
      <c r="M237" s="131"/>
      <c r="N237" s="131"/>
      <c r="O237" s="131"/>
      <c r="P237" s="131"/>
      <c r="Q237" s="131"/>
      <c r="R237" s="131"/>
      <c r="S237" s="131"/>
      <c r="T237" s="131"/>
      <c r="U237" s="6"/>
      <c r="V237" s="6"/>
      <c r="W237" s="6"/>
      <c r="X237" s="6"/>
      <c r="Y237" s="6"/>
      <c r="Z237" s="6"/>
      <c r="AA237" s="6"/>
      <c r="AB237" s="6"/>
    </row>
    <row r="238" ht="15.75" customHeight="1">
      <c r="A238" s="130"/>
      <c r="B238" s="2"/>
      <c r="C238" s="2"/>
      <c r="D238" s="2"/>
      <c r="E238" s="2"/>
      <c r="F238" s="2"/>
      <c r="G238" s="6"/>
      <c r="H238" s="6"/>
      <c r="I238" s="6"/>
      <c r="J238" s="6"/>
      <c r="K238" s="131"/>
      <c r="L238" s="131"/>
      <c r="M238" s="131"/>
      <c r="N238" s="131"/>
      <c r="O238" s="131"/>
      <c r="P238" s="131"/>
      <c r="Q238" s="131"/>
      <c r="R238" s="131"/>
      <c r="S238" s="131"/>
      <c r="T238" s="131"/>
      <c r="U238" s="6"/>
      <c r="V238" s="6"/>
      <c r="W238" s="6"/>
      <c r="X238" s="6"/>
      <c r="Y238" s="6"/>
      <c r="Z238" s="6"/>
      <c r="AA238" s="6"/>
      <c r="AB238" s="6"/>
    </row>
    <row r="239" ht="15.75" customHeight="1">
      <c r="A239" s="130"/>
      <c r="B239" s="2"/>
      <c r="C239" s="2"/>
      <c r="D239" s="2"/>
      <c r="E239" s="2"/>
      <c r="F239" s="2"/>
      <c r="G239" s="6"/>
      <c r="H239" s="6"/>
      <c r="I239" s="6"/>
      <c r="J239" s="6"/>
      <c r="K239" s="131"/>
      <c r="L239" s="131"/>
      <c r="M239" s="131"/>
      <c r="N239" s="131"/>
      <c r="O239" s="131"/>
      <c r="P239" s="131"/>
      <c r="Q239" s="131"/>
      <c r="R239" s="131"/>
      <c r="S239" s="131"/>
      <c r="T239" s="131"/>
      <c r="U239" s="6"/>
      <c r="V239" s="6"/>
      <c r="W239" s="6"/>
      <c r="X239" s="6"/>
      <c r="Y239" s="6"/>
      <c r="Z239" s="6"/>
      <c r="AA239" s="6"/>
      <c r="AB239" s="6"/>
    </row>
    <row r="240" ht="15.75" customHeight="1">
      <c r="A240" s="130"/>
      <c r="B240" s="2"/>
      <c r="C240" s="2"/>
      <c r="D240" s="2"/>
      <c r="E240" s="2"/>
      <c r="F240" s="2"/>
      <c r="G240" s="6"/>
      <c r="H240" s="6"/>
      <c r="I240" s="6"/>
      <c r="J240" s="6"/>
      <c r="K240" s="131"/>
      <c r="L240" s="131"/>
      <c r="M240" s="131"/>
      <c r="N240" s="131"/>
      <c r="O240" s="131"/>
      <c r="P240" s="131"/>
      <c r="Q240" s="131"/>
      <c r="R240" s="131"/>
      <c r="S240" s="131"/>
      <c r="T240" s="131"/>
      <c r="U240" s="6"/>
      <c r="V240" s="6"/>
      <c r="W240" s="6"/>
      <c r="X240" s="6"/>
      <c r="Y240" s="6"/>
      <c r="Z240" s="6"/>
      <c r="AA240" s="6"/>
      <c r="AB240" s="6"/>
    </row>
    <row r="241" ht="15.75" customHeight="1">
      <c r="A241" s="130"/>
      <c r="B241" s="2"/>
      <c r="C241" s="2"/>
      <c r="D241" s="2"/>
      <c r="E241" s="2"/>
      <c r="F241" s="2"/>
      <c r="G241" s="6"/>
      <c r="H241" s="6"/>
      <c r="I241" s="6"/>
      <c r="J241" s="6"/>
      <c r="K241" s="131"/>
      <c r="L241" s="131"/>
      <c r="M241" s="131"/>
      <c r="N241" s="131"/>
      <c r="O241" s="131"/>
      <c r="P241" s="131"/>
      <c r="Q241" s="131"/>
      <c r="R241" s="131"/>
      <c r="S241" s="131"/>
      <c r="T241" s="131"/>
      <c r="U241" s="6"/>
      <c r="V241" s="6"/>
      <c r="W241" s="6"/>
      <c r="X241" s="6"/>
      <c r="Y241" s="6"/>
      <c r="Z241" s="6"/>
      <c r="AA241" s="6"/>
      <c r="AB241" s="6"/>
    </row>
    <row r="242" ht="15.75" customHeight="1">
      <c r="A242" s="130"/>
      <c r="B242" s="2"/>
      <c r="C242" s="2"/>
      <c r="D242" s="2"/>
      <c r="E242" s="2"/>
      <c r="F242" s="2"/>
      <c r="G242" s="6"/>
      <c r="H242" s="6"/>
      <c r="I242" s="6"/>
      <c r="J242" s="6"/>
      <c r="K242" s="131"/>
      <c r="L242" s="131"/>
      <c r="M242" s="131"/>
      <c r="N242" s="131"/>
      <c r="O242" s="131"/>
      <c r="P242" s="131"/>
      <c r="Q242" s="131"/>
      <c r="R242" s="131"/>
      <c r="S242" s="131"/>
      <c r="T242" s="131"/>
      <c r="U242" s="6"/>
      <c r="V242" s="6"/>
      <c r="W242" s="6"/>
      <c r="X242" s="6"/>
      <c r="Y242" s="6"/>
      <c r="Z242" s="6"/>
      <c r="AA242" s="6"/>
      <c r="AB242" s="6"/>
    </row>
    <row r="243" ht="15.75" customHeight="1">
      <c r="A243" s="130"/>
      <c r="B243" s="2"/>
      <c r="C243" s="2"/>
      <c r="D243" s="2"/>
      <c r="E243" s="2"/>
      <c r="F243" s="2"/>
      <c r="G243" s="6"/>
      <c r="H243" s="6"/>
      <c r="I243" s="6"/>
      <c r="J243" s="6"/>
      <c r="K243" s="131"/>
      <c r="L243" s="131"/>
      <c r="M243" s="131"/>
      <c r="N243" s="131"/>
      <c r="O243" s="131"/>
      <c r="P243" s="131"/>
      <c r="Q243" s="131"/>
      <c r="R243" s="131"/>
      <c r="S243" s="131"/>
      <c r="T243" s="131"/>
      <c r="U243" s="6"/>
      <c r="V243" s="6"/>
      <c r="W243" s="6"/>
      <c r="X243" s="6"/>
      <c r="Y243" s="6"/>
      <c r="Z243" s="6"/>
      <c r="AA243" s="6"/>
      <c r="AB243" s="6"/>
    </row>
    <row r="244" ht="15.75" customHeight="1">
      <c r="A244" s="130"/>
      <c r="B244" s="2"/>
      <c r="C244" s="2"/>
      <c r="D244" s="2"/>
      <c r="E244" s="2"/>
      <c r="F244" s="2"/>
      <c r="G244" s="6"/>
      <c r="H244" s="6"/>
      <c r="I244" s="6"/>
      <c r="J244" s="6"/>
      <c r="K244" s="131"/>
      <c r="L244" s="131"/>
      <c r="M244" s="131"/>
      <c r="N244" s="131"/>
      <c r="O244" s="131"/>
      <c r="P244" s="131"/>
      <c r="Q244" s="131"/>
      <c r="R244" s="131"/>
      <c r="S244" s="131"/>
      <c r="T244" s="131"/>
      <c r="U244" s="6"/>
      <c r="V244" s="6"/>
      <c r="W244" s="6"/>
      <c r="X244" s="6"/>
      <c r="Y244" s="6"/>
      <c r="Z244" s="6"/>
      <c r="AA244" s="6"/>
      <c r="AB244" s="6"/>
    </row>
    <row r="245" ht="15.75" customHeight="1">
      <c r="A245" s="130"/>
      <c r="B245" s="2"/>
      <c r="C245" s="2"/>
      <c r="D245" s="2"/>
      <c r="E245" s="2"/>
      <c r="F245" s="2"/>
      <c r="G245" s="6"/>
      <c r="H245" s="6"/>
      <c r="I245" s="6"/>
      <c r="J245" s="6"/>
      <c r="K245" s="131"/>
      <c r="L245" s="131"/>
      <c r="M245" s="131"/>
      <c r="N245" s="131"/>
      <c r="O245" s="131"/>
      <c r="P245" s="131"/>
      <c r="Q245" s="131"/>
      <c r="R245" s="131"/>
      <c r="S245" s="131"/>
      <c r="T245" s="131"/>
      <c r="U245" s="6"/>
      <c r="V245" s="6"/>
      <c r="W245" s="6"/>
      <c r="X245" s="6"/>
      <c r="Y245" s="6"/>
      <c r="Z245" s="6"/>
      <c r="AA245" s="6"/>
      <c r="AB245" s="6"/>
    </row>
    <row r="246" ht="15.75" customHeight="1">
      <c r="A246" s="130"/>
      <c r="B246" s="2"/>
      <c r="C246" s="2"/>
      <c r="D246" s="2"/>
      <c r="E246" s="2"/>
      <c r="F246" s="2"/>
      <c r="G246" s="6"/>
      <c r="H246" s="6"/>
      <c r="I246" s="6"/>
      <c r="J246" s="6"/>
      <c r="K246" s="131"/>
      <c r="L246" s="131"/>
      <c r="M246" s="131"/>
      <c r="N246" s="131"/>
      <c r="O246" s="131"/>
      <c r="P246" s="131"/>
      <c r="Q246" s="131"/>
      <c r="R246" s="131"/>
      <c r="S246" s="131"/>
      <c r="T246" s="131"/>
      <c r="U246" s="6"/>
      <c r="V246" s="6"/>
      <c r="W246" s="6"/>
      <c r="X246" s="6"/>
      <c r="Y246" s="6"/>
      <c r="Z246" s="6"/>
      <c r="AA246" s="6"/>
      <c r="AB246" s="6"/>
    </row>
    <row r="247" ht="15.75" customHeight="1">
      <c r="A247" s="130"/>
      <c r="B247" s="2"/>
      <c r="C247" s="2"/>
      <c r="D247" s="2"/>
      <c r="E247" s="2"/>
      <c r="F247" s="2"/>
      <c r="G247" s="6"/>
      <c r="H247" s="6"/>
      <c r="I247" s="6"/>
      <c r="J247" s="6"/>
      <c r="K247" s="131"/>
      <c r="L247" s="131"/>
      <c r="M247" s="131"/>
      <c r="N247" s="131"/>
      <c r="O247" s="131"/>
      <c r="P247" s="131"/>
      <c r="Q247" s="131"/>
      <c r="R247" s="131"/>
      <c r="S247" s="131"/>
      <c r="T247" s="131"/>
      <c r="U247" s="6"/>
      <c r="V247" s="6"/>
      <c r="W247" s="6"/>
      <c r="X247" s="6"/>
      <c r="Y247" s="6"/>
      <c r="Z247" s="6"/>
      <c r="AA247" s="6"/>
      <c r="AB247" s="6"/>
    </row>
    <row r="248" ht="15.75" customHeight="1">
      <c r="A248" s="130"/>
      <c r="B248" s="2"/>
      <c r="C248" s="2"/>
      <c r="D248" s="2"/>
      <c r="E248" s="2"/>
      <c r="F248" s="2"/>
      <c r="G248" s="6"/>
      <c r="H248" s="6"/>
      <c r="I248" s="6"/>
      <c r="J248" s="6"/>
      <c r="K248" s="131"/>
      <c r="L248" s="131"/>
      <c r="M248" s="131"/>
      <c r="N248" s="131"/>
      <c r="O248" s="131"/>
      <c r="P248" s="131"/>
      <c r="Q248" s="131"/>
      <c r="R248" s="131"/>
      <c r="S248" s="131"/>
      <c r="T248" s="131"/>
      <c r="U248" s="6"/>
      <c r="V248" s="6"/>
      <c r="W248" s="6"/>
      <c r="X248" s="6"/>
      <c r="Y248" s="6"/>
      <c r="Z248" s="6"/>
      <c r="AA248" s="6"/>
      <c r="AB248" s="6"/>
    </row>
    <row r="249" ht="15.75" customHeight="1">
      <c r="A249" s="130"/>
      <c r="B249" s="2"/>
      <c r="C249" s="2"/>
      <c r="D249" s="2"/>
      <c r="E249" s="2"/>
      <c r="F249" s="2"/>
      <c r="G249" s="6"/>
      <c r="H249" s="6"/>
      <c r="I249" s="6"/>
      <c r="J249" s="6"/>
      <c r="K249" s="131"/>
      <c r="L249" s="131"/>
      <c r="M249" s="131"/>
      <c r="N249" s="131"/>
      <c r="O249" s="131"/>
      <c r="P249" s="131"/>
      <c r="Q249" s="131"/>
      <c r="R249" s="131"/>
      <c r="S249" s="131"/>
      <c r="T249" s="131"/>
      <c r="U249" s="6"/>
      <c r="V249" s="6"/>
      <c r="W249" s="6"/>
      <c r="X249" s="6"/>
      <c r="Y249" s="6"/>
      <c r="Z249" s="6"/>
      <c r="AA249" s="6"/>
      <c r="AB249" s="6"/>
    </row>
    <row r="250" ht="15.75" customHeight="1">
      <c r="A250" s="130"/>
      <c r="B250" s="2"/>
      <c r="C250" s="2"/>
      <c r="D250" s="2"/>
      <c r="E250" s="2"/>
      <c r="F250" s="2"/>
      <c r="G250" s="6"/>
      <c r="H250" s="6"/>
      <c r="I250" s="6"/>
      <c r="J250" s="6"/>
      <c r="K250" s="131"/>
      <c r="L250" s="131"/>
      <c r="M250" s="131"/>
      <c r="N250" s="131"/>
      <c r="O250" s="131"/>
      <c r="P250" s="131"/>
      <c r="Q250" s="131"/>
      <c r="R250" s="131"/>
      <c r="S250" s="131"/>
      <c r="T250" s="131"/>
      <c r="U250" s="6"/>
      <c r="V250" s="6"/>
      <c r="W250" s="6"/>
      <c r="X250" s="6"/>
      <c r="Y250" s="6"/>
      <c r="Z250" s="6"/>
      <c r="AA250" s="6"/>
      <c r="AB250" s="6"/>
    </row>
    <row r="251" ht="15.75" customHeight="1">
      <c r="A251" s="130"/>
      <c r="B251" s="2"/>
      <c r="C251" s="2"/>
      <c r="D251" s="2"/>
      <c r="E251" s="2"/>
      <c r="F251" s="2"/>
      <c r="G251" s="6"/>
      <c r="H251" s="6"/>
      <c r="I251" s="6"/>
      <c r="J251" s="6"/>
      <c r="K251" s="131"/>
      <c r="L251" s="131"/>
      <c r="M251" s="131"/>
      <c r="N251" s="131"/>
      <c r="O251" s="131"/>
      <c r="P251" s="131"/>
      <c r="Q251" s="131"/>
      <c r="R251" s="131"/>
      <c r="S251" s="131"/>
      <c r="T251" s="131"/>
      <c r="U251" s="6"/>
      <c r="V251" s="6"/>
      <c r="W251" s="6"/>
      <c r="X251" s="6"/>
      <c r="Y251" s="6"/>
      <c r="Z251" s="6"/>
      <c r="AA251" s="6"/>
      <c r="AB251" s="6"/>
    </row>
    <row r="252" ht="15.75" customHeight="1">
      <c r="A252" s="130"/>
      <c r="B252" s="2"/>
      <c r="C252" s="2"/>
      <c r="D252" s="2"/>
      <c r="E252" s="2"/>
      <c r="F252" s="2"/>
      <c r="G252" s="6"/>
      <c r="H252" s="6"/>
      <c r="I252" s="6"/>
      <c r="J252" s="6"/>
      <c r="K252" s="131"/>
      <c r="L252" s="131"/>
      <c r="M252" s="131"/>
      <c r="N252" s="131"/>
      <c r="O252" s="131"/>
      <c r="P252" s="131"/>
      <c r="Q252" s="131"/>
      <c r="R252" s="131"/>
      <c r="S252" s="131"/>
      <c r="T252" s="131"/>
      <c r="U252" s="6"/>
      <c r="V252" s="6"/>
      <c r="W252" s="6"/>
      <c r="X252" s="6"/>
      <c r="Y252" s="6"/>
      <c r="Z252" s="6"/>
      <c r="AA252" s="6"/>
      <c r="AB252" s="6"/>
    </row>
    <row r="253" ht="15.75" customHeight="1">
      <c r="A253" s="130"/>
      <c r="B253" s="2"/>
      <c r="C253" s="2"/>
      <c r="D253" s="2"/>
      <c r="E253" s="2"/>
      <c r="F253" s="2"/>
      <c r="G253" s="6"/>
      <c r="H253" s="6"/>
      <c r="I253" s="6"/>
      <c r="J253" s="6"/>
      <c r="K253" s="131"/>
      <c r="L253" s="131"/>
      <c r="M253" s="131"/>
      <c r="N253" s="131"/>
      <c r="O253" s="131"/>
      <c r="P253" s="131"/>
      <c r="Q253" s="131"/>
      <c r="R253" s="131"/>
      <c r="S253" s="131"/>
      <c r="T253" s="131"/>
      <c r="U253" s="6"/>
      <c r="V253" s="6"/>
      <c r="W253" s="6"/>
      <c r="X253" s="6"/>
      <c r="Y253" s="6"/>
      <c r="Z253" s="6"/>
      <c r="AA253" s="6"/>
      <c r="AB253" s="6"/>
    </row>
    <row r="254" ht="15.75" customHeight="1">
      <c r="A254" s="130"/>
      <c r="B254" s="2"/>
      <c r="C254" s="2"/>
      <c r="D254" s="2"/>
      <c r="E254" s="2"/>
      <c r="F254" s="2"/>
      <c r="G254" s="6"/>
      <c r="H254" s="6"/>
      <c r="I254" s="6"/>
      <c r="J254" s="6"/>
      <c r="K254" s="131"/>
      <c r="L254" s="131"/>
      <c r="M254" s="131"/>
      <c r="N254" s="131"/>
      <c r="O254" s="131"/>
      <c r="P254" s="131"/>
      <c r="Q254" s="131"/>
      <c r="R254" s="131"/>
      <c r="S254" s="131"/>
      <c r="T254" s="131"/>
      <c r="U254" s="6"/>
      <c r="V254" s="6"/>
      <c r="W254" s="6"/>
      <c r="X254" s="6"/>
      <c r="Y254" s="6"/>
      <c r="Z254" s="6"/>
      <c r="AA254" s="6"/>
      <c r="AB254" s="6"/>
    </row>
    <row r="255" ht="15.75" customHeight="1">
      <c r="A255" s="130"/>
      <c r="B255" s="2"/>
      <c r="C255" s="2"/>
      <c r="D255" s="2"/>
      <c r="E255" s="2"/>
      <c r="F255" s="2"/>
      <c r="G255" s="6"/>
      <c r="H255" s="6"/>
      <c r="I255" s="6"/>
      <c r="J255" s="6"/>
      <c r="K255" s="131"/>
      <c r="L255" s="131"/>
      <c r="M255" s="131"/>
      <c r="N255" s="131"/>
      <c r="O255" s="131"/>
      <c r="P255" s="131"/>
      <c r="Q255" s="131"/>
      <c r="R255" s="131"/>
      <c r="S255" s="131"/>
      <c r="T255" s="131"/>
      <c r="U255" s="6"/>
      <c r="V255" s="6"/>
      <c r="W255" s="6"/>
      <c r="X255" s="6"/>
      <c r="Y255" s="6"/>
      <c r="Z255" s="6"/>
      <c r="AA255" s="6"/>
      <c r="AB255" s="6"/>
    </row>
    <row r="256" ht="15.75" customHeight="1">
      <c r="A256" s="130"/>
      <c r="B256" s="2"/>
      <c r="C256" s="2"/>
      <c r="D256" s="2"/>
      <c r="E256" s="2"/>
      <c r="F256" s="2"/>
      <c r="G256" s="6"/>
      <c r="H256" s="6"/>
      <c r="I256" s="6"/>
      <c r="J256" s="6"/>
      <c r="K256" s="131"/>
      <c r="L256" s="131"/>
      <c r="M256" s="131"/>
      <c r="N256" s="131"/>
      <c r="O256" s="131"/>
      <c r="P256" s="131"/>
      <c r="Q256" s="131"/>
      <c r="R256" s="131"/>
      <c r="S256" s="131"/>
      <c r="T256" s="131"/>
      <c r="U256" s="6"/>
      <c r="V256" s="6"/>
      <c r="W256" s="6"/>
      <c r="X256" s="6"/>
      <c r="Y256" s="6"/>
      <c r="Z256" s="6"/>
      <c r="AA256" s="6"/>
      <c r="AB256" s="6"/>
    </row>
    <row r="257" ht="15.75" customHeight="1">
      <c r="A257" s="130"/>
      <c r="B257" s="2"/>
      <c r="C257" s="2"/>
      <c r="D257" s="2"/>
      <c r="E257" s="2"/>
      <c r="F257" s="2"/>
      <c r="G257" s="6"/>
      <c r="H257" s="6"/>
      <c r="I257" s="6"/>
      <c r="J257" s="6"/>
      <c r="K257" s="131"/>
      <c r="L257" s="131"/>
      <c r="M257" s="131"/>
      <c r="N257" s="131"/>
      <c r="O257" s="131"/>
      <c r="P257" s="131"/>
      <c r="Q257" s="131"/>
      <c r="R257" s="131"/>
      <c r="S257" s="131"/>
      <c r="T257" s="131"/>
      <c r="U257" s="6"/>
      <c r="V257" s="6"/>
      <c r="W257" s="6"/>
      <c r="X257" s="6"/>
      <c r="Y257" s="6"/>
      <c r="Z257" s="6"/>
      <c r="AA257" s="6"/>
      <c r="AB257" s="6"/>
    </row>
    <row r="258" ht="15.75" customHeight="1">
      <c r="A258" s="130"/>
      <c r="B258" s="2"/>
      <c r="C258" s="2"/>
      <c r="D258" s="2"/>
      <c r="E258" s="2"/>
      <c r="F258" s="2"/>
      <c r="G258" s="6"/>
      <c r="H258" s="6"/>
      <c r="I258" s="6"/>
      <c r="J258" s="6"/>
      <c r="K258" s="131"/>
      <c r="L258" s="131"/>
      <c r="M258" s="131"/>
      <c r="N258" s="131"/>
      <c r="O258" s="131"/>
      <c r="P258" s="131"/>
      <c r="Q258" s="131"/>
      <c r="R258" s="131"/>
      <c r="S258" s="131"/>
      <c r="T258" s="131"/>
      <c r="U258" s="6"/>
      <c r="V258" s="6"/>
      <c r="W258" s="6"/>
      <c r="X258" s="6"/>
      <c r="Y258" s="6"/>
      <c r="Z258" s="6"/>
      <c r="AA258" s="6"/>
      <c r="AB258" s="6"/>
    </row>
    <row r="259" ht="15.75" customHeight="1">
      <c r="A259" s="130"/>
      <c r="B259" s="2"/>
      <c r="C259" s="2"/>
      <c r="D259" s="2"/>
      <c r="E259" s="2"/>
      <c r="F259" s="2"/>
      <c r="G259" s="6"/>
      <c r="H259" s="6"/>
      <c r="I259" s="6"/>
      <c r="J259" s="6"/>
      <c r="K259" s="131"/>
      <c r="L259" s="131"/>
      <c r="M259" s="131"/>
      <c r="N259" s="131"/>
      <c r="O259" s="131"/>
      <c r="P259" s="131"/>
      <c r="Q259" s="131"/>
      <c r="R259" s="131"/>
      <c r="S259" s="131"/>
      <c r="T259" s="131"/>
      <c r="U259" s="6"/>
      <c r="V259" s="6"/>
      <c r="W259" s="6"/>
      <c r="X259" s="6"/>
      <c r="Y259" s="6"/>
      <c r="Z259" s="6"/>
      <c r="AA259" s="6"/>
      <c r="AB259" s="6"/>
    </row>
    <row r="260" ht="15.75" customHeight="1">
      <c r="A260" s="130"/>
      <c r="B260" s="2"/>
      <c r="C260" s="2"/>
      <c r="D260" s="2"/>
      <c r="E260" s="2"/>
      <c r="F260" s="2"/>
      <c r="G260" s="6"/>
      <c r="H260" s="6"/>
      <c r="I260" s="6"/>
      <c r="J260" s="6"/>
      <c r="K260" s="131"/>
      <c r="L260" s="131"/>
      <c r="M260" s="131"/>
      <c r="N260" s="131"/>
      <c r="O260" s="131"/>
      <c r="P260" s="131"/>
      <c r="Q260" s="131"/>
      <c r="R260" s="131"/>
      <c r="S260" s="131"/>
      <c r="T260" s="131"/>
      <c r="U260" s="6"/>
      <c r="V260" s="6"/>
      <c r="W260" s="6"/>
      <c r="X260" s="6"/>
      <c r="Y260" s="6"/>
      <c r="Z260" s="6"/>
      <c r="AA260" s="6"/>
      <c r="AB260" s="6"/>
    </row>
    <row r="261" ht="15.75" customHeight="1">
      <c r="A261" s="130"/>
      <c r="B261" s="2"/>
      <c r="C261" s="2"/>
      <c r="D261" s="2"/>
      <c r="E261" s="2"/>
      <c r="F261" s="2"/>
      <c r="G261" s="6"/>
      <c r="H261" s="6"/>
      <c r="I261" s="6"/>
      <c r="J261" s="6"/>
      <c r="K261" s="131"/>
      <c r="L261" s="131"/>
      <c r="M261" s="131"/>
      <c r="N261" s="131"/>
      <c r="O261" s="131"/>
      <c r="P261" s="131"/>
      <c r="Q261" s="131"/>
      <c r="R261" s="131"/>
      <c r="S261" s="131"/>
      <c r="T261" s="131"/>
      <c r="U261" s="6"/>
      <c r="V261" s="6"/>
      <c r="W261" s="6"/>
      <c r="X261" s="6"/>
      <c r="Y261" s="6"/>
      <c r="Z261" s="6"/>
      <c r="AA261" s="6"/>
      <c r="AB261" s="6"/>
    </row>
    <row r="262" ht="15.75" customHeight="1">
      <c r="A262" s="130"/>
      <c r="B262" s="2"/>
      <c r="C262" s="2"/>
      <c r="D262" s="2"/>
      <c r="E262" s="2"/>
      <c r="F262" s="2"/>
      <c r="G262" s="6"/>
      <c r="H262" s="6"/>
      <c r="I262" s="6"/>
      <c r="J262" s="6"/>
      <c r="K262" s="131"/>
      <c r="L262" s="131"/>
      <c r="M262" s="131"/>
      <c r="N262" s="131"/>
      <c r="O262" s="131"/>
      <c r="P262" s="131"/>
      <c r="Q262" s="131"/>
      <c r="R262" s="131"/>
      <c r="S262" s="131"/>
      <c r="T262" s="131"/>
      <c r="U262" s="6"/>
      <c r="V262" s="6"/>
      <c r="W262" s="6"/>
      <c r="X262" s="6"/>
      <c r="Y262" s="6"/>
      <c r="Z262" s="6"/>
      <c r="AA262" s="6"/>
      <c r="AB262" s="6"/>
    </row>
    <row r="263" ht="15.75" customHeight="1">
      <c r="A263" s="130"/>
      <c r="B263" s="2"/>
      <c r="C263" s="2"/>
      <c r="D263" s="2"/>
      <c r="E263" s="2"/>
      <c r="F263" s="2"/>
      <c r="G263" s="6"/>
      <c r="H263" s="6"/>
      <c r="I263" s="6"/>
      <c r="J263" s="6"/>
      <c r="K263" s="131"/>
      <c r="L263" s="131"/>
      <c r="M263" s="131"/>
      <c r="N263" s="131"/>
      <c r="O263" s="131"/>
      <c r="P263" s="131"/>
      <c r="Q263" s="131"/>
      <c r="R263" s="131"/>
      <c r="S263" s="131"/>
      <c r="T263" s="131"/>
      <c r="U263" s="6"/>
      <c r="V263" s="6"/>
      <c r="W263" s="6"/>
      <c r="X263" s="6"/>
      <c r="Y263" s="6"/>
      <c r="Z263" s="6"/>
      <c r="AA263" s="6"/>
      <c r="AB263" s="6"/>
    </row>
    <row r="264" ht="15.75" customHeight="1">
      <c r="A264" s="130"/>
      <c r="B264" s="2"/>
      <c r="C264" s="2"/>
      <c r="D264" s="2"/>
      <c r="E264" s="2"/>
      <c r="F264" s="2"/>
      <c r="G264" s="6"/>
      <c r="H264" s="6"/>
      <c r="I264" s="6"/>
      <c r="J264" s="6"/>
      <c r="K264" s="131"/>
      <c r="L264" s="131"/>
      <c r="M264" s="131"/>
      <c r="N264" s="131"/>
      <c r="O264" s="131"/>
      <c r="P264" s="131"/>
      <c r="Q264" s="131"/>
      <c r="R264" s="131"/>
      <c r="S264" s="131"/>
      <c r="T264" s="131"/>
      <c r="U264" s="6"/>
      <c r="V264" s="6"/>
      <c r="W264" s="6"/>
      <c r="X264" s="6"/>
      <c r="Y264" s="6"/>
      <c r="Z264" s="6"/>
      <c r="AA264" s="6"/>
      <c r="AB264" s="6"/>
    </row>
    <row r="265" ht="15.75" customHeight="1">
      <c r="A265" s="130"/>
      <c r="B265" s="2"/>
      <c r="C265" s="2"/>
      <c r="D265" s="2"/>
      <c r="E265" s="2"/>
      <c r="F265" s="2"/>
      <c r="G265" s="6"/>
      <c r="H265" s="6"/>
      <c r="I265" s="6"/>
      <c r="J265" s="6"/>
      <c r="K265" s="131"/>
      <c r="L265" s="131"/>
      <c r="M265" s="131"/>
      <c r="N265" s="131"/>
      <c r="O265" s="131"/>
      <c r="P265" s="131"/>
      <c r="Q265" s="131"/>
      <c r="R265" s="131"/>
      <c r="S265" s="131"/>
      <c r="T265" s="131"/>
      <c r="U265" s="6"/>
      <c r="V265" s="6"/>
      <c r="W265" s="6"/>
      <c r="X265" s="6"/>
      <c r="Y265" s="6"/>
      <c r="Z265" s="6"/>
      <c r="AA265" s="6"/>
      <c r="AB265" s="6"/>
    </row>
    <row r="266" ht="15.75" customHeight="1">
      <c r="A266" s="130"/>
      <c r="B266" s="2"/>
      <c r="C266" s="2"/>
      <c r="D266" s="2"/>
      <c r="E266" s="2"/>
      <c r="F266" s="2"/>
      <c r="G266" s="6"/>
      <c r="H266" s="6"/>
      <c r="I266" s="6"/>
      <c r="J266" s="6"/>
      <c r="K266" s="131"/>
      <c r="L266" s="131"/>
      <c r="M266" s="131"/>
      <c r="N266" s="131"/>
      <c r="O266" s="131"/>
      <c r="P266" s="131"/>
      <c r="Q266" s="131"/>
      <c r="R266" s="131"/>
      <c r="S266" s="131"/>
      <c r="T266" s="131"/>
      <c r="U266" s="6"/>
      <c r="V266" s="6"/>
      <c r="W266" s="6"/>
      <c r="X266" s="6"/>
      <c r="Y266" s="6"/>
      <c r="Z266" s="6"/>
      <c r="AA266" s="6"/>
      <c r="AB266" s="6"/>
    </row>
    <row r="267" ht="15.75" customHeight="1">
      <c r="A267" s="130"/>
      <c r="B267" s="2"/>
      <c r="C267" s="2"/>
      <c r="D267" s="2"/>
      <c r="E267" s="2"/>
      <c r="F267" s="2"/>
      <c r="G267" s="6"/>
      <c r="H267" s="6"/>
      <c r="I267" s="6"/>
      <c r="J267" s="6"/>
      <c r="K267" s="131"/>
      <c r="L267" s="131"/>
      <c r="M267" s="131"/>
      <c r="N267" s="131"/>
      <c r="O267" s="131"/>
      <c r="P267" s="131"/>
      <c r="Q267" s="131"/>
      <c r="R267" s="131"/>
      <c r="S267" s="131"/>
      <c r="T267" s="131"/>
      <c r="U267" s="6"/>
      <c r="V267" s="6"/>
      <c r="W267" s="6"/>
      <c r="X267" s="6"/>
      <c r="Y267" s="6"/>
      <c r="Z267" s="6"/>
      <c r="AA267" s="6"/>
      <c r="AB267" s="6"/>
    </row>
    <row r="268" ht="15.75" customHeight="1">
      <c r="A268" s="130"/>
      <c r="B268" s="2"/>
      <c r="C268" s="2"/>
      <c r="D268" s="2"/>
      <c r="E268" s="2"/>
      <c r="F268" s="2"/>
      <c r="G268" s="6"/>
      <c r="H268" s="6"/>
      <c r="I268" s="6"/>
      <c r="J268" s="6"/>
      <c r="K268" s="131"/>
      <c r="L268" s="131"/>
      <c r="M268" s="131"/>
      <c r="N268" s="131"/>
      <c r="O268" s="131"/>
      <c r="P268" s="131"/>
      <c r="Q268" s="131"/>
      <c r="R268" s="131"/>
      <c r="S268" s="131"/>
      <c r="T268" s="131"/>
      <c r="U268" s="6"/>
      <c r="V268" s="6"/>
      <c r="W268" s="6"/>
      <c r="X268" s="6"/>
      <c r="Y268" s="6"/>
      <c r="Z268" s="6"/>
      <c r="AA268" s="6"/>
      <c r="AB268" s="6"/>
    </row>
    <row r="269" ht="15.75" customHeight="1">
      <c r="A269" s="130"/>
      <c r="B269" s="2"/>
      <c r="C269" s="2"/>
      <c r="D269" s="2"/>
      <c r="E269" s="2"/>
      <c r="F269" s="2"/>
      <c r="G269" s="6"/>
      <c r="H269" s="6"/>
      <c r="I269" s="6"/>
      <c r="J269" s="6"/>
      <c r="K269" s="131"/>
      <c r="L269" s="131"/>
      <c r="M269" s="131"/>
      <c r="N269" s="131"/>
      <c r="O269" s="131"/>
      <c r="P269" s="131"/>
      <c r="Q269" s="131"/>
      <c r="R269" s="131"/>
      <c r="S269" s="131"/>
      <c r="T269" s="131"/>
      <c r="U269" s="6"/>
      <c r="V269" s="6"/>
      <c r="W269" s="6"/>
      <c r="X269" s="6"/>
      <c r="Y269" s="6"/>
      <c r="Z269" s="6"/>
      <c r="AA269" s="6"/>
      <c r="AB269" s="6"/>
    </row>
    <row r="270" ht="15.75" customHeight="1">
      <c r="A270" s="130"/>
      <c r="B270" s="2"/>
      <c r="C270" s="2"/>
      <c r="D270" s="2"/>
      <c r="E270" s="2"/>
      <c r="F270" s="2"/>
      <c r="G270" s="6"/>
      <c r="H270" s="6"/>
      <c r="I270" s="6"/>
      <c r="J270" s="6"/>
      <c r="K270" s="131"/>
      <c r="L270" s="131"/>
      <c r="M270" s="131"/>
      <c r="N270" s="131"/>
      <c r="O270" s="131"/>
      <c r="P270" s="131"/>
      <c r="Q270" s="131"/>
      <c r="R270" s="131"/>
      <c r="S270" s="131"/>
      <c r="T270" s="131"/>
      <c r="U270" s="6"/>
      <c r="V270" s="6"/>
      <c r="W270" s="6"/>
      <c r="X270" s="6"/>
      <c r="Y270" s="6"/>
      <c r="Z270" s="6"/>
      <c r="AA270" s="6"/>
      <c r="AB270" s="6"/>
    </row>
    <row r="271" ht="15.75" customHeight="1">
      <c r="A271" s="130"/>
      <c r="B271" s="2"/>
      <c r="C271" s="2"/>
      <c r="D271" s="2"/>
      <c r="E271" s="2"/>
      <c r="F271" s="2"/>
      <c r="G271" s="6"/>
      <c r="H271" s="6"/>
      <c r="I271" s="6"/>
      <c r="J271" s="6"/>
      <c r="K271" s="131"/>
      <c r="L271" s="131"/>
      <c r="M271" s="131"/>
      <c r="N271" s="131"/>
      <c r="O271" s="131"/>
      <c r="P271" s="131"/>
      <c r="Q271" s="131"/>
      <c r="R271" s="131"/>
      <c r="S271" s="131"/>
      <c r="T271" s="131"/>
      <c r="U271" s="6"/>
      <c r="V271" s="6"/>
      <c r="W271" s="6"/>
      <c r="X271" s="6"/>
      <c r="Y271" s="6"/>
      <c r="Z271" s="6"/>
      <c r="AA271" s="6"/>
      <c r="AB271" s="6"/>
    </row>
    <row r="272" ht="15.75" customHeight="1">
      <c r="A272" s="130"/>
      <c r="B272" s="2"/>
      <c r="C272" s="2"/>
      <c r="D272" s="2"/>
      <c r="E272" s="2"/>
      <c r="F272" s="2"/>
      <c r="G272" s="6"/>
      <c r="H272" s="6"/>
      <c r="I272" s="6"/>
      <c r="J272" s="6"/>
      <c r="K272" s="131"/>
      <c r="L272" s="131"/>
      <c r="M272" s="131"/>
      <c r="N272" s="131"/>
      <c r="O272" s="131"/>
      <c r="P272" s="131"/>
      <c r="Q272" s="131"/>
      <c r="R272" s="131"/>
      <c r="S272" s="131"/>
      <c r="T272" s="131"/>
      <c r="U272" s="6"/>
      <c r="V272" s="6"/>
      <c r="W272" s="6"/>
      <c r="X272" s="6"/>
      <c r="Y272" s="6"/>
      <c r="Z272" s="6"/>
      <c r="AA272" s="6"/>
      <c r="AB272" s="6"/>
    </row>
    <row r="273" ht="15.75" customHeight="1">
      <c r="A273" s="130"/>
      <c r="B273" s="2"/>
      <c r="C273" s="2"/>
      <c r="D273" s="2"/>
      <c r="E273" s="2"/>
      <c r="F273" s="2"/>
      <c r="G273" s="6"/>
      <c r="H273" s="6"/>
      <c r="I273" s="6"/>
      <c r="J273" s="6"/>
      <c r="K273" s="131"/>
      <c r="L273" s="131"/>
      <c r="M273" s="131"/>
      <c r="N273" s="131"/>
      <c r="O273" s="131"/>
      <c r="P273" s="131"/>
      <c r="Q273" s="131"/>
      <c r="R273" s="131"/>
      <c r="S273" s="131"/>
      <c r="T273" s="131"/>
      <c r="U273" s="6"/>
      <c r="V273" s="6"/>
      <c r="W273" s="6"/>
      <c r="X273" s="6"/>
      <c r="Y273" s="6"/>
      <c r="Z273" s="6"/>
      <c r="AA273" s="6"/>
      <c r="AB273" s="6"/>
    </row>
    <row r="274" ht="15.75" customHeight="1">
      <c r="A274" s="130"/>
      <c r="B274" s="2"/>
      <c r="C274" s="2"/>
      <c r="D274" s="2"/>
      <c r="E274" s="2"/>
      <c r="F274" s="2"/>
      <c r="G274" s="6"/>
      <c r="H274" s="6"/>
      <c r="I274" s="6"/>
      <c r="J274" s="6"/>
      <c r="K274" s="131"/>
      <c r="L274" s="131"/>
      <c r="M274" s="131"/>
      <c r="N274" s="131"/>
      <c r="O274" s="131"/>
      <c r="P274" s="131"/>
      <c r="Q274" s="131"/>
      <c r="R274" s="131"/>
      <c r="S274" s="131"/>
      <c r="T274" s="131"/>
      <c r="U274" s="6"/>
      <c r="V274" s="6"/>
      <c r="W274" s="6"/>
      <c r="X274" s="6"/>
      <c r="Y274" s="6"/>
      <c r="Z274" s="6"/>
      <c r="AA274" s="6"/>
      <c r="AB274" s="6"/>
    </row>
    <row r="275" ht="15.75" customHeight="1">
      <c r="A275" s="130"/>
      <c r="B275" s="2"/>
      <c r="C275" s="2"/>
      <c r="D275" s="2"/>
      <c r="E275" s="2"/>
      <c r="F275" s="2"/>
      <c r="G275" s="6"/>
      <c r="H275" s="6"/>
      <c r="I275" s="6"/>
      <c r="J275" s="6"/>
      <c r="K275" s="131"/>
      <c r="L275" s="131"/>
      <c r="M275" s="131"/>
      <c r="N275" s="131"/>
      <c r="O275" s="131"/>
      <c r="P275" s="131"/>
      <c r="Q275" s="131"/>
      <c r="R275" s="131"/>
      <c r="S275" s="131"/>
      <c r="T275" s="131"/>
      <c r="U275" s="6"/>
      <c r="V275" s="6"/>
      <c r="W275" s="6"/>
      <c r="X275" s="6"/>
      <c r="Y275" s="6"/>
      <c r="Z275" s="6"/>
      <c r="AA275" s="6"/>
      <c r="AB275" s="6"/>
    </row>
    <row r="276" ht="15.75" customHeight="1">
      <c r="A276" s="130"/>
      <c r="B276" s="2"/>
      <c r="C276" s="2"/>
      <c r="D276" s="2"/>
      <c r="E276" s="2"/>
      <c r="F276" s="2"/>
      <c r="G276" s="6"/>
      <c r="H276" s="6"/>
      <c r="I276" s="6"/>
      <c r="J276" s="6"/>
      <c r="K276" s="131"/>
      <c r="L276" s="131"/>
      <c r="M276" s="131"/>
      <c r="N276" s="131"/>
      <c r="O276" s="131"/>
      <c r="P276" s="131"/>
      <c r="Q276" s="131"/>
      <c r="R276" s="131"/>
      <c r="S276" s="131"/>
      <c r="T276" s="131"/>
      <c r="U276" s="6"/>
      <c r="V276" s="6"/>
      <c r="W276" s="6"/>
      <c r="X276" s="6"/>
      <c r="Y276" s="6"/>
      <c r="Z276" s="6"/>
      <c r="AA276" s="6"/>
      <c r="AB276" s="6"/>
    </row>
    <row r="277" ht="15.75" customHeight="1">
      <c r="A277" s="130"/>
      <c r="B277" s="2"/>
      <c r="C277" s="2"/>
      <c r="D277" s="2"/>
      <c r="E277" s="2"/>
      <c r="F277" s="2"/>
      <c r="G277" s="6"/>
      <c r="H277" s="6"/>
      <c r="I277" s="6"/>
      <c r="J277" s="6"/>
      <c r="K277" s="131"/>
      <c r="L277" s="131"/>
      <c r="M277" s="131"/>
      <c r="N277" s="131"/>
      <c r="O277" s="131"/>
      <c r="P277" s="131"/>
      <c r="Q277" s="131"/>
      <c r="R277" s="131"/>
      <c r="S277" s="131"/>
      <c r="T277" s="131"/>
      <c r="U277" s="6"/>
      <c r="V277" s="6"/>
      <c r="W277" s="6"/>
      <c r="X277" s="6"/>
      <c r="Y277" s="6"/>
      <c r="Z277" s="6"/>
      <c r="AA277" s="6"/>
      <c r="AB277" s="6"/>
    </row>
    <row r="278" ht="15.75" customHeight="1">
      <c r="A278" s="130"/>
      <c r="B278" s="2"/>
      <c r="C278" s="2"/>
      <c r="D278" s="2"/>
      <c r="E278" s="2"/>
      <c r="F278" s="2"/>
      <c r="G278" s="6"/>
      <c r="H278" s="6"/>
      <c r="I278" s="6"/>
      <c r="J278" s="6"/>
      <c r="K278" s="131"/>
      <c r="L278" s="131"/>
      <c r="M278" s="131"/>
      <c r="N278" s="131"/>
      <c r="O278" s="131"/>
      <c r="P278" s="131"/>
      <c r="Q278" s="131"/>
      <c r="R278" s="131"/>
      <c r="S278" s="131"/>
      <c r="T278" s="131"/>
      <c r="U278" s="6"/>
      <c r="V278" s="6"/>
      <c r="W278" s="6"/>
      <c r="X278" s="6"/>
      <c r="Y278" s="6"/>
      <c r="Z278" s="6"/>
      <c r="AA278" s="6"/>
      <c r="AB278" s="6"/>
    </row>
    <row r="279" ht="15.75" customHeight="1">
      <c r="A279" s="130"/>
      <c r="B279" s="2"/>
      <c r="C279" s="2"/>
      <c r="D279" s="2"/>
      <c r="E279" s="2"/>
      <c r="F279" s="2"/>
      <c r="G279" s="6"/>
      <c r="H279" s="6"/>
      <c r="I279" s="6"/>
      <c r="J279" s="6"/>
      <c r="K279" s="131"/>
      <c r="L279" s="131"/>
      <c r="M279" s="131"/>
      <c r="N279" s="131"/>
      <c r="O279" s="131"/>
      <c r="P279" s="131"/>
      <c r="Q279" s="131"/>
      <c r="R279" s="131"/>
      <c r="S279" s="131"/>
      <c r="T279" s="131"/>
      <c r="U279" s="6"/>
      <c r="V279" s="6"/>
      <c r="W279" s="6"/>
      <c r="X279" s="6"/>
      <c r="Y279" s="6"/>
      <c r="Z279" s="6"/>
      <c r="AA279" s="6"/>
      <c r="AB279" s="6"/>
    </row>
    <row r="280" ht="15.75" customHeight="1">
      <c r="A280" s="130"/>
      <c r="B280" s="2"/>
      <c r="C280" s="2"/>
      <c r="D280" s="2"/>
      <c r="E280" s="2"/>
      <c r="F280" s="2"/>
      <c r="G280" s="6"/>
      <c r="H280" s="6"/>
      <c r="I280" s="6"/>
      <c r="J280" s="6"/>
      <c r="K280" s="131"/>
      <c r="L280" s="131"/>
      <c r="M280" s="131"/>
      <c r="N280" s="131"/>
      <c r="O280" s="131"/>
      <c r="P280" s="131"/>
      <c r="Q280" s="131"/>
      <c r="R280" s="131"/>
      <c r="S280" s="131"/>
      <c r="T280" s="131"/>
      <c r="U280" s="6"/>
      <c r="V280" s="6"/>
      <c r="W280" s="6"/>
      <c r="X280" s="6"/>
      <c r="Y280" s="6"/>
      <c r="Z280" s="6"/>
      <c r="AA280" s="6"/>
      <c r="AB280" s="6"/>
    </row>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6">
    <mergeCell ref="I72:I74"/>
    <mergeCell ref="J72:J74"/>
    <mergeCell ref="H75:H78"/>
    <mergeCell ref="I75:I78"/>
    <mergeCell ref="J75:J78"/>
    <mergeCell ref="H61:H65"/>
    <mergeCell ref="I61:I65"/>
    <mergeCell ref="J61:J65"/>
    <mergeCell ref="H66:H71"/>
    <mergeCell ref="I66:I71"/>
    <mergeCell ref="J66:J71"/>
    <mergeCell ref="H72:H74"/>
    <mergeCell ref="A10:A15"/>
    <mergeCell ref="H10:H15"/>
    <mergeCell ref="A16:A21"/>
    <mergeCell ref="H16:H21"/>
    <mergeCell ref="A22:A27"/>
    <mergeCell ref="B22:C22"/>
    <mergeCell ref="H22:H27"/>
    <mergeCell ref="I22:I27"/>
    <mergeCell ref="J22:J27"/>
    <mergeCell ref="H28:H33"/>
    <mergeCell ref="I28:I33"/>
    <mergeCell ref="J28:J33"/>
    <mergeCell ref="I34:I36"/>
    <mergeCell ref="J34:J36"/>
    <mergeCell ref="A28:A33"/>
    <mergeCell ref="B28:C28"/>
    <mergeCell ref="A34:A36"/>
    <mergeCell ref="B34:C34"/>
    <mergeCell ref="A37:A42"/>
    <mergeCell ref="B37:C37"/>
    <mergeCell ref="B43:C43"/>
    <mergeCell ref="H34:H36"/>
    <mergeCell ref="H37:H42"/>
    <mergeCell ref="I37:I42"/>
    <mergeCell ref="J37:J42"/>
    <mergeCell ref="H43:H47"/>
    <mergeCell ref="I43:I47"/>
    <mergeCell ref="J43:J47"/>
    <mergeCell ref="H48:H52"/>
    <mergeCell ref="H53:H55"/>
    <mergeCell ref="I53:I55"/>
    <mergeCell ref="J53:J55"/>
    <mergeCell ref="H56:H60"/>
    <mergeCell ref="I56:I60"/>
    <mergeCell ref="J56:J60"/>
    <mergeCell ref="B61:C61"/>
    <mergeCell ref="B66:C66"/>
    <mergeCell ref="A43:A47"/>
    <mergeCell ref="A53:A55"/>
    <mergeCell ref="B53:C53"/>
    <mergeCell ref="A56:A60"/>
    <mergeCell ref="B56:C56"/>
    <mergeCell ref="A61:A65"/>
    <mergeCell ref="A66:A71"/>
  </mergeCells>
  <hyperlinks>
    <hyperlink r:id="rId1" ref="E12"/>
    <hyperlink r:id="rId2" ref="E13"/>
    <hyperlink r:id="rId3" ref="E14"/>
    <hyperlink r:id="rId4" ref="E18"/>
    <hyperlink r:id="rId5" ref="E19"/>
    <hyperlink r:id="rId6" ref="E20"/>
    <hyperlink r:id="rId7" ref="E25"/>
    <hyperlink r:id="rId8" ref="E26"/>
    <hyperlink r:id="rId9" ref="E27"/>
    <hyperlink r:id="rId10" ref="E29"/>
    <hyperlink r:id="rId11" ref="E30"/>
    <hyperlink r:id="rId12" ref="E34"/>
    <hyperlink r:id="rId13" ref="E35"/>
    <hyperlink r:id="rId14" ref="E38"/>
    <hyperlink r:id="rId15" ref="E39"/>
    <hyperlink r:id="rId16" ref="E40"/>
    <hyperlink r:id="rId17" ref="E44"/>
    <hyperlink r:id="rId18" ref="E45"/>
    <hyperlink r:id="rId19" ref="E50"/>
    <hyperlink r:id="rId20" ref="E51"/>
    <hyperlink r:id="rId21" ref="E53"/>
    <hyperlink r:id="rId22" ref="E54"/>
    <hyperlink r:id="rId23" ref="E55"/>
    <hyperlink r:id="rId24" ref="E57"/>
    <hyperlink r:id="rId25" ref="E58"/>
    <hyperlink r:id="rId26" ref="E59"/>
    <hyperlink r:id="rId27" ref="E62"/>
    <hyperlink r:id="rId28" ref="E63"/>
    <hyperlink r:id="rId29" ref="E67"/>
    <hyperlink r:id="rId30" ref="E68"/>
    <hyperlink r:id="rId31" ref="E69"/>
    <hyperlink r:id="rId32" ref="E72"/>
    <hyperlink r:id="rId33" ref="E73"/>
    <hyperlink r:id="rId34" ref="E74"/>
  </hyperlinks>
  <printOptions horizontalCentered="1"/>
  <pageMargins bottom="0.75" footer="0.0" header="0.0" left="1.25" right="0.25" top="0.75"/>
  <pageSetup paperSize="5" scale="60" orientation="landscape"/>
  <drawing r:id="rId3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25"/>
    <col customWidth="1" min="2" max="2" width="21.5"/>
    <col customWidth="1" min="3" max="3" width="3.5"/>
    <col customWidth="1" min="4" max="4" width="53.63"/>
    <col customWidth="1" min="5" max="23" width="8.63"/>
  </cols>
  <sheetData>
    <row r="1">
      <c r="A1" s="371"/>
      <c r="E1" s="372"/>
      <c r="F1" s="372"/>
      <c r="G1" s="372"/>
      <c r="H1" s="372"/>
      <c r="I1" s="372"/>
      <c r="J1" s="372"/>
      <c r="K1" s="372"/>
      <c r="L1" s="372"/>
      <c r="M1" s="372"/>
      <c r="N1" s="372"/>
      <c r="O1" s="372"/>
      <c r="P1" s="372"/>
      <c r="Q1" s="372"/>
      <c r="R1" s="372"/>
      <c r="S1" s="372"/>
      <c r="T1" s="372"/>
      <c r="U1" s="372"/>
      <c r="V1" s="372"/>
      <c r="W1" s="372"/>
      <c r="X1" s="372"/>
      <c r="Y1" s="372"/>
      <c r="Z1" s="372"/>
    </row>
    <row r="2">
      <c r="A2" s="371"/>
      <c r="B2" s="371"/>
      <c r="C2" s="371"/>
      <c r="D2" s="371"/>
      <c r="E2" s="372"/>
      <c r="F2" s="372"/>
      <c r="G2" s="372"/>
      <c r="H2" s="372"/>
      <c r="I2" s="372"/>
      <c r="J2" s="372"/>
      <c r="K2" s="372"/>
      <c r="L2" s="372"/>
      <c r="M2" s="372"/>
      <c r="N2" s="372"/>
      <c r="O2" s="372"/>
      <c r="P2" s="372"/>
      <c r="Q2" s="372"/>
      <c r="R2" s="372"/>
      <c r="S2" s="372"/>
      <c r="T2" s="372"/>
      <c r="U2" s="372"/>
      <c r="V2" s="372"/>
      <c r="W2" s="372"/>
      <c r="X2" s="372"/>
      <c r="Y2" s="372"/>
      <c r="Z2" s="372"/>
    </row>
    <row r="3">
      <c r="A3" s="371"/>
      <c r="B3" s="371"/>
      <c r="C3" s="371"/>
      <c r="D3" s="371"/>
      <c r="E3" s="372"/>
      <c r="F3" s="372"/>
      <c r="G3" s="372"/>
      <c r="H3" s="372"/>
      <c r="I3" s="372"/>
      <c r="J3" s="372"/>
      <c r="K3" s="372"/>
      <c r="L3" s="372"/>
      <c r="M3" s="372"/>
      <c r="N3" s="372"/>
      <c r="O3" s="372"/>
      <c r="P3" s="372"/>
      <c r="Q3" s="372"/>
      <c r="R3" s="372"/>
      <c r="S3" s="372"/>
      <c r="T3" s="372"/>
      <c r="U3" s="372"/>
      <c r="V3" s="372"/>
      <c r="W3" s="372"/>
      <c r="X3" s="372"/>
      <c r="Y3" s="372"/>
      <c r="Z3" s="372"/>
    </row>
    <row r="4">
      <c r="A4" s="371"/>
      <c r="B4" s="371"/>
      <c r="C4" s="371"/>
      <c r="D4" s="371"/>
      <c r="E4" s="372"/>
      <c r="F4" s="372"/>
      <c r="G4" s="372"/>
      <c r="H4" s="372"/>
      <c r="I4" s="372"/>
      <c r="J4" s="372"/>
      <c r="K4" s="372"/>
      <c r="L4" s="372"/>
      <c r="M4" s="372"/>
      <c r="N4" s="372"/>
      <c r="O4" s="372"/>
      <c r="P4" s="372"/>
      <c r="Q4" s="372"/>
      <c r="R4" s="372"/>
      <c r="S4" s="372"/>
      <c r="T4" s="372"/>
      <c r="U4" s="372"/>
      <c r="V4" s="372"/>
      <c r="W4" s="372"/>
      <c r="X4" s="372"/>
      <c r="Y4" s="372"/>
      <c r="Z4" s="372"/>
    </row>
    <row r="5">
      <c r="A5" s="371"/>
      <c r="B5" s="371"/>
      <c r="C5" s="371"/>
      <c r="D5" s="371"/>
      <c r="E5" s="372"/>
      <c r="F5" s="372"/>
      <c r="G5" s="372"/>
      <c r="H5" s="372"/>
      <c r="I5" s="372"/>
      <c r="J5" s="372"/>
      <c r="K5" s="372"/>
      <c r="L5" s="372"/>
      <c r="M5" s="372"/>
      <c r="N5" s="372"/>
      <c r="O5" s="372"/>
      <c r="P5" s="372"/>
      <c r="Q5" s="372"/>
      <c r="R5" s="372"/>
      <c r="S5" s="372"/>
      <c r="T5" s="372"/>
      <c r="U5" s="372"/>
      <c r="V5" s="372"/>
      <c r="W5" s="372"/>
      <c r="X5" s="372"/>
      <c r="Y5" s="372"/>
      <c r="Z5" s="372"/>
    </row>
    <row r="6">
      <c r="A6" s="373"/>
      <c r="E6" s="372"/>
      <c r="F6" s="372"/>
      <c r="G6" s="372"/>
      <c r="H6" s="372"/>
      <c r="I6" s="372"/>
      <c r="J6" s="372"/>
      <c r="K6" s="372"/>
      <c r="L6" s="372"/>
      <c r="M6" s="372"/>
      <c r="N6" s="372"/>
      <c r="O6" s="372"/>
      <c r="P6" s="372"/>
      <c r="Q6" s="372"/>
      <c r="R6" s="372"/>
      <c r="S6" s="372"/>
      <c r="T6" s="372"/>
      <c r="U6" s="372"/>
      <c r="V6" s="372"/>
      <c r="W6" s="372"/>
      <c r="X6" s="372"/>
      <c r="Y6" s="372"/>
      <c r="Z6" s="372"/>
    </row>
    <row r="7">
      <c r="A7" s="373"/>
      <c r="B7" s="373"/>
      <c r="C7" s="373"/>
      <c r="D7" s="373"/>
      <c r="E7" s="372"/>
      <c r="F7" s="372"/>
      <c r="G7" s="372"/>
      <c r="H7" s="372"/>
      <c r="I7" s="372"/>
      <c r="J7" s="372"/>
      <c r="K7" s="372"/>
      <c r="L7" s="372"/>
      <c r="M7" s="372"/>
      <c r="N7" s="372"/>
      <c r="O7" s="372"/>
      <c r="P7" s="372"/>
      <c r="Q7" s="372"/>
      <c r="R7" s="372"/>
      <c r="S7" s="372"/>
      <c r="T7" s="372"/>
      <c r="U7" s="372"/>
      <c r="V7" s="372"/>
      <c r="W7" s="372"/>
      <c r="X7" s="372"/>
      <c r="Y7" s="372"/>
      <c r="Z7" s="372"/>
    </row>
    <row r="8">
      <c r="A8" s="374"/>
      <c r="B8" s="375"/>
      <c r="C8" s="375"/>
      <c r="D8" s="375"/>
      <c r="E8" s="372"/>
      <c r="F8" s="372"/>
      <c r="G8" s="372"/>
      <c r="H8" s="372"/>
      <c r="I8" s="372"/>
      <c r="J8" s="372"/>
      <c r="K8" s="372"/>
      <c r="L8" s="372"/>
      <c r="M8" s="372"/>
      <c r="N8" s="372"/>
      <c r="O8" s="372"/>
      <c r="P8" s="372"/>
      <c r="Q8" s="372"/>
      <c r="R8" s="372"/>
      <c r="S8" s="372"/>
      <c r="T8" s="372"/>
      <c r="U8" s="372"/>
      <c r="V8" s="372"/>
      <c r="W8" s="372"/>
      <c r="X8" s="372"/>
      <c r="Y8" s="372"/>
      <c r="Z8" s="372"/>
    </row>
    <row r="9">
      <c r="A9" s="376"/>
      <c r="B9" s="377"/>
      <c r="C9" s="377"/>
      <c r="D9" s="377"/>
      <c r="E9" s="372"/>
      <c r="F9" s="372"/>
      <c r="G9" s="372"/>
      <c r="H9" s="372"/>
      <c r="I9" s="372"/>
      <c r="J9" s="372"/>
      <c r="K9" s="372"/>
      <c r="L9" s="372"/>
      <c r="M9" s="372"/>
      <c r="N9" s="372"/>
      <c r="O9" s="372"/>
      <c r="P9" s="372"/>
      <c r="Q9" s="372"/>
      <c r="R9" s="372"/>
      <c r="S9" s="372"/>
      <c r="T9" s="372"/>
      <c r="U9" s="372"/>
      <c r="V9" s="372"/>
      <c r="W9" s="372"/>
      <c r="X9" s="372"/>
      <c r="Y9" s="372"/>
      <c r="Z9" s="372"/>
    </row>
    <row r="10" ht="32.25" customHeight="1">
      <c r="A10" s="306">
        <v>1.0</v>
      </c>
      <c r="B10" s="303" t="s">
        <v>1352</v>
      </c>
      <c r="C10" s="29" t="s">
        <v>1353</v>
      </c>
      <c r="D10" s="303" t="s">
        <v>1354</v>
      </c>
      <c r="E10" s="378"/>
      <c r="F10" s="378"/>
      <c r="G10" s="378"/>
      <c r="H10" s="378"/>
      <c r="I10" s="378"/>
      <c r="J10" s="378"/>
      <c r="K10" s="378"/>
      <c r="L10" s="378"/>
      <c r="M10" s="378"/>
      <c r="N10" s="378"/>
      <c r="O10" s="378"/>
      <c r="P10" s="378"/>
      <c r="Q10" s="378"/>
      <c r="R10" s="378"/>
      <c r="S10" s="378"/>
      <c r="T10" s="378"/>
      <c r="U10" s="378"/>
      <c r="V10" s="378"/>
      <c r="W10" s="378"/>
      <c r="X10" s="378"/>
      <c r="Y10" s="378"/>
      <c r="Z10" s="378"/>
    </row>
    <row r="11" ht="32.25" customHeight="1">
      <c r="A11" s="306">
        <v>2.0</v>
      </c>
      <c r="B11" s="303" t="s">
        <v>1355</v>
      </c>
      <c r="C11" s="29" t="s">
        <v>1353</v>
      </c>
      <c r="D11" s="303" t="s">
        <v>1356</v>
      </c>
      <c r="E11" s="378"/>
      <c r="F11" s="378"/>
      <c r="G11" s="378"/>
      <c r="H11" s="378"/>
      <c r="I11" s="378"/>
      <c r="J11" s="378"/>
      <c r="K11" s="378"/>
      <c r="L11" s="378"/>
      <c r="M11" s="378"/>
      <c r="N11" s="378"/>
      <c r="O11" s="378"/>
      <c r="P11" s="378"/>
      <c r="Q11" s="378"/>
      <c r="R11" s="378"/>
      <c r="S11" s="378"/>
      <c r="T11" s="378"/>
      <c r="U11" s="378"/>
      <c r="V11" s="378"/>
      <c r="W11" s="378"/>
      <c r="X11" s="378"/>
      <c r="Y11" s="378"/>
      <c r="Z11" s="378"/>
    </row>
    <row r="12" ht="32.25" customHeight="1">
      <c r="A12" s="306">
        <v>3.0</v>
      </c>
      <c r="B12" s="303" t="s">
        <v>1357</v>
      </c>
      <c r="C12" s="29" t="s">
        <v>1353</v>
      </c>
      <c r="D12" s="303" t="s">
        <v>1358</v>
      </c>
      <c r="E12" s="378"/>
      <c r="F12" s="378"/>
      <c r="G12" s="378"/>
      <c r="H12" s="378"/>
      <c r="I12" s="378"/>
      <c r="J12" s="378"/>
      <c r="K12" s="378"/>
      <c r="L12" s="378"/>
      <c r="M12" s="378"/>
      <c r="N12" s="378"/>
      <c r="O12" s="378"/>
      <c r="P12" s="378"/>
      <c r="Q12" s="378"/>
      <c r="R12" s="378"/>
      <c r="S12" s="378"/>
      <c r="T12" s="378"/>
      <c r="U12" s="378"/>
      <c r="V12" s="378"/>
      <c r="W12" s="378"/>
      <c r="X12" s="378"/>
      <c r="Y12" s="378"/>
      <c r="Z12" s="378"/>
    </row>
    <row r="13" ht="32.25" customHeight="1">
      <c r="A13" s="306">
        <v>4.0</v>
      </c>
      <c r="B13" s="303" t="s">
        <v>1359</v>
      </c>
      <c r="C13" s="29" t="s">
        <v>1353</v>
      </c>
      <c r="D13" s="379" t="s">
        <v>1360</v>
      </c>
      <c r="E13" s="378"/>
      <c r="F13" s="378"/>
      <c r="G13" s="378"/>
      <c r="H13" s="378"/>
      <c r="I13" s="378"/>
      <c r="J13" s="378"/>
      <c r="K13" s="378"/>
      <c r="L13" s="378"/>
      <c r="M13" s="378"/>
      <c r="N13" s="378"/>
      <c r="O13" s="378"/>
      <c r="P13" s="378"/>
      <c r="Q13" s="378"/>
      <c r="R13" s="378"/>
      <c r="S13" s="378"/>
      <c r="T13" s="378"/>
      <c r="U13" s="378"/>
      <c r="V13" s="378"/>
      <c r="W13" s="378"/>
      <c r="X13" s="378"/>
      <c r="Y13" s="378"/>
      <c r="Z13" s="378"/>
    </row>
    <row r="14" ht="32.25" customHeight="1">
      <c r="A14" s="307">
        <v>5.0</v>
      </c>
      <c r="B14" s="302" t="s">
        <v>1361</v>
      </c>
      <c r="C14" s="207" t="s">
        <v>1353</v>
      </c>
      <c r="D14" s="303" t="s">
        <v>1362</v>
      </c>
      <c r="E14" s="378"/>
      <c r="F14" s="378"/>
      <c r="G14" s="378"/>
      <c r="H14" s="378"/>
      <c r="I14" s="378"/>
      <c r="J14" s="378"/>
      <c r="K14" s="378"/>
      <c r="L14" s="378"/>
      <c r="M14" s="378"/>
      <c r="N14" s="378"/>
      <c r="O14" s="378"/>
      <c r="P14" s="378"/>
      <c r="Q14" s="378"/>
      <c r="R14" s="378"/>
      <c r="S14" s="378"/>
      <c r="T14" s="378"/>
      <c r="U14" s="378"/>
      <c r="V14" s="378"/>
      <c r="W14" s="378"/>
      <c r="X14" s="378"/>
      <c r="Y14" s="378"/>
      <c r="Z14" s="378"/>
    </row>
    <row r="15" ht="32.25" customHeight="1">
      <c r="A15" s="32"/>
      <c r="B15" s="32"/>
      <c r="C15" s="32"/>
      <c r="D15" s="303"/>
      <c r="E15" s="378"/>
      <c r="F15" s="378"/>
      <c r="G15" s="378"/>
      <c r="H15" s="378"/>
      <c r="I15" s="378"/>
      <c r="J15" s="378"/>
      <c r="K15" s="378"/>
      <c r="L15" s="378"/>
      <c r="M15" s="378"/>
      <c r="N15" s="378"/>
      <c r="O15" s="378"/>
      <c r="P15" s="378"/>
      <c r="Q15" s="378"/>
      <c r="R15" s="378"/>
      <c r="S15" s="378"/>
      <c r="T15" s="378"/>
      <c r="U15" s="378"/>
      <c r="V15" s="378"/>
      <c r="W15" s="378"/>
      <c r="X15" s="378"/>
      <c r="Y15" s="378"/>
      <c r="Z15" s="378"/>
    </row>
    <row r="16" ht="32.25" customHeight="1">
      <c r="A16" s="306">
        <v>6.0</v>
      </c>
      <c r="B16" s="303" t="s">
        <v>1363</v>
      </c>
      <c r="C16" s="29" t="s">
        <v>1353</v>
      </c>
      <c r="D16" s="303" t="s">
        <v>1364</v>
      </c>
      <c r="E16" s="378"/>
      <c r="F16" s="378"/>
      <c r="G16" s="378"/>
      <c r="H16" s="378"/>
      <c r="I16" s="378"/>
      <c r="J16" s="378"/>
      <c r="K16" s="378"/>
      <c r="L16" s="378"/>
      <c r="M16" s="378"/>
      <c r="N16" s="378"/>
      <c r="O16" s="378"/>
      <c r="P16" s="378"/>
      <c r="Q16" s="378"/>
      <c r="R16" s="378"/>
      <c r="S16" s="378"/>
      <c r="T16" s="378"/>
      <c r="U16" s="378"/>
      <c r="V16" s="378"/>
      <c r="W16" s="378"/>
      <c r="X16" s="378"/>
      <c r="Y16" s="378"/>
      <c r="Z16" s="378"/>
    </row>
    <row r="17" ht="32.25" customHeight="1">
      <c r="A17" s="307">
        <v>7.0</v>
      </c>
      <c r="B17" s="302" t="s">
        <v>1365</v>
      </c>
      <c r="C17" s="207" t="s">
        <v>1353</v>
      </c>
      <c r="D17" s="303" t="s">
        <v>1366</v>
      </c>
      <c r="E17" s="378"/>
      <c r="F17" s="378"/>
      <c r="G17" s="378"/>
      <c r="H17" s="378"/>
      <c r="I17" s="378"/>
      <c r="J17" s="378"/>
      <c r="K17" s="378"/>
      <c r="L17" s="378"/>
      <c r="M17" s="378"/>
      <c r="N17" s="378"/>
      <c r="O17" s="378"/>
      <c r="P17" s="378"/>
      <c r="Q17" s="378"/>
      <c r="R17" s="378"/>
      <c r="S17" s="378"/>
      <c r="T17" s="378"/>
      <c r="U17" s="378"/>
      <c r="V17" s="378"/>
      <c r="W17" s="378"/>
      <c r="X17" s="378"/>
      <c r="Y17" s="378"/>
      <c r="Z17" s="378"/>
    </row>
    <row r="18" ht="32.25" customHeight="1">
      <c r="A18" s="32"/>
      <c r="B18" s="32"/>
      <c r="C18" s="32"/>
      <c r="D18" s="303"/>
      <c r="E18" s="378"/>
      <c r="F18" s="378"/>
      <c r="G18" s="378"/>
      <c r="H18" s="378"/>
      <c r="I18" s="378"/>
      <c r="J18" s="378"/>
      <c r="K18" s="378"/>
      <c r="L18" s="378"/>
      <c r="M18" s="378"/>
      <c r="N18" s="378"/>
      <c r="O18" s="378"/>
      <c r="P18" s="378"/>
      <c r="Q18" s="378"/>
      <c r="R18" s="378"/>
      <c r="S18" s="378"/>
      <c r="T18" s="378"/>
      <c r="U18" s="378"/>
      <c r="V18" s="378"/>
      <c r="W18" s="378"/>
      <c r="X18" s="378"/>
      <c r="Y18" s="378"/>
      <c r="Z18" s="378"/>
    </row>
    <row r="19">
      <c r="A19" s="372"/>
      <c r="B19" s="372"/>
      <c r="C19" s="372"/>
      <c r="D19" s="372"/>
      <c r="E19" s="372"/>
      <c r="F19" s="372"/>
      <c r="G19" s="372"/>
      <c r="H19" s="372"/>
      <c r="I19" s="372"/>
      <c r="J19" s="372"/>
      <c r="K19" s="372"/>
      <c r="L19" s="372"/>
      <c r="M19" s="372"/>
      <c r="N19" s="372"/>
      <c r="O19" s="372"/>
      <c r="P19" s="372"/>
      <c r="Q19" s="372"/>
      <c r="R19" s="372"/>
      <c r="S19" s="372"/>
      <c r="T19" s="372"/>
      <c r="U19" s="372"/>
      <c r="V19" s="372"/>
      <c r="W19" s="372"/>
      <c r="X19" s="372"/>
      <c r="Y19" s="372"/>
      <c r="Z19" s="372"/>
    </row>
    <row r="20">
      <c r="A20" s="372"/>
      <c r="B20" s="372"/>
      <c r="C20" s="372"/>
      <c r="D20" s="372"/>
      <c r="E20" s="372"/>
      <c r="F20" s="372"/>
      <c r="G20" s="372"/>
      <c r="H20" s="372"/>
      <c r="I20" s="372"/>
      <c r="J20" s="372"/>
      <c r="K20" s="372"/>
      <c r="L20" s="372"/>
      <c r="M20" s="372"/>
      <c r="N20" s="372"/>
      <c r="O20" s="372"/>
      <c r="P20" s="372"/>
      <c r="Q20" s="372"/>
      <c r="R20" s="372"/>
      <c r="S20" s="372"/>
      <c r="T20" s="372"/>
      <c r="U20" s="372"/>
      <c r="V20" s="372"/>
      <c r="W20" s="372"/>
      <c r="X20" s="372"/>
      <c r="Y20" s="372"/>
      <c r="Z20" s="372"/>
    </row>
    <row r="21" ht="15.75" customHeight="1">
      <c r="A21" s="372"/>
      <c r="B21" s="372"/>
      <c r="C21" s="372"/>
      <c r="D21" s="372"/>
      <c r="E21" s="372"/>
      <c r="F21" s="372"/>
      <c r="G21" s="372"/>
      <c r="H21" s="372"/>
      <c r="I21" s="372"/>
      <c r="J21" s="372"/>
      <c r="K21" s="372"/>
      <c r="L21" s="372"/>
      <c r="M21" s="372"/>
      <c r="N21" s="372"/>
      <c r="O21" s="372"/>
      <c r="P21" s="372"/>
      <c r="Q21" s="372"/>
      <c r="R21" s="372"/>
      <c r="S21" s="372"/>
      <c r="T21" s="372"/>
      <c r="U21" s="372"/>
      <c r="V21" s="372"/>
      <c r="W21" s="372"/>
      <c r="X21" s="372"/>
      <c r="Y21" s="372"/>
      <c r="Z21" s="372"/>
    </row>
    <row r="22" ht="15.75" customHeight="1">
      <c r="A22" s="372"/>
      <c r="B22" s="372"/>
      <c r="C22" s="372"/>
      <c r="D22" s="372"/>
      <c r="E22" s="372"/>
      <c r="F22" s="372"/>
      <c r="G22" s="372"/>
      <c r="H22" s="372"/>
      <c r="I22" s="372"/>
      <c r="J22" s="372"/>
      <c r="K22" s="372"/>
      <c r="L22" s="372"/>
      <c r="M22" s="372"/>
      <c r="N22" s="372"/>
      <c r="O22" s="372"/>
      <c r="P22" s="372"/>
      <c r="Q22" s="372"/>
      <c r="R22" s="372"/>
      <c r="S22" s="372"/>
      <c r="T22" s="372"/>
      <c r="U22" s="372"/>
      <c r="V22" s="372"/>
      <c r="W22" s="372"/>
      <c r="X22" s="372"/>
      <c r="Y22" s="372"/>
      <c r="Z22" s="372"/>
    </row>
    <row r="23" ht="15.75" customHeight="1">
      <c r="A23" s="372"/>
      <c r="B23" s="372"/>
      <c r="C23" s="372"/>
      <c r="D23" s="372"/>
      <c r="E23" s="372"/>
      <c r="F23" s="372"/>
      <c r="G23" s="372"/>
      <c r="H23" s="372"/>
      <c r="I23" s="372"/>
      <c r="J23" s="372"/>
      <c r="K23" s="372"/>
      <c r="L23" s="372"/>
      <c r="M23" s="372"/>
      <c r="N23" s="372"/>
      <c r="O23" s="372"/>
      <c r="P23" s="372"/>
      <c r="Q23" s="372"/>
      <c r="R23" s="372"/>
      <c r="S23" s="372"/>
      <c r="T23" s="372"/>
      <c r="U23" s="372"/>
      <c r="V23" s="372"/>
      <c r="W23" s="372"/>
      <c r="X23" s="372"/>
      <c r="Y23" s="372"/>
      <c r="Z23" s="372"/>
    </row>
    <row r="24" ht="15.75" customHeight="1">
      <c r="A24" s="372"/>
      <c r="B24" s="372"/>
      <c r="C24" s="372"/>
      <c r="D24" s="372"/>
      <c r="E24" s="372"/>
      <c r="F24" s="372"/>
      <c r="G24" s="372"/>
      <c r="H24" s="372"/>
      <c r="I24" s="372"/>
      <c r="J24" s="372"/>
      <c r="K24" s="372"/>
      <c r="L24" s="372"/>
      <c r="M24" s="372"/>
      <c r="N24" s="372"/>
      <c r="O24" s="372"/>
      <c r="P24" s="372"/>
      <c r="Q24" s="372"/>
      <c r="R24" s="372"/>
      <c r="S24" s="372"/>
      <c r="T24" s="372"/>
      <c r="U24" s="372"/>
      <c r="V24" s="372"/>
      <c r="W24" s="372"/>
      <c r="X24" s="372"/>
      <c r="Y24" s="372"/>
      <c r="Z24" s="372"/>
    </row>
    <row r="25" ht="15.75" customHeight="1">
      <c r="A25" s="372"/>
      <c r="B25" s="372"/>
      <c r="C25" s="372"/>
      <c r="D25" s="372"/>
      <c r="E25" s="372"/>
      <c r="F25" s="372"/>
      <c r="G25" s="372"/>
      <c r="H25" s="372"/>
      <c r="I25" s="372"/>
      <c r="J25" s="372"/>
      <c r="K25" s="372"/>
      <c r="L25" s="372"/>
      <c r="M25" s="372"/>
      <c r="N25" s="372"/>
      <c r="O25" s="372"/>
      <c r="P25" s="372"/>
      <c r="Q25" s="372"/>
      <c r="R25" s="372"/>
      <c r="S25" s="372"/>
      <c r="T25" s="372"/>
      <c r="U25" s="372"/>
      <c r="V25" s="372"/>
      <c r="W25" s="372"/>
      <c r="X25" s="372"/>
      <c r="Y25" s="372"/>
      <c r="Z25" s="372"/>
    </row>
    <row r="26" ht="15.75" customHeight="1">
      <c r="A26" s="372"/>
      <c r="B26" s="372"/>
      <c r="C26" s="372"/>
      <c r="D26" s="372"/>
      <c r="E26" s="372"/>
      <c r="F26" s="372"/>
      <c r="G26" s="372"/>
      <c r="H26" s="372"/>
      <c r="I26" s="372"/>
      <c r="J26" s="372"/>
      <c r="K26" s="372"/>
      <c r="L26" s="372"/>
      <c r="M26" s="372"/>
      <c r="N26" s="372"/>
      <c r="O26" s="372"/>
      <c r="P26" s="372"/>
      <c r="Q26" s="372"/>
      <c r="R26" s="372"/>
      <c r="S26" s="372"/>
      <c r="T26" s="372"/>
      <c r="U26" s="372"/>
      <c r="V26" s="372"/>
      <c r="W26" s="372"/>
      <c r="X26" s="372"/>
      <c r="Y26" s="372"/>
      <c r="Z26" s="372"/>
    </row>
    <row r="27" ht="15.75" customHeight="1">
      <c r="A27" s="372"/>
      <c r="B27" s="372"/>
      <c r="C27" s="372"/>
      <c r="D27" s="372"/>
      <c r="E27" s="372"/>
      <c r="F27" s="372"/>
      <c r="G27" s="372"/>
      <c r="H27" s="372"/>
      <c r="I27" s="372"/>
      <c r="J27" s="372"/>
      <c r="K27" s="372"/>
      <c r="L27" s="372"/>
      <c r="M27" s="372"/>
      <c r="N27" s="372"/>
      <c r="O27" s="372"/>
      <c r="P27" s="372"/>
      <c r="Q27" s="372"/>
      <c r="R27" s="372"/>
      <c r="S27" s="372"/>
      <c r="T27" s="372"/>
      <c r="U27" s="372"/>
      <c r="V27" s="372"/>
      <c r="W27" s="372"/>
      <c r="X27" s="372"/>
      <c r="Y27" s="372"/>
      <c r="Z27" s="372"/>
    </row>
    <row r="28" ht="15.75" customHeight="1">
      <c r="A28" s="372"/>
      <c r="B28" s="372"/>
      <c r="C28" s="372"/>
      <c r="D28" s="372"/>
      <c r="E28" s="372"/>
      <c r="F28" s="372"/>
      <c r="G28" s="372"/>
      <c r="H28" s="372"/>
      <c r="I28" s="372"/>
      <c r="J28" s="372"/>
      <c r="K28" s="372"/>
      <c r="L28" s="372"/>
      <c r="M28" s="372"/>
      <c r="N28" s="372"/>
      <c r="O28" s="372"/>
      <c r="P28" s="372"/>
      <c r="Q28" s="372"/>
      <c r="R28" s="372"/>
      <c r="S28" s="372"/>
      <c r="T28" s="372"/>
      <c r="U28" s="372"/>
      <c r="V28" s="372"/>
      <c r="W28" s="372"/>
      <c r="X28" s="372"/>
      <c r="Y28" s="372"/>
      <c r="Z28" s="372"/>
    </row>
    <row r="29" ht="15.75" customHeight="1">
      <c r="A29" s="372"/>
      <c r="B29" s="372"/>
      <c r="C29" s="372"/>
      <c r="D29" s="372"/>
      <c r="E29" s="372"/>
      <c r="F29" s="372"/>
      <c r="G29" s="372"/>
      <c r="H29" s="372"/>
      <c r="I29" s="372"/>
      <c r="J29" s="372"/>
      <c r="K29" s="372"/>
      <c r="L29" s="372"/>
      <c r="M29" s="372"/>
      <c r="N29" s="372"/>
      <c r="O29" s="372"/>
      <c r="P29" s="372"/>
      <c r="Q29" s="372"/>
      <c r="R29" s="372"/>
      <c r="S29" s="372"/>
      <c r="T29" s="372"/>
      <c r="U29" s="372"/>
      <c r="V29" s="372"/>
      <c r="W29" s="372"/>
      <c r="X29" s="372"/>
      <c r="Y29" s="372"/>
      <c r="Z29" s="372"/>
    </row>
    <row r="30" ht="15.75" customHeight="1">
      <c r="A30" s="372"/>
      <c r="B30" s="372"/>
      <c r="C30" s="372"/>
      <c r="D30" s="372"/>
      <c r="E30" s="372"/>
      <c r="F30" s="372"/>
      <c r="G30" s="372"/>
      <c r="H30" s="372"/>
      <c r="I30" s="372"/>
      <c r="J30" s="372"/>
      <c r="K30" s="372"/>
      <c r="L30" s="372"/>
      <c r="M30" s="372"/>
      <c r="N30" s="372"/>
      <c r="O30" s="372"/>
      <c r="P30" s="372"/>
      <c r="Q30" s="372"/>
      <c r="R30" s="372"/>
      <c r="S30" s="372"/>
      <c r="T30" s="372"/>
      <c r="U30" s="372"/>
      <c r="V30" s="372"/>
      <c r="W30" s="372"/>
      <c r="X30" s="372"/>
      <c r="Y30" s="372"/>
      <c r="Z30" s="372"/>
    </row>
    <row r="31" ht="15.75" customHeight="1">
      <c r="A31" s="372"/>
      <c r="B31" s="372"/>
      <c r="C31" s="372"/>
      <c r="D31" s="372"/>
      <c r="E31" s="372"/>
      <c r="F31" s="372"/>
      <c r="G31" s="372"/>
      <c r="H31" s="372"/>
      <c r="I31" s="372"/>
      <c r="J31" s="372"/>
      <c r="K31" s="372"/>
      <c r="L31" s="372"/>
      <c r="M31" s="372"/>
      <c r="N31" s="372"/>
      <c r="O31" s="372"/>
      <c r="P31" s="372"/>
      <c r="Q31" s="372"/>
      <c r="R31" s="372"/>
      <c r="S31" s="372"/>
      <c r="T31" s="372"/>
      <c r="U31" s="372"/>
      <c r="V31" s="372"/>
      <c r="W31" s="372"/>
      <c r="X31" s="372"/>
      <c r="Y31" s="372"/>
      <c r="Z31" s="372"/>
    </row>
    <row r="32" ht="15.75" customHeight="1">
      <c r="A32" s="372"/>
      <c r="B32" s="372"/>
      <c r="C32" s="372"/>
      <c r="D32" s="372"/>
      <c r="E32" s="372"/>
      <c r="F32" s="372"/>
      <c r="G32" s="372"/>
      <c r="H32" s="372"/>
      <c r="I32" s="372"/>
      <c r="J32" s="372"/>
      <c r="K32" s="372"/>
      <c r="L32" s="372"/>
      <c r="M32" s="372"/>
      <c r="N32" s="372"/>
      <c r="O32" s="372"/>
      <c r="P32" s="372"/>
      <c r="Q32" s="372"/>
      <c r="R32" s="372"/>
      <c r="S32" s="372"/>
      <c r="T32" s="372"/>
      <c r="U32" s="372"/>
      <c r="V32" s="372"/>
      <c r="W32" s="372"/>
      <c r="X32" s="372"/>
      <c r="Y32" s="372"/>
      <c r="Z32" s="372"/>
    </row>
    <row r="33" ht="15.75" customHeight="1">
      <c r="A33" s="372"/>
      <c r="B33" s="372"/>
      <c r="C33" s="372"/>
      <c r="D33" s="372"/>
      <c r="E33" s="372"/>
      <c r="F33" s="372"/>
      <c r="G33" s="372"/>
      <c r="H33" s="372"/>
      <c r="I33" s="372"/>
      <c r="J33" s="372"/>
      <c r="K33" s="372"/>
      <c r="L33" s="372"/>
      <c r="M33" s="372"/>
      <c r="N33" s="372"/>
      <c r="O33" s="372"/>
      <c r="P33" s="372"/>
      <c r="Q33" s="372"/>
      <c r="R33" s="372"/>
      <c r="S33" s="372"/>
      <c r="T33" s="372"/>
      <c r="U33" s="372"/>
      <c r="V33" s="372"/>
      <c r="W33" s="372"/>
      <c r="X33" s="372"/>
      <c r="Y33" s="372"/>
      <c r="Z33" s="372"/>
    </row>
    <row r="34" ht="15.75" customHeight="1">
      <c r="A34" s="372"/>
      <c r="B34" s="372"/>
      <c r="C34" s="372"/>
      <c r="D34" s="372"/>
      <c r="E34" s="372"/>
      <c r="F34" s="372"/>
      <c r="G34" s="372"/>
      <c r="H34" s="372"/>
      <c r="I34" s="372"/>
      <c r="J34" s="372"/>
      <c r="K34" s="372"/>
      <c r="L34" s="372"/>
      <c r="M34" s="372"/>
      <c r="N34" s="372"/>
      <c r="O34" s="372"/>
      <c r="P34" s="372"/>
      <c r="Q34" s="372"/>
      <c r="R34" s="372"/>
      <c r="S34" s="372"/>
      <c r="T34" s="372"/>
      <c r="U34" s="372"/>
      <c r="V34" s="372"/>
      <c r="W34" s="372"/>
      <c r="X34" s="372"/>
      <c r="Y34" s="372"/>
      <c r="Z34" s="372"/>
    </row>
    <row r="35" ht="15.75" customHeight="1">
      <c r="A35" s="372"/>
      <c r="B35" s="372"/>
      <c r="C35" s="372"/>
      <c r="D35" s="372"/>
      <c r="E35" s="372"/>
      <c r="F35" s="372"/>
      <c r="G35" s="372"/>
      <c r="H35" s="372"/>
      <c r="I35" s="372"/>
      <c r="J35" s="372"/>
      <c r="K35" s="372"/>
      <c r="L35" s="372"/>
      <c r="M35" s="372"/>
      <c r="N35" s="372"/>
      <c r="O35" s="372"/>
      <c r="P35" s="372"/>
      <c r="Q35" s="372"/>
      <c r="R35" s="372"/>
      <c r="S35" s="372"/>
      <c r="T35" s="372"/>
      <c r="U35" s="372"/>
      <c r="V35" s="372"/>
      <c r="W35" s="372"/>
      <c r="X35" s="372"/>
      <c r="Y35" s="372"/>
      <c r="Z35" s="372"/>
    </row>
    <row r="36" ht="15.75" customHeight="1">
      <c r="A36" s="372"/>
      <c r="B36" s="372"/>
      <c r="C36" s="372"/>
      <c r="D36" s="372"/>
      <c r="E36" s="372"/>
      <c r="F36" s="372"/>
      <c r="G36" s="372"/>
      <c r="H36" s="372"/>
      <c r="I36" s="372"/>
      <c r="J36" s="372"/>
      <c r="K36" s="372"/>
      <c r="L36" s="372"/>
      <c r="M36" s="372"/>
      <c r="N36" s="372"/>
      <c r="O36" s="372"/>
      <c r="P36" s="372"/>
      <c r="Q36" s="372"/>
      <c r="R36" s="372"/>
      <c r="S36" s="372"/>
      <c r="T36" s="372"/>
      <c r="U36" s="372"/>
      <c r="V36" s="372"/>
      <c r="W36" s="372"/>
      <c r="X36" s="372"/>
      <c r="Y36" s="372"/>
      <c r="Z36" s="372"/>
    </row>
    <row r="37" ht="15.75" customHeight="1">
      <c r="A37" s="372"/>
      <c r="B37" s="372"/>
      <c r="C37" s="372"/>
      <c r="D37" s="372"/>
      <c r="E37" s="372"/>
      <c r="F37" s="372"/>
      <c r="G37" s="372"/>
      <c r="H37" s="372"/>
      <c r="I37" s="372"/>
      <c r="J37" s="372"/>
      <c r="K37" s="372"/>
      <c r="L37" s="372"/>
      <c r="M37" s="372"/>
      <c r="N37" s="372"/>
      <c r="O37" s="372"/>
      <c r="P37" s="372"/>
      <c r="Q37" s="372"/>
      <c r="R37" s="372"/>
      <c r="S37" s="372"/>
      <c r="T37" s="372"/>
      <c r="U37" s="372"/>
      <c r="V37" s="372"/>
      <c r="W37" s="372"/>
      <c r="X37" s="372"/>
      <c r="Y37" s="372"/>
      <c r="Z37" s="372"/>
    </row>
    <row r="38" ht="15.75" customHeight="1">
      <c r="A38" s="372"/>
      <c r="B38" s="372"/>
      <c r="C38" s="372"/>
      <c r="D38" s="372"/>
      <c r="E38" s="372"/>
      <c r="F38" s="372"/>
      <c r="G38" s="372"/>
      <c r="H38" s="372"/>
      <c r="I38" s="372"/>
      <c r="J38" s="372"/>
      <c r="K38" s="372"/>
      <c r="L38" s="372"/>
      <c r="M38" s="372"/>
      <c r="N38" s="372"/>
      <c r="O38" s="372"/>
      <c r="P38" s="372"/>
      <c r="Q38" s="372"/>
      <c r="R38" s="372"/>
      <c r="S38" s="372"/>
      <c r="T38" s="372"/>
      <c r="U38" s="372"/>
      <c r="V38" s="372"/>
      <c r="W38" s="372"/>
      <c r="X38" s="372"/>
      <c r="Y38" s="372"/>
      <c r="Z38" s="372"/>
    </row>
    <row r="39" ht="15.75" customHeight="1">
      <c r="A39" s="372"/>
      <c r="B39" s="372"/>
      <c r="C39" s="372"/>
      <c r="D39" s="372"/>
      <c r="E39" s="372"/>
      <c r="F39" s="372"/>
      <c r="G39" s="372"/>
      <c r="H39" s="372"/>
      <c r="I39" s="372"/>
      <c r="J39" s="372"/>
      <c r="K39" s="372"/>
      <c r="L39" s="372"/>
      <c r="M39" s="372"/>
      <c r="N39" s="372"/>
      <c r="O39" s="372"/>
      <c r="P39" s="372"/>
      <c r="Q39" s="372"/>
      <c r="R39" s="372"/>
      <c r="S39" s="372"/>
      <c r="T39" s="372"/>
      <c r="U39" s="372"/>
      <c r="V39" s="372"/>
      <c r="W39" s="372"/>
      <c r="X39" s="372"/>
      <c r="Y39" s="372"/>
      <c r="Z39" s="372"/>
    </row>
    <row r="40" ht="15.75" customHeight="1">
      <c r="A40" s="372"/>
      <c r="B40" s="372"/>
      <c r="C40" s="372"/>
      <c r="D40" s="372"/>
      <c r="E40" s="372"/>
      <c r="F40" s="372"/>
      <c r="G40" s="372"/>
      <c r="H40" s="372"/>
      <c r="I40" s="372"/>
      <c r="J40" s="372"/>
      <c r="K40" s="372"/>
      <c r="L40" s="372"/>
      <c r="M40" s="372"/>
      <c r="N40" s="372"/>
      <c r="O40" s="372"/>
      <c r="P40" s="372"/>
      <c r="Q40" s="372"/>
      <c r="R40" s="372"/>
      <c r="S40" s="372"/>
      <c r="T40" s="372"/>
      <c r="U40" s="372"/>
      <c r="V40" s="372"/>
      <c r="W40" s="372"/>
      <c r="X40" s="372"/>
      <c r="Y40" s="372"/>
      <c r="Z40" s="372"/>
    </row>
    <row r="41" ht="15.75" customHeight="1">
      <c r="A41" s="372"/>
      <c r="B41" s="372"/>
      <c r="C41" s="372"/>
      <c r="D41" s="372"/>
      <c r="E41" s="372"/>
      <c r="F41" s="372"/>
      <c r="G41" s="372"/>
      <c r="H41" s="372"/>
      <c r="I41" s="372"/>
      <c r="J41" s="372"/>
      <c r="K41" s="372"/>
      <c r="L41" s="372"/>
      <c r="M41" s="372"/>
      <c r="N41" s="372"/>
      <c r="O41" s="372"/>
      <c r="P41" s="372"/>
      <c r="Q41" s="372"/>
      <c r="R41" s="372"/>
      <c r="S41" s="372"/>
      <c r="T41" s="372"/>
      <c r="U41" s="372"/>
      <c r="V41" s="372"/>
      <c r="W41" s="372"/>
      <c r="X41" s="372"/>
      <c r="Y41" s="372"/>
      <c r="Z41" s="372"/>
    </row>
    <row r="42" ht="15.75" customHeight="1">
      <c r="A42" s="372"/>
      <c r="B42" s="372"/>
      <c r="C42" s="372"/>
      <c r="D42" s="372"/>
      <c r="E42" s="372"/>
      <c r="F42" s="372"/>
      <c r="G42" s="372"/>
      <c r="H42" s="372"/>
      <c r="I42" s="372"/>
      <c r="J42" s="372"/>
      <c r="K42" s="372"/>
      <c r="L42" s="372"/>
      <c r="M42" s="372"/>
      <c r="N42" s="372"/>
      <c r="O42" s="372"/>
      <c r="P42" s="372"/>
      <c r="Q42" s="372"/>
      <c r="R42" s="372"/>
      <c r="S42" s="372"/>
      <c r="T42" s="372"/>
      <c r="U42" s="372"/>
      <c r="V42" s="372"/>
      <c r="W42" s="372"/>
      <c r="X42" s="372"/>
      <c r="Y42" s="372"/>
      <c r="Z42" s="372"/>
    </row>
    <row r="43" ht="15.75" customHeight="1">
      <c r="A43" s="372"/>
      <c r="B43" s="372"/>
      <c r="C43" s="372"/>
      <c r="D43" s="372"/>
      <c r="E43" s="372"/>
      <c r="F43" s="372"/>
      <c r="G43" s="372"/>
      <c r="H43" s="372"/>
      <c r="I43" s="372"/>
      <c r="J43" s="372"/>
      <c r="K43" s="372"/>
      <c r="L43" s="372"/>
      <c r="M43" s="372"/>
      <c r="N43" s="372"/>
      <c r="O43" s="372"/>
      <c r="P43" s="372"/>
      <c r="Q43" s="372"/>
      <c r="R43" s="372"/>
      <c r="S43" s="372"/>
      <c r="T43" s="372"/>
      <c r="U43" s="372"/>
      <c r="V43" s="372"/>
      <c r="W43" s="372"/>
      <c r="X43" s="372"/>
      <c r="Y43" s="372"/>
      <c r="Z43" s="372"/>
    </row>
    <row r="44" ht="15.75" customHeight="1">
      <c r="A44" s="372"/>
      <c r="B44" s="372"/>
      <c r="C44" s="372"/>
      <c r="D44" s="372"/>
      <c r="E44" s="372"/>
      <c r="F44" s="372"/>
      <c r="G44" s="372"/>
      <c r="H44" s="372"/>
      <c r="I44" s="372"/>
      <c r="J44" s="372"/>
      <c r="K44" s="372"/>
      <c r="L44" s="372"/>
      <c r="M44" s="372"/>
      <c r="N44" s="372"/>
      <c r="O44" s="372"/>
      <c r="P44" s="372"/>
      <c r="Q44" s="372"/>
      <c r="R44" s="372"/>
      <c r="S44" s="372"/>
      <c r="T44" s="372"/>
      <c r="U44" s="372"/>
      <c r="V44" s="372"/>
      <c r="W44" s="372"/>
      <c r="X44" s="372"/>
      <c r="Y44" s="372"/>
      <c r="Z44" s="372"/>
    </row>
    <row r="45" ht="15.75" customHeight="1">
      <c r="A45" s="372"/>
      <c r="B45" s="372"/>
      <c r="C45" s="372"/>
      <c r="D45" s="372"/>
      <c r="E45" s="372"/>
      <c r="F45" s="372"/>
      <c r="G45" s="372"/>
      <c r="H45" s="372"/>
      <c r="I45" s="372"/>
      <c r="J45" s="372"/>
      <c r="K45" s="372"/>
      <c r="L45" s="372"/>
      <c r="M45" s="372"/>
      <c r="N45" s="372"/>
      <c r="O45" s="372"/>
      <c r="P45" s="372"/>
      <c r="Q45" s="372"/>
      <c r="R45" s="372"/>
      <c r="S45" s="372"/>
      <c r="T45" s="372"/>
      <c r="U45" s="372"/>
      <c r="V45" s="372"/>
      <c r="W45" s="372"/>
      <c r="X45" s="372"/>
      <c r="Y45" s="372"/>
      <c r="Z45" s="372"/>
    </row>
    <row r="46" ht="15.75" customHeight="1">
      <c r="A46" s="372"/>
      <c r="B46" s="372"/>
      <c r="C46" s="372"/>
      <c r="D46" s="372"/>
      <c r="E46" s="372"/>
      <c r="F46" s="372"/>
      <c r="G46" s="372"/>
      <c r="H46" s="372"/>
      <c r="I46" s="372"/>
      <c r="J46" s="372"/>
      <c r="K46" s="372"/>
      <c r="L46" s="372"/>
      <c r="M46" s="372"/>
      <c r="N46" s="372"/>
      <c r="O46" s="372"/>
      <c r="P46" s="372"/>
      <c r="Q46" s="372"/>
      <c r="R46" s="372"/>
      <c r="S46" s="372"/>
      <c r="T46" s="372"/>
      <c r="U46" s="372"/>
      <c r="V46" s="372"/>
      <c r="W46" s="372"/>
      <c r="X46" s="372"/>
      <c r="Y46" s="372"/>
      <c r="Z46" s="372"/>
    </row>
    <row r="47" ht="15.75" customHeight="1">
      <c r="A47" s="372"/>
      <c r="B47" s="372"/>
      <c r="C47" s="372"/>
      <c r="D47" s="372"/>
      <c r="E47" s="372"/>
      <c r="F47" s="372"/>
      <c r="G47" s="372"/>
      <c r="H47" s="372"/>
      <c r="I47" s="372"/>
      <c r="J47" s="372"/>
      <c r="K47" s="372"/>
      <c r="L47" s="372"/>
      <c r="M47" s="372"/>
      <c r="N47" s="372"/>
      <c r="O47" s="372"/>
      <c r="P47" s="372"/>
      <c r="Q47" s="372"/>
      <c r="R47" s="372"/>
      <c r="S47" s="372"/>
      <c r="T47" s="372"/>
      <c r="U47" s="372"/>
      <c r="V47" s="372"/>
      <c r="W47" s="372"/>
      <c r="X47" s="372"/>
      <c r="Y47" s="372"/>
      <c r="Z47" s="372"/>
    </row>
    <row r="48" ht="15.75" customHeight="1">
      <c r="A48" s="372"/>
      <c r="B48" s="372"/>
      <c r="C48" s="372"/>
      <c r="D48" s="372"/>
      <c r="E48" s="372"/>
      <c r="F48" s="372"/>
      <c r="G48" s="372"/>
      <c r="H48" s="372"/>
      <c r="I48" s="372"/>
      <c r="J48" s="372"/>
      <c r="K48" s="372"/>
      <c r="L48" s="372"/>
      <c r="M48" s="372"/>
      <c r="N48" s="372"/>
      <c r="O48" s="372"/>
      <c r="P48" s="372"/>
      <c r="Q48" s="372"/>
      <c r="R48" s="372"/>
      <c r="S48" s="372"/>
      <c r="T48" s="372"/>
      <c r="U48" s="372"/>
      <c r="V48" s="372"/>
      <c r="W48" s="372"/>
      <c r="X48" s="372"/>
      <c r="Y48" s="372"/>
      <c r="Z48" s="372"/>
    </row>
    <row r="49" ht="15.75" customHeight="1">
      <c r="A49" s="372"/>
      <c r="B49" s="372"/>
      <c r="C49" s="372"/>
      <c r="D49" s="372"/>
      <c r="E49" s="372"/>
      <c r="F49" s="372"/>
      <c r="G49" s="372"/>
      <c r="H49" s="372"/>
      <c r="I49" s="372"/>
      <c r="J49" s="372"/>
      <c r="K49" s="372"/>
      <c r="L49" s="372"/>
      <c r="M49" s="372"/>
      <c r="N49" s="372"/>
      <c r="O49" s="372"/>
      <c r="P49" s="372"/>
      <c r="Q49" s="372"/>
      <c r="R49" s="372"/>
      <c r="S49" s="372"/>
      <c r="T49" s="372"/>
      <c r="U49" s="372"/>
      <c r="V49" s="372"/>
      <c r="W49" s="372"/>
      <c r="X49" s="372"/>
      <c r="Y49" s="372"/>
      <c r="Z49" s="372"/>
    </row>
    <row r="50" ht="15.75" customHeight="1">
      <c r="A50" s="372"/>
      <c r="B50" s="372"/>
      <c r="C50" s="372"/>
      <c r="D50" s="372"/>
      <c r="E50" s="372"/>
      <c r="F50" s="372"/>
      <c r="G50" s="372"/>
      <c r="H50" s="372"/>
      <c r="I50" s="372"/>
      <c r="J50" s="372"/>
      <c r="K50" s="372"/>
      <c r="L50" s="372"/>
      <c r="M50" s="372"/>
      <c r="N50" s="372"/>
      <c r="O50" s="372"/>
      <c r="P50" s="372"/>
      <c r="Q50" s="372"/>
      <c r="R50" s="372"/>
      <c r="S50" s="372"/>
      <c r="T50" s="372"/>
      <c r="U50" s="372"/>
      <c r="V50" s="372"/>
      <c r="W50" s="372"/>
      <c r="X50" s="372"/>
      <c r="Y50" s="372"/>
      <c r="Z50" s="372"/>
    </row>
    <row r="51" ht="15.75" customHeight="1">
      <c r="A51" s="372"/>
      <c r="B51" s="372"/>
      <c r="C51" s="372"/>
      <c r="D51" s="372"/>
      <c r="E51" s="372"/>
      <c r="F51" s="372"/>
      <c r="G51" s="372"/>
      <c r="H51" s="372"/>
      <c r="I51" s="372"/>
      <c r="J51" s="372"/>
      <c r="K51" s="372"/>
      <c r="L51" s="372"/>
      <c r="M51" s="372"/>
      <c r="N51" s="372"/>
      <c r="O51" s="372"/>
      <c r="P51" s="372"/>
      <c r="Q51" s="372"/>
      <c r="R51" s="372"/>
      <c r="S51" s="372"/>
      <c r="T51" s="372"/>
      <c r="U51" s="372"/>
      <c r="V51" s="372"/>
      <c r="W51" s="372"/>
      <c r="X51" s="372"/>
      <c r="Y51" s="372"/>
      <c r="Z51" s="372"/>
    </row>
    <row r="52" ht="15.75" customHeight="1">
      <c r="A52" s="372"/>
      <c r="B52" s="372"/>
      <c r="C52" s="372"/>
      <c r="D52" s="372"/>
      <c r="E52" s="372"/>
      <c r="F52" s="372"/>
      <c r="G52" s="372"/>
      <c r="H52" s="372"/>
      <c r="I52" s="372"/>
      <c r="J52" s="372"/>
      <c r="K52" s="372"/>
      <c r="L52" s="372"/>
      <c r="M52" s="372"/>
      <c r="N52" s="372"/>
      <c r="O52" s="372"/>
      <c r="P52" s="372"/>
      <c r="Q52" s="372"/>
      <c r="R52" s="372"/>
      <c r="S52" s="372"/>
      <c r="T52" s="372"/>
      <c r="U52" s="372"/>
      <c r="V52" s="372"/>
      <c r="W52" s="372"/>
      <c r="X52" s="372"/>
      <c r="Y52" s="372"/>
      <c r="Z52" s="372"/>
    </row>
    <row r="53" ht="15.75" customHeight="1">
      <c r="A53" s="372"/>
      <c r="B53" s="372"/>
      <c r="C53" s="372"/>
      <c r="D53" s="372"/>
      <c r="E53" s="372"/>
      <c r="F53" s="372"/>
      <c r="G53" s="372"/>
      <c r="H53" s="372"/>
      <c r="I53" s="372"/>
      <c r="J53" s="372"/>
      <c r="K53" s="372"/>
      <c r="L53" s="372"/>
      <c r="M53" s="372"/>
      <c r="N53" s="372"/>
      <c r="O53" s="372"/>
      <c r="P53" s="372"/>
      <c r="Q53" s="372"/>
      <c r="R53" s="372"/>
      <c r="S53" s="372"/>
      <c r="T53" s="372"/>
      <c r="U53" s="372"/>
      <c r="V53" s="372"/>
      <c r="W53" s="372"/>
      <c r="X53" s="372"/>
      <c r="Y53" s="372"/>
      <c r="Z53" s="372"/>
    </row>
    <row r="54" ht="15.75" customHeight="1">
      <c r="A54" s="372"/>
      <c r="B54" s="372"/>
      <c r="C54" s="372"/>
      <c r="D54" s="372"/>
      <c r="E54" s="372"/>
      <c r="F54" s="372"/>
      <c r="G54" s="372"/>
      <c r="H54" s="372"/>
      <c r="I54" s="372"/>
      <c r="J54" s="372"/>
      <c r="K54" s="372"/>
      <c r="L54" s="372"/>
      <c r="M54" s="372"/>
      <c r="N54" s="372"/>
      <c r="O54" s="372"/>
      <c r="P54" s="372"/>
      <c r="Q54" s="372"/>
      <c r="R54" s="372"/>
      <c r="S54" s="372"/>
      <c r="T54" s="372"/>
      <c r="U54" s="372"/>
      <c r="V54" s="372"/>
      <c r="W54" s="372"/>
      <c r="X54" s="372"/>
      <c r="Y54" s="372"/>
      <c r="Z54" s="372"/>
    </row>
    <row r="55" ht="15.75" customHeight="1">
      <c r="A55" s="372"/>
      <c r="B55" s="372"/>
      <c r="C55" s="372"/>
      <c r="D55" s="372"/>
      <c r="E55" s="372"/>
      <c r="F55" s="372"/>
      <c r="G55" s="372"/>
      <c r="H55" s="372"/>
      <c r="I55" s="372"/>
      <c r="J55" s="372"/>
      <c r="K55" s="372"/>
      <c r="L55" s="372"/>
      <c r="M55" s="372"/>
      <c r="N55" s="372"/>
      <c r="O55" s="372"/>
      <c r="P55" s="372"/>
      <c r="Q55" s="372"/>
      <c r="R55" s="372"/>
      <c r="S55" s="372"/>
      <c r="T55" s="372"/>
      <c r="U55" s="372"/>
      <c r="V55" s="372"/>
      <c r="W55" s="372"/>
      <c r="X55" s="372"/>
      <c r="Y55" s="372"/>
      <c r="Z55" s="372"/>
    </row>
    <row r="56" ht="15.75" customHeight="1">
      <c r="A56" s="372"/>
      <c r="B56" s="372"/>
      <c r="C56" s="372"/>
      <c r="D56" s="372"/>
      <c r="E56" s="372"/>
      <c r="F56" s="372"/>
      <c r="G56" s="372"/>
      <c r="H56" s="372"/>
      <c r="I56" s="372"/>
      <c r="J56" s="372"/>
      <c r="K56" s="372"/>
      <c r="L56" s="372"/>
      <c r="M56" s="372"/>
      <c r="N56" s="372"/>
      <c r="O56" s="372"/>
      <c r="P56" s="372"/>
      <c r="Q56" s="372"/>
      <c r="R56" s="372"/>
      <c r="S56" s="372"/>
      <c r="T56" s="372"/>
      <c r="U56" s="372"/>
      <c r="V56" s="372"/>
      <c r="W56" s="372"/>
      <c r="X56" s="372"/>
      <c r="Y56" s="372"/>
      <c r="Z56" s="372"/>
    </row>
    <row r="57" ht="15.75" customHeight="1">
      <c r="A57" s="372"/>
      <c r="B57" s="372"/>
      <c r="C57" s="372"/>
      <c r="D57" s="372"/>
      <c r="E57" s="372"/>
      <c r="F57" s="372"/>
      <c r="G57" s="372"/>
      <c r="H57" s="372"/>
      <c r="I57" s="372"/>
      <c r="J57" s="372"/>
      <c r="K57" s="372"/>
      <c r="L57" s="372"/>
      <c r="M57" s="372"/>
      <c r="N57" s="372"/>
      <c r="O57" s="372"/>
      <c r="P57" s="372"/>
      <c r="Q57" s="372"/>
      <c r="R57" s="372"/>
      <c r="S57" s="372"/>
      <c r="T57" s="372"/>
      <c r="U57" s="372"/>
      <c r="V57" s="372"/>
      <c r="W57" s="372"/>
      <c r="X57" s="372"/>
      <c r="Y57" s="372"/>
      <c r="Z57" s="372"/>
    </row>
    <row r="58" ht="15.75" customHeight="1">
      <c r="A58" s="372"/>
      <c r="B58" s="372"/>
      <c r="C58" s="372"/>
      <c r="D58" s="372"/>
      <c r="E58" s="372"/>
      <c r="F58" s="372"/>
      <c r="G58" s="372"/>
      <c r="H58" s="372"/>
      <c r="I58" s="372"/>
      <c r="J58" s="372"/>
      <c r="K58" s="372"/>
      <c r="L58" s="372"/>
      <c r="M58" s="372"/>
      <c r="N58" s="372"/>
      <c r="O58" s="372"/>
      <c r="P58" s="372"/>
      <c r="Q58" s="372"/>
      <c r="R58" s="372"/>
      <c r="S58" s="372"/>
      <c r="T58" s="372"/>
      <c r="U58" s="372"/>
      <c r="V58" s="372"/>
      <c r="W58" s="372"/>
      <c r="X58" s="372"/>
      <c r="Y58" s="372"/>
      <c r="Z58" s="372"/>
    </row>
    <row r="59" ht="15.75" customHeight="1">
      <c r="A59" s="372"/>
      <c r="B59" s="372"/>
      <c r="C59" s="372"/>
      <c r="D59" s="372"/>
      <c r="E59" s="372"/>
      <c r="F59" s="372"/>
      <c r="G59" s="372"/>
      <c r="H59" s="372"/>
      <c r="I59" s="372"/>
      <c r="J59" s="372"/>
      <c r="K59" s="372"/>
      <c r="L59" s="372"/>
      <c r="M59" s="372"/>
      <c r="N59" s="372"/>
      <c r="O59" s="372"/>
      <c r="P59" s="372"/>
      <c r="Q59" s="372"/>
      <c r="R59" s="372"/>
      <c r="S59" s="372"/>
      <c r="T59" s="372"/>
      <c r="U59" s="372"/>
      <c r="V59" s="372"/>
      <c r="W59" s="372"/>
      <c r="X59" s="372"/>
      <c r="Y59" s="372"/>
      <c r="Z59" s="372"/>
    </row>
    <row r="60" ht="15.75" customHeight="1">
      <c r="A60" s="372"/>
      <c r="B60" s="372"/>
      <c r="C60" s="372"/>
      <c r="D60" s="372"/>
      <c r="E60" s="372"/>
      <c r="F60" s="372"/>
      <c r="G60" s="372"/>
      <c r="H60" s="372"/>
      <c r="I60" s="372"/>
      <c r="J60" s="372"/>
      <c r="K60" s="372"/>
      <c r="L60" s="372"/>
      <c r="M60" s="372"/>
      <c r="N60" s="372"/>
      <c r="O60" s="372"/>
      <c r="P60" s="372"/>
      <c r="Q60" s="372"/>
      <c r="R60" s="372"/>
      <c r="S60" s="372"/>
      <c r="T60" s="372"/>
      <c r="U60" s="372"/>
      <c r="V60" s="372"/>
      <c r="W60" s="372"/>
      <c r="X60" s="372"/>
      <c r="Y60" s="372"/>
      <c r="Z60" s="372"/>
    </row>
    <row r="61" ht="15.75" customHeight="1">
      <c r="A61" s="372"/>
      <c r="B61" s="372"/>
      <c r="C61" s="372"/>
      <c r="D61" s="372"/>
      <c r="E61" s="372"/>
      <c r="F61" s="372"/>
      <c r="G61" s="372"/>
      <c r="H61" s="372"/>
      <c r="I61" s="372"/>
      <c r="J61" s="372"/>
      <c r="K61" s="372"/>
      <c r="L61" s="372"/>
      <c r="M61" s="372"/>
      <c r="N61" s="372"/>
      <c r="O61" s="372"/>
      <c r="P61" s="372"/>
      <c r="Q61" s="372"/>
      <c r="R61" s="372"/>
      <c r="S61" s="372"/>
      <c r="T61" s="372"/>
      <c r="U61" s="372"/>
      <c r="V61" s="372"/>
      <c r="W61" s="372"/>
      <c r="X61" s="372"/>
      <c r="Y61" s="372"/>
      <c r="Z61" s="372"/>
    </row>
    <row r="62" ht="15.75" customHeight="1">
      <c r="A62" s="372"/>
      <c r="B62" s="372"/>
      <c r="C62" s="372"/>
      <c r="D62" s="372"/>
      <c r="E62" s="372"/>
      <c r="F62" s="372"/>
      <c r="G62" s="372"/>
      <c r="H62" s="372"/>
      <c r="I62" s="372"/>
      <c r="J62" s="372"/>
      <c r="K62" s="372"/>
      <c r="L62" s="372"/>
      <c r="M62" s="372"/>
      <c r="N62" s="372"/>
      <c r="O62" s="372"/>
      <c r="P62" s="372"/>
      <c r="Q62" s="372"/>
      <c r="R62" s="372"/>
      <c r="S62" s="372"/>
      <c r="T62" s="372"/>
      <c r="U62" s="372"/>
      <c r="V62" s="372"/>
      <c r="W62" s="372"/>
      <c r="X62" s="372"/>
      <c r="Y62" s="372"/>
      <c r="Z62" s="372"/>
    </row>
    <row r="63" ht="15.75" customHeight="1">
      <c r="A63" s="372"/>
      <c r="B63" s="372"/>
      <c r="C63" s="372"/>
      <c r="D63" s="372"/>
      <c r="E63" s="372"/>
      <c r="F63" s="372"/>
      <c r="G63" s="372"/>
      <c r="H63" s="372"/>
      <c r="I63" s="372"/>
      <c r="J63" s="372"/>
      <c r="K63" s="372"/>
      <c r="L63" s="372"/>
      <c r="M63" s="372"/>
      <c r="N63" s="372"/>
      <c r="O63" s="372"/>
      <c r="P63" s="372"/>
      <c r="Q63" s="372"/>
      <c r="R63" s="372"/>
      <c r="S63" s="372"/>
      <c r="T63" s="372"/>
      <c r="U63" s="372"/>
      <c r="V63" s="372"/>
      <c r="W63" s="372"/>
      <c r="X63" s="372"/>
      <c r="Y63" s="372"/>
      <c r="Z63" s="372"/>
    </row>
    <row r="64" ht="15.75" customHeight="1">
      <c r="A64" s="372"/>
      <c r="B64" s="372"/>
      <c r="C64" s="372"/>
      <c r="D64" s="372"/>
      <c r="E64" s="372"/>
      <c r="F64" s="372"/>
      <c r="G64" s="372"/>
      <c r="H64" s="372"/>
      <c r="I64" s="372"/>
      <c r="J64" s="372"/>
      <c r="K64" s="372"/>
      <c r="L64" s="372"/>
      <c r="M64" s="372"/>
      <c r="N64" s="372"/>
      <c r="O64" s="372"/>
      <c r="P64" s="372"/>
      <c r="Q64" s="372"/>
      <c r="R64" s="372"/>
      <c r="S64" s="372"/>
      <c r="T64" s="372"/>
      <c r="U64" s="372"/>
      <c r="V64" s="372"/>
      <c r="W64" s="372"/>
      <c r="X64" s="372"/>
      <c r="Y64" s="372"/>
      <c r="Z64" s="372"/>
    </row>
    <row r="65" ht="15.75" customHeight="1">
      <c r="A65" s="372"/>
      <c r="B65" s="372"/>
      <c r="C65" s="372"/>
      <c r="D65" s="372"/>
      <c r="E65" s="372"/>
      <c r="F65" s="372"/>
      <c r="G65" s="372"/>
      <c r="H65" s="372"/>
      <c r="I65" s="372"/>
      <c r="J65" s="372"/>
      <c r="K65" s="372"/>
      <c r="L65" s="372"/>
      <c r="M65" s="372"/>
      <c r="N65" s="372"/>
      <c r="O65" s="372"/>
      <c r="P65" s="372"/>
      <c r="Q65" s="372"/>
      <c r="R65" s="372"/>
      <c r="S65" s="372"/>
      <c r="T65" s="372"/>
      <c r="U65" s="372"/>
      <c r="V65" s="372"/>
      <c r="W65" s="372"/>
      <c r="X65" s="372"/>
      <c r="Y65" s="372"/>
      <c r="Z65" s="372"/>
    </row>
    <row r="66" ht="15.75" customHeight="1">
      <c r="A66" s="372"/>
      <c r="B66" s="372"/>
      <c r="C66" s="372"/>
      <c r="D66" s="372"/>
      <c r="E66" s="372"/>
      <c r="F66" s="372"/>
      <c r="G66" s="372"/>
      <c r="H66" s="372"/>
      <c r="I66" s="372"/>
      <c r="J66" s="372"/>
      <c r="K66" s="372"/>
      <c r="L66" s="372"/>
      <c r="M66" s="372"/>
      <c r="N66" s="372"/>
      <c r="O66" s="372"/>
      <c r="P66" s="372"/>
      <c r="Q66" s="372"/>
      <c r="R66" s="372"/>
      <c r="S66" s="372"/>
      <c r="T66" s="372"/>
      <c r="U66" s="372"/>
      <c r="V66" s="372"/>
      <c r="W66" s="372"/>
      <c r="X66" s="372"/>
      <c r="Y66" s="372"/>
      <c r="Z66" s="372"/>
    </row>
    <row r="67" ht="15.75" customHeight="1">
      <c r="A67" s="372"/>
      <c r="B67" s="372"/>
      <c r="C67" s="372"/>
      <c r="D67" s="372"/>
      <c r="E67" s="372"/>
      <c r="F67" s="372"/>
      <c r="G67" s="372"/>
      <c r="H67" s="372"/>
      <c r="I67" s="372"/>
      <c r="J67" s="372"/>
      <c r="K67" s="372"/>
      <c r="L67" s="372"/>
      <c r="M67" s="372"/>
      <c r="N67" s="372"/>
      <c r="O67" s="372"/>
      <c r="P67" s="372"/>
      <c r="Q67" s="372"/>
      <c r="R67" s="372"/>
      <c r="S67" s="372"/>
      <c r="T67" s="372"/>
      <c r="U67" s="372"/>
      <c r="V67" s="372"/>
      <c r="W67" s="372"/>
      <c r="X67" s="372"/>
      <c r="Y67" s="372"/>
      <c r="Z67" s="372"/>
    </row>
    <row r="68" ht="15.75" customHeight="1">
      <c r="A68" s="372"/>
      <c r="B68" s="372"/>
      <c r="C68" s="372"/>
      <c r="D68" s="372"/>
      <c r="E68" s="372"/>
      <c r="F68" s="372"/>
      <c r="G68" s="372"/>
      <c r="H68" s="372"/>
      <c r="I68" s="372"/>
      <c r="J68" s="372"/>
      <c r="K68" s="372"/>
      <c r="L68" s="372"/>
      <c r="M68" s="372"/>
      <c r="N68" s="372"/>
      <c r="O68" s="372"/>
      <c r="P68" s="372"/>
      <c r="Q68" s="372"/>
      <c r="R68" s="372"/>
      <c r="S68" s="372"/>
      <c r="T68" s="372"/>
      <c r="U68" s="372"/>
      <c r="V68" s="372"/>
      <c r="W68" s="372"/>
      <c r="X68" s="372"/>
      <c r="Y68" s="372"/>
      <c r="Z68" s="372"/>
    </row>
    <row r="69" ht="15.75" customHeight="1">
      <c r="A69" s="372"/>
      <c r="B69" s="372"/>
      <c r="C69" s="372"/>
      <c r="D69" s="372"/>
      <c r="E69" s="372"/>
      <c r="F69" s="372"/>
      <c r="G69" s="372"/>
      <c r="H69" s="372"/>
      <c r="I69" s="372"/>
      <c r="J69" s="372"/>
      <c r="K69" s="372"/>
      <c r="L69" s="372"/>
      <c r="M69" s="372"/>
      <c r="N69" s="372"/>
      <c r="O69" s="372"/>
      <c r="P69" s="372"/>
      <c r="Q69" s="372"/>
      <c r="R69" s="372"/>
      <c r="S69" s="372"/>
      <c r="T69" s="372"/>
      <c r="U69" s="372"/>
      <c r="V69" s="372"/>
      <c r="W69" s="372"/>
      <c r="X69" s="372"/>
      <c r="Y69" s="372"/>
      <c r="Z69" s="372"/>
    </row>
    <row r="70" ht="15.75" customHeight="1">
      <c r="A70" s="372"/>
      <c r="B70" s="372"/>
      <c r="C70" s="372"/>
      <c r="D70" s="372"/>
      <c r="E70" s="372"/>
      <c r="F70" s="372"/>
      <c r="G70" s="372"/>
      <c r="H70" s="372"/>
      <c r="I70" s="372"/>
      <c r="J70" s="372"/>
      <c r="K70" s="372"/>
      <c r="L70" s="372"/>
      <c r="M70" s="372"/>
      <c r="N70" s="372"/>
      <c r="O70" s="372"/>
      <c r="P70" s="372"/>
      <c r="Q70" s="372"/>
      <c r="R70" s="372"/>
      <c r="S70" s="372"/>
      <c r="T70" s="372"/>
      <c r="U70" s="372"/>
      <c r="V70" s="372"/>
      <c r="W70" s="372"/>
      <c r="X70" s="372"/>
      <c r="Y70" s="372"/>
      <c r="Z70" s="372"/>
    </row>
    <row r="71" ht="15.75" customHeight="1">
      <c r="A71" s="372"/>
      <c r="B71" s="372"/>
      <c r="C71" s="372"/>
      <c r="D71" s="372"/>
      <c r="E71" s="372"/>
      <c r="F71" s="372"/>
      <c r="G71" s="372"/>
      <c r="H71" s="372"/>
      <c r="I71" s="372"/>
      <c r="J71" s="372"/>
      <c r="K71" s="372"/>
      <c r="L71" s="372"/>
      <c r="M71" s="372"/>
      <c r="N71" s="372"/>
      <c r="O71" s="372"/>
      <c r="P71" s="372"/>
      <c r="Q71" s="372"/>
      <c r="R71" s="372"/>
      <c r="S71" s="372"/>
      <c r="T71" s="372"/>
      <c r="U71" s="372"/>
      <c r="V71" s="372"/>
      <c r="W71" s="372"/>
      <c r="X71" s="372"/>
      <c r="Y71" s="372"/>
      <c r="Z71" s="372"/>
    </row>
    <row r="72" ht="15.75" customHeight="1">
      <c r="A72" s="372"/>
      <c r="B72" s="372"/>
      <c r="C72" s="372"/>
      <c r="D72" s="372"/>
      <c r="E72" s="372"/>
      <c r="F72" s="372"/>
      <c r="G72" s="372"/>
      <c r="H72" s="372"/>
      <c r="I72" s="372"/>
      <c r="J72" s="372"/>
      <c r="K72" s="372"/>
      <c r="L72" s="372"/>
      <c r="M72" s="372"/>
      <c r="N72" s="372"/>
      <c r="O72" s="372"/>
      <c r="P72" s="372"/>
      <c r="Q72" s="372"/>
      <c r="R72" s="372"/>
      <c r="S72" s="372"/>
      <c r="T72" s="372"/>
      <c r="U72" s="372"/>
      <c r="V72" s="372"/>
      <c r="W72" s="372"/>
      <c r="X72" s="372"/>
      <c r="Y72" s="372"/>
      <c r="Z72" s="372"/>
    </row>
    <row r="73" ht="15.75" customHeight="1">
      <c r="A73" s="372"/>
      <c r="B73" s="372"/>
      <c r="C73" s="372"/>
      <c r="D73" s="372"/>
      <c r="E73" s="372"/>
      <c r="F73" s="372"/>
      <c r="G73" s="372"/>
      <c r="H73" s="372"/>
      <c r="I73" s="372"/>
      <c r="J73" s="372"/>
      <c r="K73" s="372"/>
      <c r="L73" s="372"/>
      <c r="M73" s="372"/>
      <c r="N73" s="372"/>
      <c r="O73" s="372"/>
      <c r="P73" s="372"/>
      <c r="Q73" s="372"/>
      <c r="R73" s="372"/>
      <c r="S73" s="372"/>
      <c r="T73" s="372"/>
      <c r="U73" s="372"/>
      <c r="V73" s="372"/>
      <c r="W73" s="372"/>
      <c r="X73" s="372"/>
      <c r="Y73" s="372"/>
      <c r="Z73" s="372"/>
    </row>
    <row r="74" ht="15.75" customHeight="1">
      <c r="A74" s="372"/>
      <c r="B74" s="372"/>
      <c r="C74" s="372"/>
      <c r="D74" s="372"/>
      <c r="E74" s="372"/>
      <c r="F74" s="372"/>
      <c r="G74" s="372"/>
      <c r="H74" s="372"/>
      <c r="I74" s="372"/>
      <c r="J74" s="372"/>
      <c r="K74" s="372"/>
      <c r="L74" s="372"/>
      <c r="M74" s="372"/>
      <c r="N74" s="372"/>
      <c r="O74" s="372"/>
      <c r="P74" s="372"/>
      <c r="Q74" s="372"/>
      <c r="R74" s="372"/>
      <c r="S74" s="372"/>
      <c r="T74" s="372"/>
      <c r="U74" s="372"/>
      <c r="V74" s="372"/>
      <c r="W74" s="372"/>
      <c r="X74" s="372"/>
      <c r="Y74" s="372"/>
      <c r="Z74" s="372"/>
    </row>
    <row r="75" ht="15.75" customHeight="1">
      <c r="A75" s="372"/>
      <c r="B75" s="372"/>
      <c r="C75" s="372"/>
      <c r="D75" s="372"/>
      <c r="E75" s="372"/>
      <c r="F75" s="372"/>
      <c r="G75" s="372"/>
      <c r="H75" s="372"/>
      <c r="I75" s="372"/>
      <c r="J75" s="372"/>
      <c r="K75" s="372"/>
      <c r="L75" s="372"/>
      <c r="M75" s="372"/>
      <c r="N75" s="372"/>
      <c r="O75" s="372"/>
      <c r="P75" s="372"/>
      <c r="Q75" s="372"/>
      <c r="R75" s="372"/>
      <c r="S75" s="372"/>
      <c r="T75" s="372"/>
      <c r="U75" s="372"/>
      <c r="V75" s="372"/>
      <c r="W75" s="372"/>
      <c r="X75" s="372"/>
      <c r="Y75" s="372"/>
      <c r="Z75" s="372"/>
    </row>
    <row r="76" ht="15.75" customHeight="1">
      <c r="A76" s="372"/>
      <c r="B76" s="372"/>
      <c r="C76" s="372"/>
      <c r="D76" s="372"/>
      <c r="E76" s="372"/>
      <c r="F76" s="372"/>
      <c r="G76" s="372"/>
      <c r="H76" s="372"/>
      <c r="I76" s="372"/>
      <c r="J76" s="372"/>
      <c r="K76" s="372"/>
      <c r="L76" s="372"/>
      <c r="M76" s="372"/>
      <c r="N76" s="372"/>
      <c r="O76" s="372"/>
      <c r="P76" s="372"/>
      <c r="Q76" s="372"/>
      <c r="R76" s="372"/>
      <c r="S76" s="372"/>
      <c r="T76" s="372"/>
      <c r="U76" s="372"/>
      <c r="V76" s="372"/>
      <c r="W76" s="372"/>
      <c r="X76" s="372"/>
      <c r="Y76" s="372"/>
      <c r="Z76" s="372"/>
    </row>
    <row r="77" ht="15.75" customHeight="1">
      <c r="A77" s="372"/>
      <c r="B77" s="372"/>
      <c r="C77" s="372"/>
      <c r="D77" s="372"/>
      <c r="E77" s="372"/>
      <c r="F77" s="372"/>
      <c r="G77" s="372"/>
      <c r="H77" s="372"/>
      <c r="I77" s="372"/>
      <c r="J77" s="372"/>
      <c r="K77" s="372"/>
      <c r="L77" s="372"/>
      <c r="M77" s="372"/>
      <c r="N77" s="372"/>
      <c r="O77" s="372"/>
      <c r="P77" s="372"/>
      <c r="Q77" s="372"/>
      <c r="R77" s="372"/>
      <c r="S77" s="372"/>
      <c r="T77" s="372"/>
      <c r="U77" s="372"/>
      <c r="V77" s="372"/>
      <c r="W77" s="372"/>
      <c r="X77" s="372"/>
      <c r="Y77" s="372"/>
      <c r="Z77" s="372"/>
    </row>
    <row r="78" ht="15.75" customHeight="1">
      <c r="A78" s="372"/>
      <c r="B78" s="372"/>
      <c r="C78" s="372"/>
      <c r="D78" s="372"/>
      <c r="E78" s="372"/>
      <c r="F78" s="372"/>
      <c r="G78" s="372"/>
      <c r="H78" s="372"/>
      <c r="I78" s="372"/>
      <c r="J78" s="372"/>
      <c r="K78" s="372"/>
      <c r="L78" s="372"/>
      <c r="M78" s="372"/>
      <c r="N78" s="372"/>
      <c r="O78" s="372"/>
      <c r="P78" s="372"/>
      <c r="Q78" s="372"/>
      <c r="R78" s="372"/>
      <c r="S78" s="372"/>
      <c r="T78" s="372"/>
      <c r="U78" s="372"/>
      <c r="V78" s="372"/>
      <c r="W78" s="372"/>
      <c r="X78" s="372"/>
      <c r="Y78" s="372"/>
      <c r="Z78" s="372"/>
    </row>
    <row r="79" ht="15.75" customHeight="1">
      <c r="A79" s="372"/>
      <c r="B79" s="372"/>
      <c r="C79" s="372"/>
      <c r="D79" s="372"/>
      <c r="E79" s="372"/>
      <c r="F79" s="372"/>
      <c r="G79" s="372"/>
      <c r="H79" s="372"/>
      <c r="I79" s="372"/>
      <c r="J79" s="372"/>
      <c r="K79" s="372"/>
      <c r="L79" s="372"/>
      <c r="M79" s="372"/>
      <c r="N79" s="372"/>
      <c r="O79" s="372"/>
      <c r="P79" s="372"/>
      <c r="Q79" s="372"/>
      <c r="R79" s="372"/>
      <c r="S79" s="372"/>
      <c r="T79" s="372"/>
      <c r="U79" s="372"/>
      <c r="V79" s="372"/>
      <c r="W79" s="372"/>
      <c r="X79" s="372"/>
      <c r="Y79" s="372"/>
      <c r="Z79" s="372"/>
    </row>
    <row r="80" ht="15.75" customHeight="1">
      <c r="A80" s="372"/>
      <c r="B80" s="372"/>
      <c r="C80" s="372"/>
      <c r="D80" s="372"/>
      <c r="E80" s="372"/>
      <c r="F80" s="372"/>
      <c r="G80" s="372"/>
      <c r="H80" s="372"/>
      <c r="I80" s="372"/>
      <c r="J80" s="372"/>
      <c r="K80" s="372"/>
      <c r="L80" s="372"/>
      <c r="M80" s="372"/>
      <c r="N80" s="372"/>
      <c r="O80" s="372"/>
      <c r="P80" s="372"/>
      <c r="Q80" s="372"/>
      <c r="R80" s="372"/>
      <c r="S80" s="372"/>
      <c r="T80" s="372"/>
      <c r="U80" s="372"/>
      <c r="V80" s="372"/>
      <c r="W80" s="372"/>
      <c r="X80" s="372"/>
      <c r="Y80" s="372"/>
      <c r="Z80" s="372"/>
    </row>
    <row r="81" ht="15.75" customHeight="1">
      <c r="A81" s="372"/>
      <c r="B81" s="372"/>
      <c r="C81" s="372"/>
      <c r="D81" s="372"/>
      <c r="E81" s="372"/>
      <c r="F81" s="372"/>
      <c r="G81" s="372"/>
      <c r="H81" s="372"/>
      <c r="I81" s="372"/>
      <c r="J81" s="372"/>
      <c r="K81" s="372"/>
      <c r="L81" s="372"/>
      <c r="M81" s="372"/>
      <c r="N81" s="372"/>
      <c r="O81" s="372"/>
      <c r="P81" s="372"/>
      <c r="Q81" s="372"/>
      <c r="R81" s="372"/>
      <c r="S81" s="372"/>
      <c r="T81" s="372"/>
      <c r="U81" s="372"/>
      <c r="V81" s="372"/>
      <c r="W81" s="372"/>
      <c r="X81" s="372"/>
      <c r="Y81" s="372"/>
      <c r="Z81" s="372"/>
    </row>
    <row r="82" ht="15.75" customHeight="1">
      <c r="A82" s="372"/>
      <c r="B82" s="372"/>
      <c r="C82" s="372"/>
      <c r="D82" s="372"/>
      <c r="E82" s="372"/>
      <c r="F82" s="372"/>
      <c r="G82" s="372"/>
      <c r="H82" s="372"/>
      <c r="I82" s="372"/>
      <c r="J82" s="372"/>
      <c r="K82" s="372"/>
      <c r="L82" s="372"/>
      <c r="M82" s="372"/>
      <c r="N82" s="372"/>
      <c r="O82" s="372"/>
      <c r="P82" s="372"/>
      <c r="Q82" s="372"/>
      <c r="R82" s="372"/>
      <c r="S82" s="372"/>
      <c r="T82" s="372"/>
      <c r="U82" s="372"/>
      <c r="V82" s="372"/>
      <c r="W82" s="372"/>
      <c r="X82" s="372"/>
      <c r="Y82" s="372"/>
      <c r="Z82" s="372"/>
    </row>
    <row r="83" ht="15.75" customHeight="1">
      <c r="A83" s="372"/>
      <c r="B83" s="372"/>
      <c r="C83" s="372"/>
      <c r="D83" s="372"/>
      <c r="E83" s="372"/>
      <c r="F83" s="372"/>
      <c r="G83" s="372"/>
      <c r="H83" s="372"/>
      <c r="I83" s="372"/>
      <c r="J83" s="372"/>
      <c r="K83" s="372"/>
      <c r="L83" s="372"/>
      <c r="M83" s="372"/>
      <c r="N83" s="372"/>
      <c r="O83" s="372"/>
      <c r="P83" s="372"/>
      <c r="Q83" s="372"/>
      <c r="R83" s="372"/>
      <c r="S83" s="372"/>
      <c r="T83" s="372"/>
      <c r="U83" s="372"/>
      <c r="V83" s="372"/>
      <c r="W83" s="372"/>
      <c r="X83" s="372"/>
      <c r="Y83" s="372"/>
      <c r="Z83" s="372"/>
    </row>
    <row r="84" ht="15.75" customHeight="1">
      <c r="A84" s="372"/>
      <c r="B84" s="372"/>
      <c r="C84" s="372"/>
      <c r="D84" s="372"/>
      <c r="E84" s="372"/>
      <c r="F84" s="372"/>
      <c r="G84" s="372"/>
      <c r="H84" s="372"/>
      <c r="I84" s="372"/>
      <c r="J84" s="372"/>
      <c r="K84" s="372"/>
      <c r="L84" s="372"/>
      <c r="M84" s="372"/>
      <c r="N84" s="372"/>
      <c r="O84" s="372"/>
      <c r="P84" s="372"/>
      <c r="Q84" s="372"/>
      <c r="R84" s="372"/>
      <c r="S84" s="372"/>
      <c r="T84" s="372"/>
      <c r="U84" s="372"/>
      <c r="V84" s="372"/>
      <c r="W84" s="372"/>
      <c r="X84" s="372"/>
      <c r="Y84" s="372"/>
      <c r="Z84" s="372"/>
    </row>
    <row r="85" ht="15.75" customHeight="1">
      <c r="A85" s="372"/>
      <c r="B85" s="372"/>
      <c r="C85" s="372"/>
      <c r="D85" s="372"/>
      <c r="E85" s="372"/>
      <c r="F85" s="372"/>
      <c r="G85" s="372"/>
      <c r="H85" s="372"/>
      <c r="I85" s="372"/>
      <c r="J85" s="372"/>
      <c r="K85" s="372"/>
      <c r="L85" s="372"/>
      <c r="M85" s="372"/>
      <c r="N85" s="372"/>
      <c r="O85" s="372"/>
      <c r="P85" s="372"/>
      <c r="Q85" s="372"/>
      <c r="R85" s="372"/>
      <c r="S85" s="372"/>
      <c r="T85" s="372"/>
      <c r="U85" s="372"/>
      <c r="V85" s="372"/>
      <c r="W85" s="372"/>
      <c r="X85" s="372"/>
      <c r="Y85" s="372"/>
      <c r="Z85" s="372"/>
    </row>
    <row r="86" ht="15.75" customHeight="1">
      <c r="A86" s="372"/>
      <c r="B86" s="372"/>
      <c r="C86" s="372"/>
      <c r="D86" s="372"/>
      <c r="E86" s="372"/>
      <c r="F86" s="372"/>
      <c r="G86" s="372"/>
      <c r="H86" s="372"/>
      <c r="I86" s="372"/>
      <c r="J86" s="372"/>
      <c r="K86" s="372"/>
      <c r="L86" s="372"/>
      <c r="M86" s="372"/>
      <c r="N86" s="372"/>
      <c r="O86" s="372"/>
      <c r="P86" s="372"/>
      <c r="Q86" s="372"/>
      <c r="R86" s="372"/>
      <c r="S86" s="372"/>
      <c r="T86" s="372"/>
      <c r="U86" s="372"/>
      <c r="V86" s="372"/>
      <c r="W86" s="372"/>
      <c r="X86" s="372"/>
      <c r="Y86" s="372"/>
      <c r="Z86" s="372"/>
    </row>
    <row r="87" ht="15.75" customHeight="1">
      <c r="A87" s="372"/>
      <c r="B87" s="372"/>
      <c r="C87" s="372"/>
      <c r="D87" s="372"/>
      <c r="E87" s="372"/>
      <c r="F87" s="372"/>
      <c r="G87" s="372"/>
      <c r="H87" s="372"/>
      <c r="I87" s="372"/>
      <c r="J87" s="372"/>
      <c r="K87" s="372"/>
      <c r="L87" s="372"/>
      <c r="M87" s="372"/>
      <c r="N87" s="372"/>
      <c r="O87" s="372"/>
      <c r="P87" s="372"/>
      <c r="Q87" s="372"/>
      <c r="R87" s="372"/>
      <c r="S87" s="372"/>
      <c r="T87" s="372"/>
      <c r="U87" s="372"/>
      <c r="V87" s="372"/>
      <c r="W87" s="372"/>
      <c r="X87" s="372"/>
      <c r="Y87" s="372"/>
      <c r="Z87" s="372"/>
    </row>
    <row r="88" ht="15.75" customHeight="1">
      <c r="A88" s="372"/>
      <c r="B88" s="372"/>
      <c r="C88" s="372"/>
      <c r="D88" s="372"/>
      <c r="E88" s="372"/>
      <c r="F88" s="372"/>
      <c r="G88" s="372"/>
      <c r="H88" s="372"/>
      <c r="I88" s="372"/>
      <c r="J88" s="372"/>
      <c r="K88" s="372"/>
      <c r="L88" s="372"/>
      <c r="M88" s="372"/>
      <c r="N88" s="372"/>
      <c r="O88" s="372"/>
      <c r="P88" s="372"/>
      <c r="Q88" s="372"/>
      <c r="R88" s="372"/>
      <c r="S88" s="372"/>
      <c r="T88" s="372"/>
      <c r="U88" s="372"/>
      <c r="V88" s="372"/>
      <c r="W88" s="372"/>
      <c r="X88" s="372"/>
      <c r="Y88" s="372"/>
      <c r="Z88" s="372"/>
    </row>
    <row r="89" ht="15.75" customHeight="1">
      <c r="A89" s="372"/>
      <c r="B89" s="372"/>
      <c r="C89" s="372"/>
      <c r="D89" s="372"/>
      <c r="E89" s="372"/>
      <c r="F89" s="372"/>
      <c r="G89" s="372"/>
      <c r="H89" s="372"/>
      <c r="I89" s="372"/>
      <c r="J89" s="372"/>
      <c r="K89" s="372"/>
      <c r="L89" s="372"/>
      <c r="M89" s="372"/>
      <c r="N89" s="372"/>
      <c r="O89" s="372"/>
      <c r="P89" s="372"/>
      <c r="Q89" s="372"/>
      <c r="R89" s="372"/>
      <c r="S89" s="372"/>
      <c r="T89" s="372"/>
      <c r="U89" s="372"/>
      <c r="V89" s="372"/>
      <c r="W89" s="372"/>
      <c r="X89" s="372"/>
      <c r="Y89" s="372"/>
      <c r="Z89" s="372"/>
    </row>
    <row r="90" ht="15.75" customHeight="1">
      <c r="A90" s="372"/>
      <c r="B90" s="372"/>
      <c r="C90" s="372"/>
      <c r="D90" s="372"/>
      <c r="E90" s="372"/>
      <c r="F90" s="372"/>
      <c r="G90" s="372"/>
      <c r="H90" s="372"/>
      <c r="I90" s="372"/>
      <c r="J90" s="372"/>
      <c r="K90" s="372"/>
      <c r="L90" s="372"/>
      <c r="M90" s="372"/>
      <c r="N90" s="372"/>
      <c r="O90" s="372"/>
      <c r="P90" s="372"/>
      <c r="Q90" s="372"/>
      <c r="R90" s="372"/>
      <c r="S90" s="372"/>
      <c r="T90" s="372"/>
      <c r="U90" s="372"/>
      <c r="V90" s="372"/>
      <c r="W90" s="372"/>
      <c r="X90" s="372"/>
      <c r="Y90" s="372"/>
      <c r="Z90" s="372"/>
    </row>
    <row r="91" ht="15.75" customHeight="1">
      <c r="A91" s="372"/>
      <c r="B91" s="372"/>
      <c r="C91" s="372"/>
      <c r="D91" s="372"/>
      <c r="E91" s="372"/>
      <c r="F91" s="372"/>
      <c r="G91" s="372"/>
      <c r="H91" s="372"/>
      <c r="I91" s="372"/>
      <c r="J91" s="372"/>
      <c r="K91" s="372"/>
      <c r="L91" s="372"/>
      <c r="M91" s="372"/>
      <c r="N91" s="372"/>
      <c r="O91" s="372"/>
      <c r="P91" s="372"/>
      <c r="Q91" s="372"/>
      <c r="R91" s="372"/>
      <c r="S91" s="372"/>
      <c r="T91" s="372"/>
      <c r="U91" s="372"/>
      <c r="V91" s="372"/>
      <c r="W91" s="372"/>
      <c r="X91" s="372"/>
      <c r="Y91" s="372"/>
      <c r="Z91" s="372"/>
    </row>
    <row r="92" ht="15.75" customHeight="1">
      <c r="A92" s="372"/>
      <c r="B92" s="372"/>
      <c r="C92" s="372"/>
      <c r="D92" s="372"/>
      <c r="E92" s="372"/>
      <c r="F92" s="372"/>
      <c r="G92" s="372"/>
      <c r="H92" s="372"/>
      <c r="I92" s="372"/>
      <c r="J92" s="372"/>
      <c r="K92" s="372"/>
      <c r="L92" s="372"/>
      <c r="M92" s="372"/>
      <c r="N92" s="372"/>
      <c r="O92" s="372"/>
      <c r="P92" s="372"/>
      <c r="Q92" s="372"/>
      <c r="R92" s="372"/>
      <c r="S92" s="372"/>
      <c r="T92" s="372"/>
      <c r="U92" s="372"/>
      <c r="V92" s="372"/>
      <c r="W92" s="372"/>
      <c r="X92" s="372"/>
      <c r="Y92" s="372"/>
      <c r="Z92" s="372"/>
    </row>
    <row r="93" ht="15.75" customHeight="1">
      <c r="A93" s="372"/>
      <c r="B93" s="372"/>
      <c r="C93" s="372"/>
      <c r="D93" s="372"/>
      <c r="E93" s="372"/>
      <c r="F93" s="372"/>
      <c r="G93" s="372"/>
      <c r="H93" s="372"/>
      <c r="I93" s="372"/>
      <c r="J93" s="372"/>
      <c r="K93" s="372"/>
      <c r="L93" s="372"/>
      <c r="M93" s="372"/>
      <c r="N93" s="372"/>
      <c r="O93" s="372"/>
      <c r="P93" s="372"/>
      <c r="Q93" s="372"/>
      <c r="R93" s="372"/>
      <c r="S93" s="372"/>
      <c r="T93" s="372"/>
      <c r="U93" s="372"/>
      <c r="V93" s="372"/>
      <c r="W93" s="372"/>
      <c r="X93" s="372"/>
      <c r="Y93" s="372"/>
      <c r="Z93" s="372"/>
    </row>
    <row r="94" ht="15.75" customHeight="1">
      <c r="A94" s="372"/>
      <c r="B94" s="372"/>
      <c r="C94" s="372"/>
      <c r="D94" s="372"/>
      <c r="E94" s="372"/>
      <c r="F94" s="372"/>
      <c r="G94" s="372"/>
      <c r="H94" s="372"/>
      <c r="I94" s="372"/>
      <c r="J94" s="372"/>
      <c r="K94" s="372"/>
      <c r="L94" s="372"/>
      <c r="M94" s="372"/>
      <c r="N94" s="372"/>
      <c r="O94" s="372"/>
      <c r="P94" s="372"/>
      <c r="Q94" s="372"/>
      <c r="R94" s="372"/>
      <c r="S94" s="372"/>
      <c r="T94" s="372"/>
      <c r="U94" s="372"/>
      <c r="V94" s="372"/>
      <c r="W94" s="372"/>
      <c r="X94" s="372"/>
      <c r="Y94" s="372"/>
      <c r="Z94" s="372"/>
    </row>
    <row r="95" ht="15.75" customHeight="1">
      <c r="A95" s="372"/>
      <c r="B95" s="372"/>
      <c r="C95" s="372"/>
      <c r="D95" s="372"/>
      <c r="E95" s="372"/>
      <c r="F95" s="372"/>
      <c r="G95" s="372"/>
      <c r="H95" s="372"/>
      <c r="I95" s="372"/>
      <c r="J95" s="372"/>
      <c r="K95" s="372"/>
      <c r="L95" s="372"/>
      <c r="M95" s="372"/>
      <c r="N95" s="372"/>
      <c r="O95" s="372"/>
      <c r="P95" s="372"/>
      <c r="Q95" s="372"/>
      <c r="R95" s="372"/>
      <c r="S95" s="372"/>
      <c r="T95" s="372"/>
      <c r="U95" s="372"/>
      <c r="V95" s="372"/>
      <c r="W95" s="372"/>
      <c r="X95" s="372"/>
      <c r="Y95" s="372"/>
      <c r="Z95" s="372"/>
    </row>
    <row r="96" ht="15.75" customHeight="1">
      <c r="A96" s="372"/>
      <c r="B96" s="372"/>
      <c r="C96" s="372"/>
      <c r="D96" s="372"/>
      <c r="E96" s="372"/>
      <c r="F96" s="372"/>
      <c r="G96" s="372"/>
      <c r="H96" s="372"/>
      <c r="I96" s="372"/>
      <c r="J96" s="372"/>
      <c r="K96" s="372"/>
      <c r="L96" s="372"/>
      <c r="M96" s="372"/>
      <c r="N96" s="372"/>
      <c r="O96" s="372"/>
      <c r="P96" s="372"/>
      <c r="Q96" s="372"/>
      <c r="R96" s="372"/>
      <c r="S96" s="372"/>
      <c r="T96" s="372"/>
      <c r="U96" s="372"/>
      <c r="V96" s="372"/>
      <c r="W96" s="372"/>
      <c r="X96" s="372"/>
      <c r="Y96" s="372"/>
      <c r="Z96" s="372"/>
    </row>
    <row r="97" ht="15.75" customHeight="1">
      <c r="A97" s="372"/>
      <c r="B97" s="372"/>
      <c r="C97" s="372"/>
      <c r="D97" s="372"/>
      <c r="E97" s="372"/>
      <c r="F97" s="372"/>
      <c r="G97" s="372"/>
      <c r="H97" s="372"/>
      <c r="I97" s="372"/>
      <c r="J97" s="372"/>
      <c r="K97" s="372"/>
      <c r="L97" s="372"/>
      <c r="M97" s="372"/>
      <c r="N97" s="372"/>
      <c r="O97" s="372"/>
      <c r="P97" s="372"/>
      <c r="Q97" s="372"/>
      <c r="R97" s="372"/>
      <c r="S97" s="372"/>
      <c r="T97" s="372"/>
      <c r="U97" s="372"/>
      <c r="V97" s="372"/>
      <c r="W97" s="372"/>
      <c r="X97" s="372"/>
      <c r="Y97" s="372"/>
      <c r="Z97" s="372"/>
    </row>
    <row r="98" ht="15.75" customHeight="1">
      <c r="A98" s="372"/>
      <c r="B98" s="372"/>
      <c r="C98" s="372"/>
      <c r="D98" s="372"/>
      <c r="E98" s="372"/>
      <c r="F98" s="372"/>
      <c r="G98" s="372"/>
      <c r="H98" s="372"/>
      <c r="I98" s="372"/>
      <c r="J98" s="372"/>
      <c r="K98" s="372"/>
      <c r="L98" s="372"/>
      <c r="M98" s="372"/>
      <c r="N98" s="372"/>
      <c r="O98" s="372"/>
      <c r="P98" s="372"/>
      <c r="Q98" s="372"/>
      <c r="R98" s="372"/>
      <c r="S98" s="372"/>
      <c r="T98" s="372"/>
      <c r="U98" s="372"/>
      <c r="V98" s="372"/>
      <c r="W98" s="372"/>
      <c r="X98" s="372"/>
      <c r="Y98" s="372"/>
      <c r="Z98" s="372"/>
    </row>
    <row r="99" ht="15.75" customHeight="1">
      <c r="A99" s="372"/>
      <c r="B99" s="372"/>
      <c r="C99" s="372"/>
      <c r="D99" s="372"/>
      <c r="E99" s="372"/>
      <c r="F99" s="372"/>
      <c r="G99" s="372"/>
      <c r="H99" s="372"/>
      <c r="I99" s="372"/>
      <c r="J99" s="372"/>
      <c r="K99" s="372"/>
      <c r="L99" s="372"/>
      <c r="M99" s="372"/>
      <c r="N99" s="372"/>
      <c r="O99" s="372"/>
      <c r="P99" s="372"/>
      <c r="Q99" s="372"/>
      <c r="R99" s="372"/>
      <c r="S99" s="372"/>
      <c r="T99" s="372"/>
      <c r="U99" s="372"/>
      <c r="V99" s="372"/>
      <c r="W99" s="372"/>
      <c r="X99" s="372"/>
      <c r="Y99" s="372"/>
      <c r="Z99" s="372"/>
    </row>
    <row r="100" ht="15.75" customHeight="1">
      <c r="A100" s="372"/>
      <c r="B100" s="372"/>
      <c r="C100" s="372"/>
      <c r="D100" s="372"/>
      <c r="E100" s="372"/>
      <c r="F100" s="372"/>
      <c r="G100" s="372"/>
      <c r="H100" s="372"/>
      <c r="I100" s="372"/>
      <c r="J100" s="372"/>
      <c r="K100" s="372"/>
      <c r="L100" s="372"/>
      <c r="M100" s="372"/>
      <c r="N100" s="372"/>
      <c r="O100" s="372"/>
      <c r="P100" s="372"/>
      <c r="Q100" s="372"/>
      <c r="R100" s="372"/>
      <c r="S100" s="372"/>
      <c r="T100" s="372"/>
      <c r="U100" s="372"/>
      <c r="V100" s="372"/>
      <c r="W100" s="372"/>
      <c r="X100" s="372"/>
      <c r="Y100" s="372"/>
      <c r="Z100" s="372"/>
    </row>
    <row r="101" ht="15.75" customHeight="1">
      <c r="A101" s="372"/>
      <c r="B101" s="372"/>
      <c r="C101" s="372"/>
      <c r="D101" s="372"/>
      <c r="E101" s="372"/>
      <c r="F101" s="372"/>
      <c r="G101" s="372"/>
      <c r="H101" s="372"/>
      <c r="I101" s="372"/>
      <c r="J101" s="372"/>
      <c r="K101" s="372"/>
      <c r="L101" s="372"/>
      <c r="M101" s="372"/>
      <c r="N101" s="372"/>
      <c r="O101" s="372"/>
      <c r="P101" s="372"/>
      <c r="Q101" s="372"/>
      <c r="R101" s="372"/>
      <c r="S101" s="372"/>
      <c r="T101" s="372"/>
      <c r="U101" s="372"/>
      <c r="V101" s="372"/>
      <c r="W101" s="372"/>
      <c r="X101" s="372"/>
      <c r="Y101" s="372"/>
      <c r="Z101" s="372"/>
    </row>
    <row r="102" ht="15.75" customHeight="1">
      <c r="A102" s="372"/>
      <c r="B102" s="372"/>
      <c r="C102" s="372"/>
      <c r="D102" s="372"/>
      <c r="E102" s="372"/>
      <c r="F102" s="372"/>
      <c r="G102" s="372"/>
      <c r="H102" s="372"/>
      <c r="I102" s="372"/>
      <c r="J102" s="372"/>
      <c r="K102" s="372"/>
      <c r="L102" s="372"/>
      <c r="M102" s="372"/>
      <c r="N102" s="372"/>
      <c r="O102" s="372"/>
      <c r="P102" s="372"/>
      <c r="Q102" s="372"/>
      <c r="R102" s="372"/>
      <c r="S102" s="372"/>
      <c r="T102" s="372"/>
      <c r="U102" s="372"/>
      <c r="V102" s="372"/>
      <c r="W102" s="372"/>
      <c r="X102" s="372"/>
      <c r="Y102" s="372"/>
      <c r="Z102" s="372"/>
    </row>
    <row r="103" ht="15.75" customHeight="1">
      <c r="A103" s="372"/>
      <c r="B103" s="372"/>
      <c r="C103" s="372"/>
      <c r="D103" s="372"/>
      <c r="E103" s="372"/>
      <c r="F103" s="372"/>
      <c r="G103" s="372"/>
      <c r="H103" s="372"/>
      <c r="I103" s="372"/>
      <c r="J103" s="372"/>
      <c r="K103" s="372"/>
      <c r="L103" s="372"/>
      <c r="M103" s="372"/>
      <c r="N103" s="372"/>
      <c r="O103" s="372"/>
      <c r="P103" s="372"/>
      <c r="Q103" s="372"/>
      <c r="R103" s="372"/>
      <c r="S103" s="372"/>
      <c r="T103" s="372"/>
      <c r="U103" s="372"/>
      <c r="V103" s="372"/>
      <c r="W103" s="372"/>
      <c r="X103" s="372"/>
      <c r="Y103" s="372"/>
      <c r="Z103" s="372"/>
    </row>
    <row r="104" ht="15.75" customHeight="1">
      <c r="A104" s="372"/>
      <c r="B104" s="372"/>
      <c r="C104" s="372"/>
      <c r="D104" s="372"/>
      <c r="E104" s="372"/>
      <c r="F104" s="372"/>
      <c r="G104" s="372"/>
      <c r="H104" s="372"/>
      <c r="I104" s="372"/>
      <c r="J104" s="372"/>
      <c r="K104" s="372"/>
      <c r="L104" s="372"/>
      <c r="M104" s="372"/>
      <c r="N104" s="372"/>
      <c r="O104" s="372"/>
      <c r="P104" s="372"/>
      <c r="Q104" s="372"/>
      <c r="R104" s="372"/>
      <c r="S104" s="372"/>
      <c r="T104" s="372"/>
      <c r="U104" s="372"/>
      <c r="V104" s="372"/>
      <c r="W104" s="372"/>
      <c r="X104" s="372"/>
      <c r="Y104" s="372"/>
      <c r="Z104" s="372"/>
    </row>
    <row r="105" ht="15.75" customHeight="1">
      <c r="A105" s="372"/>
      <c r="B105" s="372"/>
      <c r="C105" s="372"/>
      <c r="D105" s="372"/>
      <c r="E105" s="372"/>
      <c r="F105" s="372"/>
      <c r="G105" s="372"/>
      <c r="H105" s="372"/>
      <c r="I105" s="372"/>
      <c r="J105" s="372"/>
      <c r="K105" s="372"/>
      <c r="L105" s="372"/>
      <c r="M105" s="372"/>
      <c r="N105" s="372"/>
      <c r="O105" s="372"/>
      <c r="P105" s="372"/>
      <c r="Q105" s="372"/>
      <c r="R105" s="372"/>
      <c r="S105" s="372"/>
      <c r="T105" s="372"/>
      <c r="U105" s="372"/>
      <c r="V105" s="372"/>
      <c r="W105" s="372"/>
      <c r="X105" s="372"/>
      <c r="Y105" s="372"/>
      <c r="Z105" s="372"/>
    </row>
    <row r="106" ht="15.75" customHeight="1">
      <c r="A106" s="372"/>
      <c r="B106" s="372"/>
      <c r="C106" s="372"/>
      <c r="D106" s="372"/>
      <c r="E106" s="372"/>
      <c r="F106" s="372"/>
      <c r="G106" s="372"/>
      <c r="H106" s="372"/>
      <c r="I106" s="372"/>
      <c r="J106" s="372"/>
      <c r="K106" s="372"/>
      <c r="L106" s="372"/>
      <c r="M106" s="372"/>
      <c r="N106" s="372"/>
      <c r="O106" s="372"/>
      <c r="P106" s="372"/>
      <c r="Q106" s="372"/>
      <c r="R106" s="372"/>
      <c r="S106" s="372"/>
      <c r="T106" s="372"/>
      <c r="U106" s="372"/>
      <c r="V106" s="372"/>
      <c r="W106" s="372"/>
      <c r="X106" s="372"/>
      <c r="Y106" s="372"/>
      <c r="Z106" s="372"/>
    </row>
    <row r="107" ht="15.75" customHeight="1">
      <c r="A107" s="372"/>
      <c r="B107" s="372"/>
      <c r="C107" s="372"/>
      <c r="D107" s="372"/>
      <c r="E107" s="372"/>
      <c r="F107" s="372"/>
      <c r="G107" s="372"/>
      <c r="H107" s="372"/>
      <c r="I107" s="372"/>
      <c r="J107" s="372"/>
      <c r="K107" s="372"/>
      <c r="L107" s="372"/>
      <c r="M107" s="372"/>
      <c r="N107" s="372"/>
      <c r="O107" s="372"/>
      <c r="P107" s="372"/>
      <c r="Q107" s="372"/>
      <c r="R107" s="372"/>
      <c r="S107" s="372"/>
      <c r="T107" s="372"/>
      <c r="U107" s="372"/>
      <c r="V107" s="372"/>
      <c r="W107" s="372"/>
      <c r="X107" s="372"/>
      <c r="Y107" s="372"/>
      <c r="Z107" s="372"/>
    </row>
    <row r="108" ht="15.75" customHeight="1">
      <c r="A108" s="372"/>
      <c r="B108" s="372"/>
      <c r="C108" s="372"/>
      <c r="D108" s="372"/>
      <c r="E108" s="372"/>
      <c r="F108" s="372"/>
      <c r="G108" s="372"/>
      <c r="H108" s="372"/>
      <c r="I108" s="372"/>
      <c r="J108" s="372"/>
      <c r="K108" s="372"/>
      <c r="L108" s="372"/>
      <c r="M108" s="372"/>
      <c r="N108" s="372"/>
      <c r="O108" s="372"/>
      <c r="P108" s="372"/>
      <c r="Q108" s="372"/>
      <c r="R108" s="372"/>
      <c r="S108" s="372"/>
      <c r="T108" s="372"/>
      <c r="U108" s="372"/>
      <c r="V108" s="372"/>
      <c r="W108" s="372"/>
      <c r="X108" s="372"/>
      <c r="Y108" s="372"/>
      <c r="Z108" s="372"/>
    </row>
    <row r="109" ht="15.75" customHeight="1">
      <c r="A109" s="372"/>
      <c r="B109" s="372"/>
      <c r="C109" s="372"/>
      <c r="D109" s="372"/>
      <c r="E109" s="372"/>
      <c r="F109" s="372"/>
      <c r="G109" s="372"/>
      <c r="H109" s="372"/>
      <c r="I109" s="372"/>
      <c r="J109" s="372"/>
      <c r="K109" s="372"/>
      <c r="L109" s="372"/>
      <c r="M109" s="372"/>
      <c r="N109" s="372"/>
      <c r="O109" s="372"/>
      <c r="P109" s="372"/>
      <c r="Q109" s="372"/>
      <c r="R109" s="372"/>
      <c r="S109" s="372"/>
      <c r="T109" s="372"/>
      <c r="U109" s="372"/>
      <c r="V109" s="372"/>
      <c r="W109" s="372"/>
      <c r="X109" s="372"/>
      <c r="Y109" s="372"/>
      <c r="Z109" s="372"/>
    </row>
    <row r="110" ht="15.75" customHeight="1">
      <c r="A110" s="372"/>
      <c r="B110" s="372"/>
      <c r="C110" s="372"/>
      <c r="D110" s="372"/>
      <c r="E110" s="372"/>
      <c r="F110" s="372"/>
      <c r="G110" s="372"/>
      <c r="H110" s="372"/>
      <c r="I110" s="372"/>
      <c r="J110" s="372"/>
      <c r="K110" s="372"/>
      <c r="L110" s="372"/>
      <c r="M110" s="372"/>
      <c r="N110" s="372"/>
      <c r="O110" s="372"/>
      <c r="P110" s="372"/>
      <c r="Q110" s="372"/>
      <c r="R110" s="372"/>
      <c r="S110" s="372"/>
      <c r="T110" s="372"/>
      <c r="U110" s="372"/>
      <c r="V110" s="372"/>
      <c r="W110" s="372"/>
      <c r="X110" s="372"/>
      <c r="Y110" s="372"/>
      <c r="Z110" s="372"/>
    </row>
    <row r="111" ht="15.75" customHeight="1">
      <c r="A111" s="372"/>
      <c r="B111" s="372"/>
      <c r="C111" s="372"/>
      <c r="D111" s="372"/>
      <c r="E111" s="372"/>
      <c r="F111" s="372"/>
      <c r="G111" s="372"/>
      <c r="H111" s="372"/>
      <c r="I111" s="372"/>
      <c r="J111" s="372"/>
      <c r="K111" s="372"/>
      <c r="L111" s="372"/>
      <c r="M111" s="372"/>
      <c r="N111" s="372"/>
      <c r="O111" s="372"/>
      <c r="P111" s="372"/>
      <c r="Q111" s="372"/>
      <c r="R111" s="372"/>
      <c r="S111" s="372"/>
      <c r="T111" s="372"/>
      <c r="U111" s="372"/>
      <c r="V111" s="372"/>
      <c r="W111" s="372"/>
      <c r="X111" s="372"/>
      <c r="Y111" s="372"/>
      <c r="Z111" s="372"/>
    </row>
    <row r="112" ht="15.75" customHeight="1">
      <c r="A112" s="372"/>
      <c r="B112" s="372"/>
      <c r="C112" s="372"/>
      <c r="D112" s="372"/>
      <c r="E112" s="372"/>
      <c r="F112" s="372"/>
      <c r="G112" s="372"/>
      <c r="H112" s="372"/>
      <c r="I112" s="372"/>
      <c r="J112" s="372"/>
      <c r="K112" s="372"/>
      <c r="L112" s="372"/>
      <c r="M112" s="372"/>
      <c r="N112" s="372"/>
      <c r="O112" s="372"/>
      <c r="P112" s="372"/>
      <c r="Q112" s="372"/>
      <c r="R112" s="372"/>
      <c r="S112" s="372"/>
      <c r="T112" s="372"/>
      <c r="U112" s="372"/>
      <c r="V112" s="372"/>
      <c r="W112" s="372"/>
      <c r="X112" s="372"/>
      <c r="Y112" s="372"/>
      <c r="Z112" s="372"/>
    </row>
    <row r="113" ht="15.75" customHeight="1">
      <c r="A113" s="372"/>
      <c r="B113" s="372"/>
      <c r="C113" s="372"/>
      <c r="D113" s="372"/>
      <c r="E113" s="372"/>
      <c r="F113" s="372"/>
      <c r="G113" s="372"/>
      <c r="H113" s="372"/>
      <c r="I113" s="372"/>
      <c r="J113" s="372"/>
      <c r="K113" s="372"/>
      <c r="L113" s="372"/>
      <c r="M113" s="372"/>
      <c r="N113" s="372"/>
      <c r="O113" s="372"/>
      <c r="P113" s="372"/>
      <c r="Q113" s="372"/>
      <c r="R113" s="372"/>
      <c r="S113" s="372"/>
      <c r="T113" s="372"/>
      <c r="U113" s="372"/>
      <c r="V113" s="372"/>
      <c r="W113" s="372"/>
      <c r="X113" s="372"/>
      <c r="Y113" s="372"/>
      <c r="Z113" s="372"/>
    </row>
    <row r="114" ht="15.75" customHeight="1">
      <c r="A114" s="372"/>
      <c r="B114" s="372"/>
      <c r="C114" s="372"/>
      <c r="D114" s="372"/>
      <c r="E114" s="372"/>
      <c r="F114" s="372"/>
      <c r="G114" s="372"/>
      <c r="H114" s="372"/>
      <c r="I114" s="372"/>
      <c r="J114" s="372"/>
      <c r="K114" s="372"/>
      <c r="L114" s="372"/>
      <c r="M114" s="372"/>
      <c r="N114" s="372"/>
      <c r="O114" s="372"/>
      <c r="P114" s="372"/>
      <c r="Q114" s="372"/>
      <c r="R114" s="372"/>
      <c r="S114" s="372"/>
      <c r="T114" s="372"/>
      <c r="U114" s="372"/>
      <c r="V114" s="372"/>
      <c r="W114" s="372"/>
      <c r="X114" s="372"/>
      <c r="Y114" s="372"/>
      <c r="Z114" s="372"/>
    </row>
    <row r="115" ht="15.75" customHeight="1">
      <c r="A115" s="372"/>
      <c r="B115" s="372"/>
      <c r="C115" s="372"/>
      <c r="D115" s="372"/>
      <c r="E115" s="372"/>
      <c r="F115" s="372"/>
      <c r="G115" s="372"/>
      <c r="H115" s="372"/>
      <c r="I115" s="372"/>
      <c r="J115" s="372"/>
      <c r="K115" s="372"/>
      <c r="L115" s="372"/>
      <c r="M115" s="372"/>
      <c r="N115" s="372"/>
      <c r="O115" s="372"/>
      <c r="P115" s="372"/>
      <c r="Q115" s="372"/>
      <c r="R115" s="372"/>
      <c r="S115" s="372"/>
      <c r="T115" s="372"/>
      <c r="U115" s="372"/>
      <c r="V115" s="372"/>
      <c r="W115" s="372"/>
      <c r="X115" s="372"/>
      <c r="Y115" s="372"/>
      <c r="Z115" s="372"/>
    </row>
    <row r="116" ht="15.75" customHeight="1">
      <c r="A116" s="372"/>
      <c r="B116" s="372"/>
      <c r="C116" s="372"/>
      <c r="D116" s="372"/>
      <c r="E116" s="372"/>
      <c r="F116" s="372"/>
      <c r="G116" s="372"/>
      <c r="H116" s="372"/>
      <c r="I116" s="372"/>
      <c r="J116" s="372"/>
      <c r="K116" s="372"/>
      <c r="L116" s="372"/>
      <c r="M116" s="372"/>
      <c r="N116" s="372"/>
      <c r="O116" s="372"/>
      <c r="P116" s="372"/>
      <c r="Q116" s="372"/>
      <c r="R116" s="372"/>
      <c r="S116" s="372"/>
      <c r="T116" s="372"/>
      <c r="U116" s="372"/>
      <c r="V116" s="372"/>
      <c r="W116" s="372"/>
      <c r="X116" s="372"/>
      <c r="Y116" s="372"/>
      <c r="Z116" s="372"/>
    </row>
    <row r="117" ht="15.75" customHeight="1">
      <c r="A117" s="372"/>
      <c r="B117" s="372"/>
      <c r="C117" s="372"/>
      <c r="D117" s="372"/>
      <c r="E117" s="372"/>
      <c r="F117" s="372"/>
      <c r="G117" s="372"/>
      <c r="H117" s="372"/>
      <c r="I117" s="372"/>
      <c r="J117" s="372"/>
      <c r="K117" s="372"/>
      <c r="L117" s="372"/>
      <c r="M117" s="372"/>
      <c r="N117" s="372"/>
      <c r="O117" s="372"/>
      <c r="P117" s="372"/>
      <c r="Q117" s="372"/>
      <c r="R117" s="372"/>
      <c r="S117" s="372"/>
      <c r="T117" s="372"/>
      <c r="U117" s="372"/>
      <c r="V117" s="372"/>
      <c r="W117" s="372"/>
      <c r="X117" s="372"/>
      <c r="Y117" s="372"/>
      <c r="Z117" s="372"/>
    </row>
    <row r="118" ht="15.75" customHeight="1">
      <c r="A118" s="372"/>
      <c r="B118" s="372"/>
      <c r="C118" s="372"/>
      <c r="D118" s="372"/>
      <c r="E118" s="372"/>
      <c r="F118" s="372"/>
      <c r="G118" s="372"/>
      <c r="H118" s="372"/>
      <c r="I118" s="372"/>
      <c r="J118" s="372"/>
      <c r="K118" s="372"/>
      <c r="L118" s="372"/>
      <c r="M118" s="372"/>
      <c r="N118" s="372"/>
      <c r="O118" s="372"/>
      <c r="P118" s="372"/>
      <c r="Q118" s="372"/>
      <c r="R118" s="372"/>
      <c r="S118" s="372"/>
      <c r="T118" s="372"/>
      <c r="U118" s="372"/>
      <c r="V118" s="372"/>
      <c r="W118" s="372"/>
      <c r="X118" s="372"/>
      <c r="Y118" s="372"/>
      <c r="Z118" s="372"/>
    </row>
    <row r="119" ht="15.75" customHeight="1">
      <c r="A119" s="372"/>
      <c r="B119" s="372"/>
      <c r="C119" s="372"/>
      <c r="D119" s="372"/>
      <c r="E119" s="372"/>
      <c r="F119" s="372"/>
      <c r="G119" s="372"/>
      <c r="H119" s="372"/>
      <c r="I119" s="372"/>
      <c r="J119" s="372"/>
      <c r="K119" s="372"/>
      <c r="L119" s="372"/>
      <c r="M119" s="372"/>
      <c r="N119" s="372"/>
      <c r="O119" s="372"/>
      <c r="P119" s="372"/>
      <c r="Q119" s="372"/>
      <c r="R119" s="372"/>
      <c r="S119" s="372"/>
      <c r="T119" s="372"/>
      <c r="U119" s="372"/>
      <c r="V119" s="372"/>
      <c r="W119" s="372"/>
      <c r="X119" s="372"/>
      <c r="Y119" s="372"/>
      <c r="Z119" s="372"/>
    </row>
    <row r="120" ht="15.75" customHeight="1">
      <c r="A120" s="372"/>
      <c r="B120" s="372"/>
      <c r="C120" s="372"/>
      <c r="D120" s="372"/>
      <c r="E120" s="372"/>
      <c r="F120" s="372"/>
      <c r="G120" s="372"/>
      <c r="H120" s="372"/>
      <c r="I120" s="372"/>
      <c r="J120" s="372"/>
      <c r="K120" s="372"/>
      <c r="L120" s="372"/>
      <c r="M120" s="372"/>
      <c r="N120" s="372"/>
      <c r="O120" s="372"/>
      <c r="P120" s="372"/>
      <c r="Q120" s="372"/>
      <c r="R120" s="372"/>
      <c r="S120" s="372"/>
      <c r="T120" s="372"/>
      <c r="U120" s="372"/>
      <c r="V120" s="372"/>
      <c r="W120" s="372"/>
      <c r="X120" s="372"/>
      <c r="Y120" s="372"/>
      <c r="Z120" s="372"/>
    </row>
    <row r="121" ht="15.75" customHeight="1">
      <c r="A121" s="372"/>
      <c r="B121" s="372"/>
      <c r="C121" s="372"/>
      <c r="D121" s="372"/>
      <c r="E121" s="372"/>
      <c r="F121" s="372"/>
      <c r="G121" s="372"/>
      <c r="H121" s="372"/>
      <c r="I121" s="372"/>
      <c r="J121" s="372"/>
      <c r="K121" s="372"/>
      <c r="L121" s="372"/>
      <c r="M121" s="372"/>
      <c r="N121" s="372"/>
      <c r="O121" s="372"/>
      <c r="P121" s="372"/>
      <c r="Q121" s="372"/>
      <c r="R121" s="372"/>
      <c r="S121" s="372"/>
      <c r="T121" s="372"/>
      <c r="U121" s="372"/>
      <c r="V121" s="372"/>
      <c r="W121" s="372"/>
      <c r="X121" s="372"/>
      <c r="Y121" s="372"/>
      <c r="Z121" s="372"/>
    </row>
    <row r="122" ht="15.75" customHeight="1">
      <c r="A122" s="372"/>
      <c r="B122" s="372"/>
      <c r="C122" s="372"/>
      <c r="D122" s="372"/>
      <c r="E122" s="372"/>
      <c r="F122" s="372"/>
      <c r="G122" s="372"/>
      <c r="H122" s="372"/>
      <c r="I122" s="372"/>
      <c r="J122" s="372"/>
      <c r="K122" s="372"/>
      <c r="L122" s="372"/>
      <c r="M122" s="372"/>
      <c r="N122" s="372"/>
      <c r="O122" s="372"/>
      <c r="P122" s="372"/>
      <c r="Q122" s="372"/>
      <c r="R122" s="372"/>
      <c r="S122" s="372"/>
      <c r="T122" s="372"/>
      <c r="U122" s="372"/>
      <c r="V122" s="372"/>
      <c r="W122" s="372"/>
      <c r="X122" s="372"/>
      <c r="Y122" s="372"/>
      <c r="Z122" s="372"/>
    </row>
    <row r="123" ht="15.75" customHeight="1">
      <c r="A123" s="372"/>
      <c r="B123" s="372"/>
      <c r="C123" s="372"/>
      <c r="D123" s="372"/>
      <c r="E123" s="372"/>
      <c r="F123" s="372"/>
      <c r="G123" s="372"/>
      <c r="H123" s="372"/>
      <c r="I123" s="372"/>
      <c r="J123" s="372"/>
      <c r="K123" s="372"/>
      <c r="L123" s="372"/>
      <c r="M123" s="372"/>
      <c r="N123" s="372"/>
      <c r="O123" s="372"/>
      <c r="P123" s="372"/>
      <c r="Q123" s="372"/>
      <c r="R123" s="372"/>
      <c r="S123" s="372"/>
      <c r="T123" s="372"/>
      <c r="U123" s="372"/>
      <c r="V123" s="372"/>
      <c r="W123" s="372"/>
      <c r="X123" s="372"/>
      <c r="Y123" s="372"/>
      <c r="Z123" s="372"/>
    </row>
    <row r="124" ht="15.75" customHeight="1">
      <c r="A124" s="372"/>
      <c r="B124" s="372"/>
      <c r="C124" s="372"/>
      <c r="D124" s="372"/>
      <c r="E124" s="372"/>
      <c r="F124" s="372"/>
      <c r="G124" s="372"/>
      <c r="H124" s="372"/>
      <c r="I124" s="372"/>
      <c r="J124" s="372"/>
      <c r="K124" s="372"/>
      <c r="L124" s="372"/>
      <c r="M124" s="372"/>
      <c r="N124" s="372"/>
      <c r="O124" s="372"/>
      <c r="P124" s="372"/>
      <c r="Q124" s="372"/>
      <c r="R124" s="372"/>
      <c r="S124" s="372"/>
      <c r="T124" s="372"/>
      <c r="U124" s="372"/>
      <c r="V124" s="372"/>
      <c r="W124" s="372"/>
      <c r="X124" s="372"/>
      <c r="Y124" s="372"/>
      <c r="Z124" s="372"/>
    </row>
    <row r="125" ht="15.75" customHeight="1">
      <c r="A125" s="372"/>
      <c r="B125" s="372"/>
      <c r="C125" s="372"/>
      <c r="D125" s="372"/>
      <c r="E125" s="372"/>
      <c r="F125" s="372"/>
      <c r="G125" s="372"/>
      <c r="H125" s="372"/>
      <c r="I125" s="372"/>
      <c r="J125" s="372"/>
      <c r="K125" s="372"/>
      <c r="L125" s="372"/>
      <c r="M125" s="372"/>
      <c r="N125" s="372"/>
      <c r="O125" s="372"/>
      <c r="P125" s="372"/>
      <c r="Q125" s="372"/>
      <c r="R125" s="372"/>
      <c r="S125" s="372"/>
      <c r="T125" s="372"/>
      <c r="U125" s="372"/>
      <c r="V125" s="372"/>
      <c r="W125" s="372"/>
      <c r="X125" s="372"/>
      <c r="Y125" s="372"/>
      <c r="Z125" s="372"/>
    </row>
    <row r="126" ht="15.75" customHeight="1">
      <c r="A126" s="372"/>
      <c r="B126" s="372"/>
      <c r="C126" s="372"/>
      <c r="D126" s="372"/>
      <c r="E126" s="372"/>
      <c r="F126" s="372"/>
      <c r="G126" s="372"/>
      <c r="H126" s="372"/>
      <c r="I126" s="372"/>
      <c r="J126" s="372"/>
      <c r="K126" s="372"/>
      <c r="L126" s="372"/>
      <c r="M126" s="372"/>
      <c r="N126" s="372"/>
      <c r="O126" s="372"/>
      <c r="P126" s="372"/>
      <c r="Q126" s="372"/>
      <c r="R126" s="372"/>
      <c r="S126" s="372"/>
      <c r="T126" s="372"/>
      <c r="U126" s="372"/>
      <c r="V126" s="372"/>
      <c r="W126" s="372"/>
      <c r="X126" s="372"/>
      <c r="Y126" s="372"/>
      <c r="Z126" s="372"/>
    </row>
    <row r="127" ht="15.75" customHeight="1">
      <c r="A127" s="372"/>
      <c r="B127" s="372"/>
      <c r="C127" s="372"/>
      <c r="D127" s="372"/>
      <c r="E127" s="372"/>
      <c r="F127" s="372"/>
      <c r="G127" s="372"/>
      <c r="H127" s="372"/>
      <c r="I127" s="372"/>
      <c r="J127" s="372"/>
      <c r="K127" s="372"/>
      <c r="L127" s="372"/>
      <c r="M127" s="372"/>
      <c r="N127" s="372"/>
      <c r="O127" s="372"/>
      <c r="P127" s="372"/>
      <c r="Q127" s="372"/>
      <c r="R127" s="372"/>
      <c r="S127" s="372"/>
      <c r="T127" s="372"/>
      <c r="U127" s="372"/>
      <c r="V127" s="372"/>
      <c r="W127" s="372"/>
      <c r="X127" s="372"/>
      <c r="Y127" s="372"/>
      <c r="Z127" s="372"/>
    </row>
    <row r="128" ht="15.75" customHeight="1">
      <c r="A128" s="372"/>
      <c r="B128" s="372"/>
      <c r="C128" s="372"/>
      <c r="D128" s="372"/>
      <c r="E128" s="372"/>
      <c r="F128" s="372"/>
      <c r="G128" s="372"/>
      <c r="H128" s="372"/>
      <c r="I128" s="372"/>
      <c r="J128" s="372"/>
      <c r="K128" s="372"/>
      <c r="L128" s="372"/>
      <c r="M128" s="372"/>
      <c r="N128" s="372"/>
      <c r="O128" s="372"/>
      <c r="P128" s="372"/>
      <c r="Q128" s="372"/>
      <c r="R128" s="372"/>
      <c r="S128" s="372"/>
      <c r="T128" s="372"/>
      <c r="U128" s="372"/>
      <c r="V128" s="372"/>
      <c r="W128" s="372"/>
      <c r="X128" s="372"/>
      <c r="Y128" s="372"/>
      <c r="Z128" s="372"/>
    </row>
    <row r="129" ht="15.75" customHeight="1">
      <c r="A129" s="372"/>
      <c r="B129" s="372"/>
      <c r="C129" s="372"/>
      <c r="D129" s="372"/>
      <c r="E129" s="372"/>
      <c r="F129" s="372"/>
      <c r="G129" s="372"/>
      <c r="H129" s="372"/>
      <c r="I129" s="372"/>
      <c r="J129" s="372"/>
      <c r="K129" s="372"/>
      <c r="L129" s="372"/>
      <c r="M129" s="372"/>
      <c r="N129" s="372"/>
      <c r="O129" s="372"/>
      <c r="P129" s="372"/>
      <c r="Q129" s="372"/>
      <c r="R129" s="372"/>
      <c r="S129" s="372"/>
      <c r="T129" s="372"/>
      <c r="U129" s="372"/>
      <c r="V129" s="372"/>
      <c r="W129" s="372"/>
      <c r="X129" s="372"/>
      <c r="Y129" s="372"/>
      <c r="Z129" s="372"/>
    </row>
    <row r="130" ht="15.75" customHeight="1">
      <c r="A130" s="372"/>
      <c r="B130" s="372"/>
      <c r="C130" s="372"/>
      <c r="D130" s="372"/>
      <c r="E130" s="372"/>
      <c r="F130" s="372"/>
      <c r="G130" s="372"/>
      <c r="H130" s="372"/>
      <c r="I130" s="372"/>
      <c r="J130" s="372"/>
      <c r="K130" s="372"/>
      <c r="L130" s="372"/>
      <c r="M130" s="372"/>
      <c r="N130" s="372"/>
      <c r="O130" s="372"/>
      <c r="P130" s="372"/>
      <c r="Q130" s="372"/>
      <c r="R130" s="372"/>
      <c r="S130" s="372"/>
      <c r="T130" s="372"/>
      <c r="U130" s="372"/>
      <c r="V130" s="372"/>
      <c r="W130" s="372"/>
      <c r="X130" s="372"/>
      <c r="Y130" s="372"/>
      <c r="Z130" s="372"/>
    </row>
    <row r="131" ht="15.75" customHeight="1">
      <c r="A131" s="372"/>
      <c r="B131" s="372"/>
      <c r="C131" s="372"/>
      <c r="D131" s="372"/>
      <c r="E131" s="372"/>
      <c r="F131" s="372"/>
      <c r="G131" s="372"/>
      <c r="H131" s="372"/>
      <c r="I131" s="372"/>
      <c r="J131" s="372"/>
      <c r="K131" s="372"/>
      <c r="L131" s="372"/>
      <c r="M131" s="372"/>
      <c r="N131" s="372"/>
      <c r="O131" s="372"/>
      <c r="P131" s="372"/>
      <c r="Q131" s="372"/>
      <c r="R131" s="372"/>
      <c r="S131" s="372"/>
      <c r="T131" s="372"/>
      <c r="U131" s="372"/>
      <c r="V131" s="372"/>
      <c r="W131" s="372"/>
      <c r="X131" s="372"/>
      <c r="Y131" s="372"/>
      <c r="Z131" s="372"/>
    </row>
    <row r="132" ht="15.75" customHeight="1">
      <c r="A132" s="372"/>
      <c r="B132" s="372"/>
      <c r="C132" s="372"/>
      <c r="D132" s="372"/>
      <c r="E132" s="372"/>
      <c r="F132" s="372"/>
      <c r="G132" s="372"/>
      <c r="H132" s="372"/>
      <c r="I132" s="372"/>
      <c r="J132" s="372"/>
      <c r="K132" s="372"/>
      <c r="L132" s="372"/>
      <c r="M132" s="372"/>
      <c r="N132" s="372"/>
      <c r="O132" s="372"/>
      <c r="P132" s="372"/>
      <c r="Q132" s="372"/>
      <c r="R132" s="372"/>
      <c r="S132" s="372"/>
      <c r="T132" s="372"/>
      <c r="U132" s="372"/>
      <c r="V132" s="372"/>
      <c r="W132" s="372"/>
      <c r="X132" s="372"/>
      <c r="Y132" s="372"/>
      <c r="Z132" s="372"/>
    </row>
    <row r="133" ht="15.75" customHeight="1">
      <c r="A133" s="372"/>
      <c r="B133" s="372"/>
      <c r="C133" s="372"/>
      <c r="D133" s="372"/>
      <c r="E133" s="372"/>
      <c r="F133" s="372"/>
      <c r="G133" s="372"/>
      <c r="H133" s="372"/>
      <c r="I133" s="372"/>
      <c r="J133" s="372"/>
      <c r="K133" s="372"/>
      <c r="L133" s="372"/>
      <c r="M133" s="372"/>
      <c r="N133" s="372"/>
      <c r="O133" s="372"/>
      <c r="P133" s="372"/>
      <c r="Q133" s="372"/>
      <c r="R133" s="372"/>
      <c r="S133" s="372"/>
      <c r="T133" s="372"/>
      <c r="U133" s="372"/>
      <c r="V133" s="372"/>
      <c r="W133" s="372"/>
      <c r="X133" s="372"/>
      <c r="Y133" s="372"/>
      <c r="Z133" s="372"/>
    </row>
    <row r="134" ht="15.75" customHeight="1">
      <c r="A134" s="372"/>
      <c r="B134" s="372"/>
      <c r="C134" s="372"/>
      <c r="D134" s="372"/>
      <c r="E134" s="372"/>
      <c r="F134" s="372"/>
      <c r="G134" s="372"/>
      <c r="H134" s="372"/>
      <c r="I134" s="372"/>
      <c r="J134" s="372"/>
      <c r="K134" s="372"/>
      <c r="L134" s="372"/>
      <c r="M134" s="372"/>
      <c r="N134" s="372"/>
      <c r="O134" s="372"/>
      <c r="P134" s="372"/>
      <c r="Q134" s="372"/>
      <c r="R134" s="372"/>
      <c r="S134" s="372"/>
      <c r="T134" s="372"/>
      <c r="U134" s="372"/>
      <c r="V134" s="372"/>
      <c r="W134" s="372"/>
      <c r="X134" s="372"/>
      <c r="Y134" s="372"/>
      <c r="Z134" s="372"/>
    </row>
    <row r="135" ht="15.75" customHeight="1">
      <c r="A135" s="372"/>
      <c r="B135" s="372"/>
      <c r="C135" s="372"/>
      <c r="D135" s="372"/>
      <c r="E135" s="372"/>
      <c r="F135" s="372"/>
      <c r="G135" s="372"/>
      <c r="H135" s="372"/>
      <c r="I135" s="372"/>
      <c r="J135" s="372"/>
      <c r="K135" s="372"/>
      <c r="L135" s="372"/>
      <c r="M135" s="372"/>
      <c r="N135" s="372"/>
      <c r="O135" s="372"/>
      <c r="P135" s="372"/>
      <c r="Q135" s="372"/>
      <c r="R135" s="372"/>
      <c r="S135" s="372"/>
      <c r="T135" s="372"/>
      <c r="U135" s="372"/>
      <c r="V135" s="372"/>
      <c r="W135" s="372"/>
      <c r="X135" s="372"/>
      <c r="Y135" s="372"/>
      <c r="Z135" s="372"/>
    </row>
    <row r="136" ht="15.75" customHeight="1">
      <c r="A136" s="372"/>
      <c r="B136" s="372"/>
      <c r="C136" s="372"/>
      <c r="D136" s="372"/>
      <c r="E136" s="372"/>
      <c r="F136" s="372"/>
      <c r="G136" s="372"/>
      <c r="H136" s="372"/>
      <c r="I136" s="372"/>
      <c r="J136" s="372"/>
      <c r="K136" s="372"/>
      <c r="L136" s="372"/>
      <c r="M136" s="372"/>
      <c r="N136" s="372"/>
      <c r="O136" s="372"/>
      <c r="P136" s="372"/>
      <c r="Q136" s="372"/>
      <c r="R136" s="372"/>
      <c r="S136" s="372"/>
      <c r="T136" s="372"/>
      <c r="U136" s="372"/>
      <c r="V136" s="372"/>
      <c r="W136" s="372"/>
      <c r="X136" s="372"/>
      <c r="Y136" s="372"/>
      <c r="Z136" s="372"/>
    </row>
    <row r="137" ht="15.75" customHeight="1">
      <c r="A137" s="372"/>
      <c r="B137" s="372"/>
      <c r="C137" s="372"/>
      <c r="D137" s="372"/>
      <c r="E137" s="372"/>
      <c r="F137" s="372"/>
      <c r="G137" s="372"/>
      <c r="H137" s="372"/>
      <c r="I137" s="372"/>
      <c r="J137" s="372"/>
      <c r="K137" s="372"/>
      <c r="L137" s="372"/>
      <c r="M137" s="372"/>
      <c r="N137" s="372"/>
      <c r="O137" s="372"/>
      <c r="P137" s="372"/>
      <c r="Q137" s="372"/>
      <c r="R137" s="372"/>
      <c r="S137" s="372"/>
      <c r="T137" s="372"/>
      <c r="U137" s="372"/>
      <c r="V137" s="372"/>
      <c r="W137" s="372"/>
      <c r="X137" s="372"/>
      <c r="Y137" s="372"/>
      <c r="Z137" s="372"/>
    </row>
    <row r="138" ht="15.75" customHeight="1">
      <c r="A138" s="372"/>
      <c r="B138" s="372"/>
      <c r="C138" s="372"/>
      <c r="D138" s="372"/>
      <c r="E138" s="372"/>
      <c r="F138" s="372"/>
      <c r="G138" s="372"/>
      <c r="H138" s="372"/>
      <c r="I138" s="372"/>
      <c r="J138" s="372"/>
      <c r="K138" s="372"/>
      <c r="L138" s="372"/>
      <c r="M138" s="372"/>
      <c r="N138" s="372"/>
      <c r="O138" s="372"/>
      <c r="P138" s="372"/>
      <c r="Q138" s="372"/>
      <c r="R138" s="372"/>
      <c r="S138" s="372"/>
      <c r="T138" s="372"/>
      <c r="U138" s="372"/>
      <c r="V138" s="372"/>
      <c r="W138" s="372"/>
      <c r="X138" s="372"/>
      <c r="Y138" s="372"/>
      <c r="Z138" s="372"/>
    </row>
    <row r="139" ht="15.75" customHeight="1">
      <c r="A139" s="372"/>
      <c r="B139" s="372"/>
      <c r="C139" s="372"/>
      <c r="D139" s="372"/>
      <c r="E139" s="372"/>
      <c r="F139" s="372"/>
      <c r="G139" s="372"/>
      <c r="H139" s="372"/>
      <c r="I139" s="372"/>
      <c r="J139" s="372"/>
      <c r="K139" s="372"/>
      <c r="L139" s="372"/>
      <c r="M139" s="372"/>
      <c r="N139" s="372"/>
      <c r="O139" s="372"/>
      <c r="P139" s="372"/>
      <c r="Q139" s="372"/>
      <c r="R139" s="372"/>
      <c r="S139" s="372"/>
      <c r="T139" s="372"/>
      <c r="U139" s="372"/>
      <c r="V139" s="372"/>
      <c r="W139" s="372"/>
      <c r="X139" s="372"/>
      <c r="Y139" s="372"/>
      <c r="Z139" s="372"/>
    </row>
    <row r="140" ht="15.75" customHeight="1">
      <c r="A140" s="372"/>
      <c r="B140" s="372"/>
      <c r="C140" s="372"/>
      <c r="D140" s="372"/>
      <c r="E140" s="372"/>
      <c r="F140" s="372"/>
      <c r="G140" s="372"/>
      <c r="H140" s="372"/>
      <c r="I140" s="372"/>
      <c r="J140" s="372"/>
      <c r="K140" s="372"/>
      <c r="L140" s="372"/>
      <c r="M140" s="372"/>
      <c r="N140" s="372"/>
      <c r="O140" s="372"/>
      <c r="P140" s="372"/>
      <c r="Q140" s="372"/>
      <c r="R140" s="372"/>
      <c r="S140" s="372"/>
      <c r="T140" s="372"/>
      <c r="U140" s="372"/>
      <c r="V140" s="372"/>
      <c r="W140" s="372"/>
      <c r="X140" s="372"/>
      <c r="Y140" s="372"/>
      <c r="Z140" s="372"/>
    </row>
    <row r="141" ht="15.75" customHeight="1">
      <c r="A141" s="372"/>
      <c r="B141" s="372"/>
      <c r="C141" s="372"/>
      <c r="D141" s="372"/>
      <c r="E141" s="372"/>
      <c r="F141" s="372"/>
      <c r="G141" s="372"/>
      <c r="H141" s="372"/>
      <c r="I141" s="372"/>
      <c r="J141" s="372"/>
      <c r="K141" s="372"/>
      <c r="L141" s="372"/>
      <c r="M141" s="372"/>
      <c r="N141" s="372"/>
      <c r="O141" s="372"/>
      <c r="P141" s="372"/>
      <c r="Q141" s="372"/>
      <c r="R141" s="372"/>
      <c r="S141" s="372"/>
      <c r="T141" s="372"/>
      <c r="U141" s="372"/>
      <c r="V141" s="372"/>
      <c r="W141" s="372"/>
      <c r="X141" s="372"/>
      <c r="Y141" s="372"/>
      <c r="Z141" s="372"/>
    </row>
    <row r="142" ht="15.75" customHeight="1">
      <c r="A142" s="372"/>
      <c r="B142" s="372"/>
      <c r="C142" s="372"/>
      <c r="D142" s="372"/>
      <c r="E142" s="372"/>
      <c r="F142" s="372"/>
      <c r="G142" s="372"/>
      <c r="H142" s="372"/>
      <c r="I142" s="372"/>
      <c r="J142" s="372"/>
      <c r="K142" s="372"/>
      <c r="L142" s="372"/>
      <c r="M142" s="372"/>
      <c r="N142" s="372"/>
      <c r="O142" s="372"/>
      <c r="P142" s="372"/>
      <c r="Q142" s="372"/>
      <c r="R142" s="372"/>
      <c r="S142" s="372"/>
      <c r="T142" s="372"/>
      <c r="U142" s="372"/>
      <c r="V142" s="372"/>
      <c r="W142" s="372"/>
      <c r="X142" s="372"/>
      <c r="Y142" s="372"/>
      <c r="Z142" s="372"/>
    </row>
    <row r="143" ht="15.75" customHeight="1">
      <c r="A143" s="372"/>
      <c r="B143" s="372"/>
      <c r="C143" s="372"/>
      <c r="D143" s="372"/>
      <c r="E143" s="372"/>
      <c r="F143" s="372"/>
      <c r="G143" s="372"/>
      <c r="H143" s="372"/>
      <c r="I143" s="372"/>
      <c r="J143" s="372"/>
      <c r="K143" s="372"/>
      <c r="L143" s="372"/>
      <c r="M143" s="372"/>
      <c r="N143" s="372"/>
      <c r="O143" s="372"/>
      <c r="P143" s="372"/>
      <c r="Q143" s="372"/>
      <c r="R143" s="372"/>
      <c r="S143" s="372"/>
      <c r="T143" s="372"/>
      <c r="U143" s="372"/>
      <c r="V143" s="372"/>
      <c r="W143" s="372"/>
      <c r="X143" s="372"/>
      <c r="Y143" s="372"/>
      <c r="Z143" s="372"/>
    </row>
    <row r="144" ht="15.75" customHeight="1">
      <c r="A144" s="372"/>
      <c r="B144" s="372"/>
      <c r="C144" s="372"/>
      <c r="D144" s="372"/>
      <c r="E144" s="372"/>
      <c r="F144" s="372"/>
      <c r="G144" s="372"/>
      <c r="H144" s="372"/>
      <c r="I144" s="372"/>
      <c r="J144" s="372"/>
      <c r="K144" s="372"/>
      <c r="L144" s="372"/>
      <c r="M144" s="372"/>
      <c r="N144" s="372"/>
      <c r="O144" s="372"/>
      <c r="P144" s="372"/>
      <c r="Q144" s="372"/>
      <c r="R144" s="372"/>
      <c r="S144" s="372"/>
      <c r="T144" s="372"/>
      <c r="U144" s="372"/>
      <c r="V144" s="372"/>
      <c r="W144" s="372"/>
      <c r="X144" s="372"/>
      <c r="Y144" s="372"/>
      <c r="Z144" s="372"/>
    </row>
    <row r="145" ht="15.75" customHeight="1">
      <c r="A145" s="372"/>
      <c r="B145" s="372"/>
      <c r="C145" s="372"/>
      <c r="D145" s="372"/>
      <c r="E145" s="372"/>
      <c r="F145" s="372"/>
      <c r="G145" s="372"/>
      <c r="H145" s="372"/>
      <c r="I145" s="372"/>
      <c r="J145" s="372"/>
      <c r="K145" s="372"/>
      <c r="L145" s="372"/>
      <c r="M145" s="372"/>
      <c r="N145" s="372"/>
      <c r="O145" s="372"/>
      <c r="P145" s="372"/>
      <c r="Q145" s="372"/>
      <c r="R145" s="372"/>
      <c r="S145" s="372"/>
      <c r="T145" s="372"/>
      <c r="U145" s="372"/>
      <c r="V145" s="372"/>
      <c r="W145" s="372"/>
      <c r="X145" s="372"/>
      <c r="Y145" s="372"/>
      <c r="Z145" s="372"/>
    </row>
    <row r="146" ht="15.75" customHeight="1">
      <c r="A146" s="372"/>
      <c r="B146" s="372"/>
      <c r="C146" s="372"/>
      <c r="D146" s="372"/>
      <c r="E146" s="372"/>
      <c r="F146" s="372"/>
      <c r="G146" s="372"/>
      <c r="H146" s="372"/>
      <c r="I146" s="372"/>
      <c r="J146" s="372"/>
      <c r="K146" s="372"/>
      <c r="L146" s="372"/>
      <c r="M146" s="372"/>
      <c r="N146" s="372"/>
      <c r="O146" s="372"/>
      <c r="P146" s="372"/>
      <c r="Q146" s="372"/>
      <c r="R146" s="372"/>
      <c r="S146" s="372"/>
      <c r="T146" s="372"/>
      <c r="U146" s="372"/>
      <c r="V146" s="372"/>
      <c r="W146" s="372"/>
      <c r="X146" s="372"/>
      <c r="Y146" s="372"/>
      <c r="Z146" s="372"/>
    </row>
    <row r="147" ht="15.75" customHeight="1">
      <c r="A147" s="372"/>
      <c r="B147" s="372"/>
      <c r="C147" s="372"/>
      <c r="D147" s="372"/>
      <c r="E147" s="372"/>
      <c r="F147" s="372"/>
      <c r="G147" s="372"/>
      <c r="H147" s="372"/>
      <c r="I147" s="372"/>
      <c r="J147" s="372"/>
      <c r="K147" s="372"/>
      <c r="L147" s="372"/>
      <c r="M147" s="372"/>
      <c r="N147" s="372"/>
      <c r="O147" s="372"/>
      <c r="P147" s="372"/>
      <c r="Q147" s="372"/>
      <c r="R147" s="372"/>
      <c r="S147" s="372"/>
      <c r="T147" s="372"/>
      <c r="U147" s="372"/>
      <c r="V147" s="372"/>
      <c r="W147" s="372"/>
      <c r="X147" s="372"/>
      <c r="Y147" s="372"/>
      <c r="Z147" s="372"/>
    </row>
    <row r="148" ht="15.75" customHeight="1">
      <c r="A148" s="372"/>
      <c r="B148" s="372"/>
      <c r="C148" s="372"/>
      <c r="D148" s="372"/>
      <c r="E148" s="372"/>
      <c r="F148" s="372"/>
      <c r="G148" s="372"/>
      <c r="H148" s="372"/>
      <c r="I148" s="372"/>
      <c r="J148" s="372"/>
      <c r="K148" s="372"/>
      <c r="L148" s="372"/>
      <c r="M148" s="372"/>
      <c r="N148" s="372"/>
      <c r="O148" s="372"/>
      <c r="P148" s="372"/>
      <c r="Q148" s="372"/>
      <c r="R148" s="372"/>
      <c r="S148" s="372"/>
      <c r="T148" s="372"/>
      <c r="U148" s="372"/>
      <c r="V148" s="372"/>
      <c r="W148" s="372"/>
      <c r="X148" s="372"/>
      <c r="Y148" s="372"/>
      <c r="Z148" s="372"/>
    </row>
    <row r="149" ht="15.75" customHeight="1">
      <c r="A149" s="372"/>
      <c r="B149" s="372"/>
      <c r="C149" s="372"/>
      <c r="D149" s="372"/>
      <c r="E149" s="372"/>
      <c r="F149" s="372"/>
      <c r="G149" s="372"/>
      <c r="H149" s="372"/>
      <c r="I149" s="372"/>
      <c r="J149" s="372"/>
      <c r="K149" s="372"/>
      <c r="L149" s="372"/>
      <c r="M149" s="372"/>
      <c r="N149" s="372"/>
      <c r="O149" s="372"/>
      <c r="P149" s="372"/>
      <c r="Q149" s="372"/>
      <c r="R149" s="372"/>
      <c r="S149" s="372"/>
      <c r="T149" s="372"/>
      <c r="U149" s="372"/>
      <c r="V149" s="372"/>
      <c r="W149" s="372"/>
      <c r="X149" s="372"/>
      <c r="Y149" s="372"/>
      <c r="Z149" s="372"/>
    </row>
    <row r="150" ht="15.75" customHeight="1">
      <c r="A150" s="372"/>
      <c r="B150" s="372"/>
      <c r="C150" s="372"/>
      <c r="D150" s="372"/>
      <c r="E150" s="372"/>
      <c r="F150" s="372"/>
      <c r="G150" s="372"/>
      <c r="H150" s="372"/>
      <c r="I150" s="372"/>
      <c r="J150" s="372"/>
      <c r="K150" s="372"/>
      <c r="L150" s="372"/>
      <c r="M150" s="372"/>
      <c r="N150" s="372"/>
      <c r="O150" s="372"/>
      <c r="P150" s="372"/>
      <c r="Q150" s="372"/>
      <c r="R150" s="372"/>
      <c r="S150" s="372"/>
      <c r="T150" s="372"/>
      <c r="U150" s="372"/>
      <c r="V150" s="372"/>
      <c r="W150" s="372"/>
      <c r="X150" s="372"/>
      <c r="Y150" s="372"/>
      <c r="Z150" s="372"/>
    </row>
    <row r="151" ht="15.75" customHeight="1">
      <c r="A151" s="372"/>
      <c r="B151" s="372"/>
      <c r="C151" s="372"/>
      <c r="D151" s="372"/>
      <c r="E151" s="372"/>
      <c r="F151" s="372"/>
      <c r="G151" s="372"/>
      <c r="H151" s="372"/>
      <c r="I151" s="372"/>
      <c r="J151" s="372"/>
      <c r="K151" s="372"/>
      <c r="L151" s="372"/>
      <c r="M151" s="372"/>
      <c r="N151" s="372"/>
      <c r="O151" s="372"/>
      <c r="P151" s="372"/>
      <c r="Q151" s="372"/>
      <c r="R151" s="372"/>
      <c r="S151" s="372"/>
      <c r="T151" s="372"/>
      <c r="U151" s="372"/>
      <c r="V151" s="372"/>
      <c r="W151" s="372"/>
      <c r="X151" s="372"/>
      <c r="Y151" s="372"/>
      <c r="Z151" s="372"/>
    </row>
    <row r="152" ht="15.75" customHeight="1">
      <c r="A152" s="372"/>
      <c r="B152" s="372"/>
      <c r="C152" s="372"/>
      <c r="D152" s="372"/>
      <c r="E152" s="372"/>
      <c r="F152" s="372"/>
      <c r="G152" s="372"/>
      <c r="H152" s="372"/>
      <c r="I152" s="372"/>
      <c r="J152" s="372"/>
      <c r="K152" s="372"/>
      <c r="L152" s="372"/>
      <c r="M152" s="372"/>
      <c r="N152" s="372"/>
      <c r="O152" s="372"/>
      <c r="P152" s="372"/>
      <c r="Q152" s="372"/>
      <c r="R152" s="372"/>
      <c r="S152" s="372"/>
      <c r="T152" s="372"/>
      <c r="U152" s="372"/>
      <c r="V152" s="372"/>
      <c r="W152" s="372"/>
      <c r="X152" s="372"/>
      <c r="Y152" s="372"/>
      <c r="Z152" s="372"/>
    </row>
    <row r="153" ht="15.75" customHeight="1">
      <c r="A153" s="372"/>
      <c r="B153" s="372"/>
      <c r="C153" s="372"/>
      <c r="D153" s="372"/>
      <c r="E153" s="372"/>
      <c r="F153" s="372"/>
      <c r="G153" s="372"/>
      <c r="H153" s="372"/>
      <c r="I153" s="372"/>
      <c r="J153" s="372"/>
      <c r="K153" s="372"/>
      <c r="L153" s="372"/>
      <c r="M153" s="372"/>
      <c r="N153" s="372"/>
      <c r="O153" s="372"/>
      <c r="P153" s="372"/>
      <c r="Q153" s="372"/>
      <c r="R153" s="372"/>
      <c r="S153" s="372"/>
      <c r="T153" s="372"/>
      <c r="U153" s="372"/>
      <c r="V153" s="372"/>
      <c r="W153" s="372"/>
      <c r="X153" s="372"/>
      <c r="Y153" s="372"/>
      <c r="Z153" s="372"/>
    </row>
    <row r="154" ht="15.75" customHeight="1">
      <c r="A154" s="372"/>
      <c r="B154" s="372"/>
      <c r="C154" s="372"/>
      <c r="D154" s="372"/>
      <c r="E154" s="372"/>
      <c r="F154" s="372"/>
      <c r="G154" s="372"/>
      <c r="H154" s="372"/>
      <c r="I154" s="372"/>
      <c r="J154" s="372"/>
      <c r="K154" s="372"/>
      <c r="L154" s="372"/>
      <c r="M154" s="372"/>
      <c r="N154" s="372"/>
      <c r="O154" s="372"/>
      <c r="P154" s="372"/>
      <c r="Q154" s="372"/>
      <c r="R154" s="372"/>
      <c r="S154" s="372"/>
      <c r="T154" s="372"/>
      <c r="U154" s="372"/>
      <c r="V154" s="372"/>
      <c r="W154" s="372"/>
      <c r="X154" s="372"/>
      <c r="Y154" s="372"/>
      <c r="Z154" s="372"/>
    </row>
    <row r="155" ht="15.75" customHeight="1">
      <c r="A155" s="372"/>
      <c r="B155" s="372"/>
      <c r="C155" s="372"/>
      <c r="D155" s="372"/>
      <c r="E155" s="372"/>
      <c r="F155" s="372"/>
      <c r="G155" s="372"/>
      <c r="H155" s="372"/>
      <c r="I155" s="372"/>
      <c r="J155" s="372"/>
      <c r="K155" s="372"/>
      <c r="L155" s="372"/>
      <c r="M155" s="372"/>
      <c r="N155" s="372"/>
      <c r="O155" s="372"/>
      <c r="P155" s="372"/>
      <c r="Q155" s="372"/>
      <c r="R155" s="372"/>
      <c r="S155" s="372"/>
      <c r="T155" s="372"/>
      <c r="U155" s="372"/>
      <c r="V155" s="372"/>
      <c r="W155" s="372"/>
      <c r="X155" s="372"/>
      <c r="Y155" s="372"/>
      <c r="Z155" s="372"/>
    </row>
    <row r="156" ht="15.75" customHeight="1">
      <c r="A156" s="372"/>
      <c r="B156" s="372"/>
      <c r="C156" s="372"/>
      <c r="D156" s="372"/>
      <c r="E156" s="372"/>
      <c r="F156" s="372"/>
      <c r="G156" s="372"/>
      <c r="H156" s="372"/>
      <c r="I156" s="372"/>
      <c r="J156" s="372"/>
      <c r="K156" s="372"/>
      <c r="L156" s="372"/>
      <c r="M156" s="372"/>
      <c r="N156" s="372"/>
      <c r="O156" s="372"/>
      <c r="P156" s="372"/>
      <c r="Q156" s="372"/>
      <c r="R156" s="372"/>
      <c r="S156" s="372"/>
      <c r="T156" s="372"/>
      <c r="U156" s="372"/>
      <c r="V156" s="372"/>
      <c r="W156" s="372"/>
      <c r="X156" s="372"/>
      <c r="Y156" s="372"/>
      <c r="Z156" s="372"/>
    </row>
    <row r="157" ht="15.75" customHeight="1">
      <c r="A157" s="372"/>
      <c r="B157" s="372"/>
      <c r="C157" s="372"/>
      <c r="D157" s="372"/>
      <c r="E157" s="372"/>
      <c r="F157" s="372"/>
      <c r="G157" s="372"/>
      <c r="H157" s="372"/>
      <c r="I157" s="372"/>
      <c r="J157" s="372"/>
      <c r="K157" s="372"/>
      <c r="L157" s="372"/>
      <c r="M157" s="372"/>
      <c r="N157" s="372"/>
      <c r="O157" s="372"/>
      <c r="P157" s="372"/>
      <c r="Q157" s="372"/>
      <c r="R157" s="372"/>
      <c r="S157" s="372"/>
      <c r="T157" s="372"/>
      <c r="U157" s="372"/>
      <c r="V157" s="372"/>
      <c r="W157" s="372"/>
      <c r="X157" s="372"/>
      <c r="Y157" s="372"/>
      <c r="Z157" s="372"/>
    </row>
    <row r="158" ht="15.75" customHeight="1">
      <c r="A158" s="372"/>
      <c r="B158" s="372"/>
      <c r="C158" s="372"/>
      <c r="D158" s="372"/>
      <c r="E158" s="372"/>
      <c r="F158" s="372"/>
      <c r="G158" s="372"/>
      <c r="H158" s="372"/>
      <c r="I158" s="372"/>
      <c r="J158" s="372"/>
      <c r="K158" s="372"/>
      <c r="L158" s="372"/>
      <c r="M158" s="372"/>
      <c r="N158" s="372"/>
      <c r="O158" s="372"/>
      <c r="P158" s="372"/>
      <c r="Q158" s="372"/>
      <c r="R158" s="372"/>
      <c r="S158" s="372"/>
      <c r="T158" s="372"/>
      <c r="U158" s="372"/>
      <c r="V158" s="372"/>
      <c r="W158" s="372"/>
      <c r="X158" s="372"/>
      <c r="Y158" s="372"/>
      <c r="Z158" s="372"/>
    </row>
    <row r="159" ht="15.75" customHeight="1">
      <c r="A159" s="372"/>
      <c r="B159" s="372"/>
      <c r="C159" s="372"/>
      <c r="D159" s="372"/>
      <c r="E159" s="372"/>
      <c r="F159" s="372"/>
      <c r="G159" s="372"/>
      <c r="H159" s="372"/>
      <c r="I159" s="372"/>
      <c r="J159" s="372"/>
      <c r="K159" s="372"/>
      <c r="L159" s="372"/>
      <c r="M159" s="372"/>
      <c r="N159" s="372"/>
      <c r="O159" s="372"/>
      <c r="P159" s="372"/>
      <c r="Q159" s="372"/>
      <c r="R159" s="372"/>
      <c r="S159" s="372"/>
      <c r="T159" s="372"/>
      <c r="U159" s="372"/>
      <c r="V159" s="372"/>
      <c r="W159" s="372"/>
      <c r="X159" s="372"/>
      <c r="Y159" s="372"/>
      <c r="Z159" s="372"/>
    </row>
    <row r="160" ht="15.75" customHeight="1">
      <c r="A160" s="372"/>
      <c r="B160" s="372"/>
      <c r="C160" s="372"/>
      <c r="D160" s="372"/>
      <c r="E160" s="372"/>
      <c r="F160" s="372"/>
      <c r="G160" s="372"/>
      <c r="H160" s="372"/>
      <c r="I160" s="372"/>
      <c r="J160" s="372"/>
      <c r="K160" s="372"/>
      <c r="L160" s="372"/>
      <c r="M160" s="372"/>
      <c r="N160" s="372"/>
      <c r="O160" s="372"/>
      <c r="P160" s="372"/>
      <c r="Q160" s="372"/>
      <c r="R160" s="372"/>
      <c r="S160" s="372"/>
      <c r="T160" s="372"/>
      <c r="U160" s="372"/>
      <c r="V160" s="372"/>
      <c r="W160" s="372"/>
      <c r="X160" s="372"/>
      <c r="Y160" s="372"/>
      <c r="Z160" s="372"/>
    </row>
    <row r="161" ht="15.75" customHeight="1">
      <c r="A161" s="372"/>
      <c r="B161" s="372"/>
      <c r="C161" s="372"/>
      <c r="D161" s="372"/>
      <c r="E161" s="372"/>
      <c r="F161" s="372"/>
      <c r="G161" s="372"/>
      <c r="H161" s="372"/>
      <c r="I161" s="372"/>
      <c r="J161" s="372"/>
      <c r="K161" s="372"/>
      <c r="L161" s="372"/>
      <c r="M161" s="372"/>
      <c r="N161" s="372"/>
      <c r="O161" s="372"/>
      <c r="P161" s="372"/>
      <c r="Q161" s="372"/>
      <c r="R161" s="372"/>
      <c r="S161" s="372"/>
      <c r="T161" s="372"/>
      <c r="U161" s="372"/>
      <c r="V161" s="372"/>
      <c r="W161" s="372"/>
      <c r="X161" s="372"/>
      <c r="Y161" s="372"/>
      <c r="Z161" s="372"/>
    </row>
    <row r="162" ht="15.75" customHeight="1">
      <c r="A162" s="372"/>
      <c r="B162" s="372"/>
      <c r="C162" s="372"/>
      <c r="D162" s="372"/>
      <c r="E162" s="372"/>
      <c r="F162" s="372"/>
      <c r="G162" s="372"/>
      <c r="H162" s="372"/>
      <c r="I162" s="372"/>
      <c r="J162" s="372"/>
      <c r="K162" s="372"/>
      <c r="L162" s="372"/>
      <c r="M162" s="372"/>
      <c r="N162" s="372"/>
      <c r="O162" s="372"/>
      <c r="P162" s="372"/>
      <c r="Q162" s="372"/>
      <c r="R162" s="372"/>
      <c r="S162" s="372"/>
      <c r="T162" s="372"/>
      <c r="U162" s="372"/>
      <c r="V162" s="372"/>
      <c r="W162" s="372"/>
      <c r="X162" s="372"/>
      <c r="Y162" s="372"/>
      <c r="Z162" s="372"/>
    </row>
    <row r="163" ht="15.75" customHeight="1">
      <c r="A163" s="372"/>
      <c r="B163" s="372"/>
      <c r="C163" s="372"/>
      <c r="D163" s="372"/>
      <c r="E163" s="372"/>
      <c r="F163" s="372"/>
      <c r="G163" s="372"/>
      <c r="H163" s="372"/>
      <c r="I163" s="372"/>
      <c r="J163" s="372"/>
      <c r="K163" s="372"/>
      <c r="L163" s="372"/>
      <c r="M163" s="372"/>
      <c r="N163" s="372"/>
      <c r="O163" s="372"/>
      <c r="P163" s="372"/>
      <c r="Q163" s="372"/>
      <c r="R163" s="372"/>
      <c r="S163" s="372"/>
      <c r="T163" s="372"/>
      <c r="U163" s="372"/>
      <c r="V163" s="372"/>
      <c r="W163" s="372"/>
      <c r="X163" s="372"/>
      <c r="Y163" s="372"/>
      <c r="Z163" s="372"/>
    </row>
    <row r="164" ht="15.75" customHeight="1">
      <c r="A164" s="372"/>
      <c r="B164" s="372"/>
      <c r="C164" s="372"/>
      <c r="D164" s="372"/>
      <c r="E164" s="372"/>
      <c r="F164" s="372"/>
      <c r="G164" s="372"/>
      <c r="H164" s="372"/>
      <c r="I164" s="372"/>
      <c r="J164" s="372"/>
      <c r="K164" s="372"/>
      <c r="L164" s="372"/>
      <c r="M164" s="372"/>
      <c r="N164" s="372"/>
      <c r="O164" s="372"/>
      <c r="P164" s="372"/>
      <c r="Q164" s="372"/>
      <c r="R164" s="372"/>
      <c r="S164" s="372"/>
      <c r="T164" s="372"/>
      <c r="U164" s="372"/>
      <c r="V164" s="372"/>
      <c r="W164" s="372"/>
      <c r="X164" s="372"/>
      <c r="Y164" s="372"/>
      <c r="Z164" s="372"/>
    </row>
    <row r="165" ht="15.75" customHeight="1">
      <c r="A165" s="372"/>
      <c r="B165" s="372"/>
      <c r="C165" s="372"/>
      <c r="D165" s="372"/>
      <c r="E165" s="372"/>
      <c r="F165" s="372"/>
      <c r="G165" s="372"/>
      <c r="H165" s="372"/>
      <c r="I165" s="372"/>
      <c r="J165" s="372"/>
      <c r="K165" s="372"/>
      <c r="L165" s="372"/>
      <c r="M165" s="372"/>
      <c r="N165" s="372"/>
      <c r="O165" s="372"/>
      <c r="P165" s="372"/>
      <c r="Q165" s="372"/>
      <c r="R165" s="372"/>
      <c r="S165" s="372"/>
      <c r="T165" s="372"/>
      <c r="U165" s="372"/>
      <c r="V165" s="372"/>
      <c r="W165" s="372"/>
      <c r="X165" s="372"/>
      <c r="Y165" s="372"/>
      <c r="Z165" s="372"/>
    </row>
    <row r="166" ht="15.75" customHeight="1">
      <c r="A166" s="372"/>
      <c r="B166" s="372"/>
      <c r="C166" s="372"/>
      <c r="D166" s="372"/>
      <c r="E166" s="372"/>
      <c r="F166" s="372"/>
      <c r="G166" s="372"/>
      <c r="H166" s="372"/>
      <c r="I166" s="372"/>
      <c r="J166" s="372"/>
      <c r="K166" s="372"/>
      <c r="L166" s="372"/>
      <c r="M166" s="372"/>
      <c r="N166" s="372"/>
      <c r="O166" s="372"/>
      <c r="P166" s="372"/>
      <c r="Q166" s="372"/>
      <c r="R166" s="372"/>
      <c r="S166" s="372"/>
      <c r="T166" s="372"/>
      <c r="U166" s="372"/>
      <c r="V166" s="372"/>
      <c r="W166" s="372"/>
      <c r="X166" s="372"/>
      <c r="Y166" s="372"/>
      <c r="Z166" s="372"/>
    </row>
    <row r="167" ht="15.75" customHeight="1">
      <c r="A167" s="372"/>
      <c r="B167" s="372"/>
      <c r="C167" s="372"/>
      <c r="D167" s="372"/>
      <c r="E167" s="372"/>
      <c r="F167" s="372"/>
      <c r="G167" s="372"/>
      <c r="H167" s="372"/>
      <c r="I167" s="372"/>
      <c r="J167" s="372"/>
      <c r="K167" s="372"/>
      <c r="L167" s="372"/>
      <c r="M167" s="372"/>
      <c r="N167" s="372"/>
      <c r="O167" s="372"/>
      <c r="P167" s="372"/>
      <c r="Q167" s="372"/>
      <c r="R167" s="372"/>
      <c r="S167" s="372"/>
      <c r="T167" s="372"/>
      <c r="U167" s="372"/>
      <c r="V167" s="372"/>
      <c r="W167" s="372"/>
      <c r="X167" s="372"/>
      <c r="Y167" s="372"/>
      <c r="Z167" s="372"/>
    </row>
    <row r="168" ht="15.75" customHeight="1">
      <c r="A168" s="372"/>
      <c r="B168" s="372"/>
      <c r="C168" s="372"/>
      <c r="D168" s="372"/>
      <c r="E168" s="372"/>
      <c r="F168" s="372"/>
      <c r="G168" s="372"/>
      <c r="H168" s="372"/>
      <c r="I168" s="372"/>
      <c r="J168" s="372"/>
      <c r="K168" s="372"/>
      <c r="L168" s="372"/>
      <c r="M168" s="372"/>
      <c r="N168" s="372"/>
      <c r="O168" s="372"/>
      <c r="P168" s="372"/>
      <c r="Q168" s="372"/>
      <c r="R168" s="372"/>
      <c r="S168" s="372"/>
      <c r="T168" s="372"/>
      <c r="U168" s="372"/>
      <c r="V168" s="372"/>
      <c r="W168" s="372"/>
      <c r="X168" s="372"/>
      <c r="Y168" s="372"/>
      <c r="Z168" s="372"/>
    </row>
    <row r="169" ht="15.75" customHeight="1">
      <c r="A169" s="372"/>
      <c r="B169" s="372"/>
      <c r="C169" s="372"/>
      <c r="D169" s="372"/>
      <c r="E169" s="372"/>
      <c r="F169" s="372"/>
      <c r="G169" s="372"/>
      <c r="H169" s="372"/>
      <c r="I169" s="372"/>
      <c r="J169" s="372"/>
      <c r="K169" s="372"/>
      <c r="L169" s="372"/>
      <c r="M169" s="372"/>
      <c r="N169" s="372"/>
      <c r="O169" s="372"/>
      <c r="P169" s="372"/>
      <c r="Q169" s="372"/>
      <c r="R169" s="372"/>
      <c r="S169" s="372"/>
      <c r="T169" s="372"/>
      <c r="U169" s="372"/>
      <c r="V169" s="372"/>
      <c r="W169" s="372"/>
      <c r="X169" s="372"/>
      <c r="Y169" s="372"/>
      <c r="Z169" s="372"/>
    </row>
    <row r="170" ht="15.75" customHeight="1">
      <c r="A170" s="372"/>
      <c r="B170" s="372"/>
      <c r="C170" s="372"/>
      <c r="D170" s="372"/>
      <c r="E170" s="372"/>
      <c r="F170" s="372"/>
      <c r="G170" s="372"/>
      <c r="H170" s="372"/>
      <c r="I170" s="372"/>
      <c r="J170" s="372"/>
      <c r="K170" s="372"/>
      <c r="L170" s="372"/>
      <c r="M170" s="372"/>
      <c r="N170" s="372"/>
      <c r="O170" s="372"/>
      <c r="P170" s="372"/>
      <c r="Q170" s="372"/>
      <c r="R170" s="372"/>
      <c r="S170" s="372"/>
      <c r="T170" s="372"/>
      <c r="U170" s="372"/>
      <c r="V170" s="372"/>
      <c r="W170" s="372"/>
      <c r="X170" s="372"/>
      <c r="Y170" s="372"/>
      <c r="Z170" s="372"/>
    </row>
    <row r="171" ht="15.75" customHeight="1">
      <c r="A171" s="372"/>
      <c r="B171" s="372"/>
      <c r="C171" s="372"/>
      <c r="D171" s="372"/>
      <c r="E171" s="372"/>
      <c r="F171" s="372"/>
      <c r="G171" s="372"/>
      <c r="H171" s="372"/>
      <c r="I171" s="372"/>
      <c r="J171" s="372"/>
      <c r="K171" s="372"/>
      <c r="L171" s="372"/>
      <c r="M171" s="372"/>
      <c r="N171" s="372"/>
      <c r="O171" s="372"/>
      <c r="P171" s="372"/>
      <c r="Q171" s="372"/>
      <c r="R171" s="372"/>
      <c r="S171" s="372"/>
      <c r="T171" s="372"/>
      <c r="U171" s="372"/>
      <c r="V171" s="372"/>
      <c r="W171" s="372"/>
      <c r="X171" s="372"/>
      <c r="Y171" s="372"/>
      <c r="Z171" s="372"/>
    </row>
    <row r="172" ht="15.75" customHeight="1">
      <c r="A172" s="372"/>
      <c r="B172" s="372"/>
      <c r="C172" s="372"/>
      <c r="D172" s="372"/>
      <c r="E172" s="372"/>
      <c r="F172" s="372"/>
      <c r="G172" s="372"/>
      <c r="H172" s="372"/>
      <c r="I172" s="372"/>
      <c r="J172" s="372"/>
      <c r="K172" s="372"/>
      <c r="L172" s="372"/>
      <c r="M172" s="372"/>
      <c r="N172" s="372"/>
      <c r="O172" s="372"/>
      <c r="P172" s="372"/>
      <c r="Q172" s="372"/>
      <c r="R172" s="372"/>
      <c r="S172" s="372"/>
      <c r="T172" s="372"/>
      <c r="U172" s="372"/>
      <c r="V172" s="372"/>
      <c r="W172" s="372"/>
      <c r="X172" s="372"/>
      <c r="Y172" s="372"/>
      <c r="Z172" s="372"/>
    </row>
    <row r="173" ht="15.75" customHeight="1">
      <c r="A173" s="372"/>
      <c r="B173" s="372"/>
      <c r="C173" s="372"/>
      <c r="D173" s="372"/>
      <c r="E173" s="372"/>
      <c r="F173" s="372"/>
      <c r="G173" s="372"/>
      <c r="H173" s="372"/>
      <c r="I173" s="372"/>
      <c r="J173" s="372"/>
      <c r="K173" s="372"/>
      <c r="L173" s="372"/>
      <c r="M173" s="372"/>
      <c r="N173" s="372"/>
      <c r="O173" s="372"/>
      <c r="P173" s="372"/>
      <c r="Q173" s="372"/>
      <c r="R173" s="372"/>
      <c r="S173" s="372"/>
      <c r="T173" s="372"/>
      <c r="U173" s="372"/>
      <c r="V173" s="372"/>
      <c r="W173" s="372"/>
      <c r="X173" s="372"/>
      <c r="Y173" s="372"/>
      <c r="Z173" s="372"/>
    </row>
    <row r="174" ht="15.75" customHeight="1">
      <c r="A174" s="372"/>
      <c r="B174" s="372"/>
      <c r="C174" s="372"/>
      <c r="D174" s="372"/>
      <c r="E174" s="372"/>
      <c r="F174" s="372"/>
      <c r="G174" s="372"/>
      <c r="H174" s="372"/>
      <c r="I174" s="372"/>
      <c r="J174" s="372"/>
      <c r="K174" s="372"/>
      <c r="L174" s="372"/>
      <c r="M174" s="372"/>
      <c r="N174" s="372"/>
      <c r="O174" s="372"/>
      <c r="P174" s="372"/>
      <c r="Q174" s="372"/>
      <c r="R174" s="372"/>
      <c r="S174" s="372"/>
      <c r="T174" s="372"/>
      <c r="U174" s="372"/>
      <c r="V174" s="372"/>
      <c r="W174" s="372"/>
      <c r="X174" s="372"/>
      <c r="Y174" s="372"/>
      <c r="Z174" s="372"/>
    </row>
    <row r="175" ht="15.75" customHeight="1">
      <c r="A175" s="372"/>
      <c r="B175" s="372"/>
      <c r="C175" s="372"/>
      <c r="D175" s="372"/>
      <c r="E175" s="372"/>
      <c r="F175" s="372"/>
      <c r="G175" s="372"/>
      <c r="H175" s="372"/>
      <c r="I175" s="372"/>
      <c r="J175" s="372"/>
      <c r="K175" s="372"/>
      <c r="L175" s="372"/>
      <c r="M175" s="372"/>
      <c r="N175" s="372"/>
      <c r="O175" s="372"/>
      <c r="P175" s="372"/>
      <c r="Q175" s="372"/>
      <c r="R175" s="372"/>
      <c r="S175" s="372"/>
      <c r="T175" s="372"/>
      <c r="U175" s="372"/>
      <c r="V175" s="372"/>
      <c r="W175" s="372"/>
      <c r="X175" s="372"/>
      <c r="Y175" s="372"/>
      <c r="Z175" s="372"/>
    </row>
    <row r="176" ht="15.75" customHeight="1">
      <c r="A176" s="372"/>
      <c r="B176" s="372"/>
      <c r="C176" s="372"/>
      <c r="D176" s="372"/>
      <c r="E176" s="372"/>
      <c r="F176" s="372"/>
      <c r="G176" s="372"/>
      <c r="H176" s="372"/>
      <c r="I176" s="372"/>
      <c r="J176" s="372"/>
      <c r="K176" s="372"/>
      <c r="L176" s="372"/>
      <c r="M176" s="372"/>
      <c r="N176" s="372"/>
      <c r="O176" s="372"/>
      <c r="P176" s="372"/>
      <c r="Q176" s="372"/>
      <c r="R176" s="372"/>
      <c r="S176" s="372"/>
      <c r="T176" s="372"/>
      <c r="U176" s="372"/>
      <c r="V176" s="372"/>
      <c r="W176" s="372"/>
      <c r="X176" s="372"/>
      <c r="Y176" s="372"/>
      <c r="Z176" s="372"/>
    </row>
    <row r="177" ht="15.75" customHeight="1">
      <c r="A177" s="372"/>
      <c r="B177" s="372"/>
      <c r="C177" s="372"/>
      <c r="D177" s="372"/>
      <c r="E177" s="372"/>
      <c r="F177" s="372"/>
      <c r="G177" s="372"/>
      <c r="H177" s="372"/>
      <c r="I177" s="372"/>
      <c r="J177" s="372"/>
      <c r="K177" s="372"/>
      <c r="L177" s="372"/>
      <c r="M177" s="372"/>
      <c r="N177" s="372"/>
      <c r="O177" s="372"/>
      <c r="P177" s="372"/>
      <c r="Q177" s="372"/>
      <c r="R177" s="372"/>
      <c r="S177" s="372"/>
      <c r="T177" s="372"/>
      <c r="U177" s="372"/>
      <c r="V177" s="372"/>
      <c r="W177" s="372"/>
      <c r="X177" s="372"/>
      <c r="Y177" s="372"/>
      <c r="Z177" s="372"/>
    </row>
    <row r="178" ht="15.75" customHeight="1">
      <c r="A178" s="372"/>
      <c r="B178" s="372"/>
      <c r="C178" s="372"/>
      <c r="D178" s="372"/>
      <c r="E178" s="372"/>
      <c r="F178" s="372"/>
      <c r="G178" s="372"/>
      <c r="H178" s="372"/>
      <c r="I178" s="372"/>
      <c r="J178" s="372"/>
      <c r="K178" s="372"/>
      <c r="L178" s="372"/>
      <c r="M178" s="372"/>
      <c r="N178" s="372"/>
      <c r="O178" s="372"/>
      <c r="P178" s="372"/>
      <c r="Q178" s="372"/>
      <c r="R178" s="372"/>
      <c r="S178" s="372"/>
      <c r="T178" s="372"/>
      <c r="U178" s="372"/>
      <c r="V178" s="372"/>
      <c r="W178" s="372"/>
      <c r="X178" s="372"/>
      <c r="Y178" s="372"/>
      <c r="Z178" s="372"/>
    </row>
    <row r="179" ht="15.75" customHeight="1">
      <c r="A179" s="372"/>
      <c r="B179" s="372"/>
      <c r="C179" s="372"/>
      <c r="D179" s="372"/>
      <c r="E179" s="372"/>
      <c r="F179" s="372"/>
      <c r="G179" s="372"/>
      <c r="H179" s="372"/>
      <c r="I179" s="372"/>
      <c r="J179" s="372"/>
      <c r="K179" s="372"/>
      <c r="L179" s="372"/>
      <c r="M179" s="372"/>
      <c r="N179" s="372"/>
      <c r="O179" s="372"/>
      <c r="P179" s="372"/>
      <c r="Q179" s="372"/>
      <c r="R179" s="372"/>
      <c r="S179" s="372"/>
      <c r="T179" s="372"/>
      <c r="U179" s="372"/>
      <c r="V179" s="372"/>
      <c r="W179" s="372"/>
      <c r="X179" s="372"/>
      <c r="Y179" s="372"/>
      <c r="Z179" s="372"/>
    </row>
    <row r="180" ht="15.75" customHeight="1">
      <c r="A180" s="372"/>
      <c r="B180" s="372"/>
      <c r="C180" s="372"/>
      <c r="D180" s="372"/>
      <c r="E180" s="372"/>
      <c r="F180" s="372"/>
      <c r="G180" s="372"/>
      <c r="H180" s="372"/>
      <c r="I180" s="372"/>
      <c r="J180" s="372"/>
      <c r="K180" s="372"/>
      <c r="L180" s="372"/>
      <c r="M180" s="372"/>
      <c r="N180" s="372"/>
      <c r="O180" s="372"/>
      <c r="P180" s="372"/>
      <c r="Q180" s="372"/>
      <c r="R180" s="372"/>
      <c r="S180" s="372"/>
      <c r="T180" s="372"/>
      <c r="U180" s="372"/>
      <c r="V180" s="372"/>
      <c r="W180" s="372"/>
      <c r="X180" s="372"/>
      <c r="Y180" s="372"/>
      <c r="Z180" s="372"/>
    </row>
    <row r="181" ht="15.75" customHeight="1">
      <c r="A181" s="372"/>
      <c r="B181" s="372"/>
      <c r="C181" s="372"/>
      <c r="D181" s="372"/>
      <c r="E181" s="372"/>
      <c r="F181" s="372"/>
      <c r="G181" s="372"/>
      <c r="H181" s="372"/>
      <c r="I181" s="372"/>
      <c r="J181" s="372"/>
      <c r="K181" s="372"/>
      <c r="L181" s="372"/>
      <c r="M181" s="372"/>
      <c r="N181" s="372"/>
      <c r="O181" s="372"/>
      <c r="P181" s="372"/>
      <c r="Q181" s="372"/>
      <c r="R181" s="372"/>
      <c r="S181" s="372"/>
      <c r="T181" s="372"/>
      <c r="U181" s="372"/>
      <c r="V181" s="372"/>
      <c r="W181" s="372"/>
      <c r="X181" s="372"/>
      <c r="Y181" s="372"/>
      <c r="Z181" s="372"/>
    </row>
    <row r="182" ht="15.75" customHeight="1">
      <c r="A182" s="372"/>
      <c r="B182" s="372"/>
      <c r="C182" s="372"/>
      <c r="D182" s="372"/>
      <c r="E182" s="372"/>
      <c r="F182" s="372"/>
      <c r="G182" s="372"/>
      <c r="H182" s="372"/>
      <c r="I182" s="372"/>
      <c r="J182" s="372"/>
      <c r="K182" s="372"/>
      <c r="L182" s="372"/>
      <c r="M182" s="372"/>
      <c r="N182" s="372"/>
      <c r="O182" s="372"/>
      <c r="P182" s="372"/>
      <c r="Q182" s="372"/>
      <c r="R182" s="372"/>
      <c r="S182" s="372"/>
      <c r="T182" s="372"/>
      <c r="U182" s="372"/>
      <c r="V182" s="372"/>
      <c r="W182" s="372"/>
      <c r="X182" s="372"/>
      <c r="Y182" s="372"/>
      <c r="Z182" s="372"/>
    </row>
    <row r="183" ht="15.75" customHeight="1">
      <c r="A183" s="372"/>
      <c r="B183" s="372"/>
      <c r="C183" s="372"/>
      <c r="D183" s="372"/>
      <c r="E183" s="372"/>
      <c r="F183" s="372"/>
      <c r="G183" s="372"/>
      <c r="H183" s="372"/>
      <c r="I183" s="372"/>
      <c r="J183" s="372"/>
      <c r="K183" s="372"/>
      <c r="L183" s="372"/>
      <c r="M183" s="372"/>
      <c r="N183" s="372"/>
      <c r="O183" s="372"/>
      <c r="P183" s="372"/>
      <c r="Q183" s="372"/>
      <c r="R183" s="372"/>
      <c r="S183" s="372"/>
      <c r="T183" s="372"/>
      <c r="U183" s="372"/>
      <c r="V183" s="372"/>
      <c r="W183" s="372"/>
      <c r="X183" s="372"/>
      <c r="Y183" s="372"/>
      <c r="Z183" s="372"/>
    </row>
    <row r="184" ht="15.75" customHeight="1">
      <c r="A184" s="372"/>
      <c r="B184" s="372"/>
      <c r="C184" s="372"/>
      <c r="D184" s="372"/>
      <c r="E184" s="372"/>
      <c r="F184" s="372"/>
      <c r="G184" s="372"/>
      <c r="H184" s="372"/>
      <c r="I184" s="372"/>
      <c r="J184" s="372"/>
      <c r="K184" s="372"/>
      <c r="L184" s="372"/>
      <c r="M184" s="372"/>
      <c r="N184" s="372"/>
      <c r="O184" s="372"/>
      <c r="P184" s="372"/>
      <c r="Q184" s="372"/>
      <c r="R184" s="372"/>
      <c r="S184" s="372"/>
      <c r="T184" s="372"/>
      <c r="U184" s="372"/>
      <c r="V184" s="372"/>
      <c r="W184" s="372"/>
      <c r="X184" s="372"/>
      <c r="Y184" s="372"/>
      <c r="Z184" s="372"/>
    </row>
    <row r="185" ht="15.75" customHeight="1">
      <c r="A185" s="372"/>
      <c r="B185" s="372"/>
      <c r="C185" s="372"/>
      <c r="D185" s="372"/>
      <c r="E185" s="372"/>
      <c r="F185" s="372"/>
      <c r="G185" s="372"/>
      <c r="H185" s="372"/>
      <c r="I185" s="372"/>
      <c r="J185" s="372"/>
      <c r="K185" s="372"/>
      <c r="L185" s="372"/>
      <c r="M185" s="372"/>
      <c r="N185" s="372"/>
      <c r="O185" s="372"/>
      <c r="P185" s="372"/>
      <c r="Q185" s="372"/>
      <c r="R185" s="372"/>
      <c r="S185" s="372"/>
      <c r="T185" s="372"/>
      <c r="U185" s="372"/>
      <c r="V185" s="372"/>
      <c r="W185" s="372"/>
      <c r="X185" s="372"/>
      <c r="Y185" s="372"/>
      <c r="Z185" s="372"/>
    </row>
    <row r="186" ht="15.75" customHeight="1">
      <c r="A186" s="372"/>
      <c r="B186" s="372"/>
      <c r="C186" s="372"/>
      <c r="D186" s="372"/>
      <c r="E186" s="372"/>
      <c r="F186" s="372"/>
      <c r="G186" s="372"/>
      <c r="H186" s="372"/>
      <c r="I186" s="372"/>
      <c r="J186" s="372"/>
      <c r="K186" s="372"/>
      <c r="L186" s="372"/>
      <c r="M186" s="372"/>
      <c r="N186" s="372"/>
      <c r="O186" s="372"/>
      <c r="P186" s="372"/>
      <c r="Q186" s="372"/>
      <c r="R186" s="372"/>
      <c r="S186" s="372"/>
      <c r="T186" s="372"/>
      <c r="U186" s="372"/>
      <c r="V186" s="372"/>
      <c r="W186" s="372"/>
      <c r="X186" s="372"/>
      <c r="Y186" s="372"/>
      <c r="Z186" s="372"/>
    </row>
    <row r="187" ht="15.75" customHeight="1">
      <c r="A187" s="372"/>
      <c r="B187" s="372"/>
      <c r="C187" s="372"/>
      <c r="D187" s="372"/>
      <c r="E187" s="372"/>
      <c r="F187" s="372"/>
      <c r="G187" s="372"/>
      <c r="H187" s="372"/>
      <c r="I187" s="372"/>
      <c r="J187" s="372"/>
      <c r="K187" s="372"/>
      <c r="L187" s="372"/>
      <c r="M187" s="372"/>
      <c r="N187" s="372"/>
      <c r="O187" s="372"/>
      <c r="P187" s="372"/>
      <c r="Q187" s="372"/>
      <c r="R187" s="372"/>
      <c r="S187" s="372"/>
      <c r="T187" s="372"/>
      <c r="U187" s="372"/>
      <c r="V187" s="372"/>
      <c r="W187" s="372"/>
      <c r="X187" s="372"/>
      <c r="Y187" s="372"/>
      <c r="Z187" s="372"/>
    </row>
    <row r="188" ht="15.75" customHeight="1">
      <c r="A188" s="372"/>
      <c r="B188" s="372"/>
      <c r="C188" s="372"/>
      <c r="D188" s="372"/>
      <c r="E188" s="372"/>
      <c r="F188" s="372"/>
      <c r="G188" s="372"/>
      <c r="H188" s="372"/>
      <c r="I188" s="372"/>
      <c r="J188" s="372"/>
      <c r="K188" s="372"/>
      <c r="L188" s="372"/>
      <c r="M188" s="372"/>
      <c r="N188" s="372"/>
      <c r="O188" s="372"/>
      <c r="P188" s="372"/>
      <c r="Q188" s="372"/>
      <c r="R188" s="372"/>
      <c r="S188" s="372"/>
      <c r="T188" s="372"/>
      <c r="U188" s="372"/>
      <c r="V188" s="372"/>
      <c r="W188" s="372"/>
      <c r="X188" s="372"/>
      <c r="Y188" s="372"/>
      <c r="Z188" s="372"/>
    </row>
    <row r="189" ht="15.75" customHeight="1">
      <c r="A189" s="372"/>
      <c r="B189" s="372"/>
      <c r="C189" s="372"/>
      <c r="D189" s="372"/>
      <c r="E189" s="372"/>
      <c r="F189" s="372"/>
      <c r="G189" s="372"/>
      <c r="H189" s="372"/>
      <c r="I189" s="372"/>
      <c r="J189" s="372"/>
      <c r="K189" s="372"/>
      <c r="L189" s="372"/>
      <c r="M189" s="372"/>
      <c r="N189" s="372"/>
      <c r="O189" s="372"/>
      <c r="P189" s="372"/>
      <c r="Q189" s="372"/>
      <c r="R189" s="372"/>
      <c r="S189" s="372"/>
      <c r="T189" s="372"/>
      <c r="U189" s="372"/>
      <c r="V189" s="372"/>
      <c r="W189" s="372"/>
      <c r="X189" s="372"/>
      <c r="Y189" s="372"/>
      <c r="Z189" s="372"/>
    </row>
    <row r="190" ht="15.75" customHeight="1">
      <c r="A190" s="372"/>
      <c r="B190" s="372"/>
      <c r="C190" s="372"/>
      <c r="D190" s="372"/>
      <c r="E190" s="372"/>
      <c r="F190" s="372"/>
      <c r="G190" s="372"/>
      <c r="H190" s="372"/>
      <c r="I190" s="372"/>
      <c r="J190" s="372"/>
      <c r="K190" s="372"/>
      <c r="L190" s="372"/>
      <c r="M190" s="372"/>
      <c r="N190" s="372"/>
      <c r="O190" s="372"/>
      <c r="P190" s="372"/>
      <c r="Q190" s="372"/>
      <c r="R190" s="372"/>
      <c r="S190" s="372"/>
      <c r="T190" s="372"/>
      <c r="U190" s="372"/>
      <c r="V190" s="372"/>
      <c r="W190" s="372"/>
      <c r="X190" s="372"/>
      <c r="Y190" s="372"/>
      <c r="Z190" s="372"/>
    </row>
    <row r="191" ht="15.75" customHeight="1">
      <c r="A191" s="372"/>
      <c r="B191" s="372"/>
      <c r="C191" s="372"/>
      <c r="D191" s="372"/>
      <c r="E191" s="372"/>
      <c r="F191" s="372"/>
      <c r="G191" s="372"/>
      <c r="H191" s="372"/>
      <c r="I191" s="372"/>
      <c r="J191" s="372"/>
      <c r="K191" s="372"/>
      <c r="L191" s="372"/>
      <c r="M191" s="372"/>
      <c r="N191" s="372"/>
      <c r="O191" s="372"/>
      <c r="P191" s="372"/>
      <c r="Q191" s="372"/>
      <c r="R191" s="372"/>
      <c r="S191" s="372"/>
      <c r="T191" s="372"/>
      <c r="U191" s="372"/>
      <c r="V191" s="372"/>
      <c r="W191" s="372"/>
      <c r="X191" s="372"/>
      <c r="Y191" s="372"/>
      <c r="Z191" s="372"/>
    </row>
    <row r="192" ht="15.75" customHeight="1">
      <c r="A192" s="372"/>
      <c r="B192" s="372"/>
      <c r="C192" s="372"/>
      <c r="D192" s="372"/>
      <c r="E192" s="372"/>
      <c r="F192" s="372"/>
      <c r="G192" s="372"/>
      <c r="H192" s="372"/>
      <c r="I192" s="372"/>
      <c r="J192" s="372"/>
      <c r="K192" s="372"/>
      <c r="L192" s="372"/>
      <c r="M192" s="372"/>
      <c r="N192" s="372"/>
      <c r="O192" s="372"/>
      <c r="P192" s="372"/>
      <c r="Q192" s="372"/>
      <c r="R192" s="372"/>
      <c r="S192" s="372"/>
      <c r="T192" s="372"/>
      <c r="U192" s="372"/>
      <c r="V192" s="372"/>
      <c r="W192" s="372"/>
      <c r="X192" s="372"/>
      <c r="Y192" s="372"/>
      <c r="Z192" s="372"/>
    </row>
    <row r="193" ht="15.75" customHeight="1">
      <c r="A193" s="372"/>
      <c r="B193" s="372"/>
      <c r="C193" s="372"/>
      <c r="D193" s="372"/>
      <c r="E193" s="372"/>
      <c r="F193" s="372"/>
      <c r="G193" s="372"/>
      <c r="H193" s="372"/>
      <c r="I193" s="372"/>
      <c r="J193" s="372"/>
      <c r="K193" s="372"/>
      <c r="L193" s="372"/>
      <c r="M193" s="372"/>
      <c r="N193" s="372"/>
      <c r="O193" s="372"/>
      <c r="P193" s="372"/>
      <c r="Q193" s="372"/>
      <c r="R193" s="372"/>
      <c r="S193" s="372"/>
      <c r="T193" s="372"/>
      <c r="U193" s="372"/>
      <c r="V193" s="372"/>
      <c r="W193" s="372"/>
      <c r="X193" s="372"/>
      <c r="Y193" s="372"/>
      <c r="Z193" s="372"/>
    </row>
    <row r="194" ht="15.75" customHeight="1">
      <c r="A194" s="372"/>
      <c r="B194" s="372"/>
      <c r="C194" s="372"/>
      <c r="D194" s="372"/>
      <c r="E194" s="372"/>
      <c r="F194" s="372"/>
      <c r="G194" s="372"/>
      <c r="H194" s="372"/>
      <c r="I194" s="372"/>
      <c r="J194" s="372"/>
      <c r="K194" s="372"/>
      <c r="L194" s="372"/>
      <c r="M194" s="372"/>
      <c r="N194" s="372"/>
      <c r="O194" s="372"/>
      <c r="P194" s="372"/>
      <c r="Q194" s="372"/>
      <c r="R194" s="372"/>
      <c r="S194" s="372"/>
      <c r="T194" s="372"/>
      <c r="U194" s="372"/>
      <c r="V194" s="372"/>
      <c r="W194" s="372"/>
      <c r="X194" s="372"/>
      <c r="Y194" s="372"/>
      <c r="Z194" s="372"/>
    </row>
    <row r="195" ht="15.75" customHeight="1">
      <c r="A195" s="372"/>
      <c r="B195" s="372"/>
      <c r="C195" s="372"/>
      <c r="D195" s="372"/>
      <c r="E195" s="372"/>
      <c r="F195" s="372"/>
      <c r="G195" s="372"/>
      <c r="H195" s="372"/>
      <c r="I195" s="372"/>
      <c r="J195" s="372"/>
      <c r="K195" s="372"/>
      <c r="L195" s="372"/>
      <c r="M195" s="372"/>
      <c r="N195" s="372"/>
      <c r="O195" s="372"/>
      <c r="P195" s="372"/>
      <c r="Q195" s="372"/>
      <c r="R195" s="372"/>
      <c r="S195" s="372"/>
      <c r="T195" s="372"/>
      <c r="U195" s="372"/>
      <c r="V195" s="372"/>
      <c r="W195" s="372"/>
      <c r="X195" s="372"/>
      <c r="Y195" s="372"/>
      <c r="Z195" s="372"/>
    </row>
    <row r="196" ht="15.75" customHeight="1">
      <c r="A196" s="372"/>
      <c r="B196" s="372"/>
      <c r="C196" s="372"/>
      <c r="D196" s="372"/>
      <c r="E196" s="372"/>
      <c r="F196" s="372"/>
      <c r="G196" s="372"/>
      <c r="H196" s="372"/>
      <c r="I196" s="372"/>
      <c r="J196" s="372"/>
      <c r="K196" s="372"/>
      <c r="L196" s="372"/>
      <c r="M196" s="372"/>
      <c r="N196" s="372"/>
      <c r="O196" s="372"/>
      <c r="P196" s="372"/>
      <c r="Q196" s="372"/>
      <c r="R196" s="372"/>
      <c r="S196" s="372"/>
      <c r="T196" s="372"/>
      <c r="U196" s="372"/>
      <c r="V196" s="372"/>
      <c r="W196" s="372"/>
      <c r="X196" s="372"/>
      <c r="Y196" s="372"/>
      <c r="Z196" s="372"/>
    </row>
    <row r="197" ht="15.75" customHeight="1">
      <c r="A197" s="372"/>
      <c r="B197" s="372"/>
      <c r="C197" s="372"/>
      <c r="D197" s="372"/>
      <c r="E197" s="372"/>
      <c r="F197" s="372"/>
      <c r="G197" s="372"/>
      <c r="H197" s="372"/>
      <c r="I197" s="372"/>
      <c r="J197" s="372"/>
      <c r="K197" s="372"/>
      <c r="L197" s="372"/>
      <c r="M197" s="372"/>
      <c r="N197" s="372"/>
      <c r="O197" s="372"/>
      <c r="P197" s="372"/>
      <c r="Q197" s="372"/>
      <c r="R197" s="372"/>
      <c r="S197" s="372"/>
      <c r="T197" s="372"/>
      <c r="U197" s="372"/>
      <c r="V197" s="372"/>
      <c r="W197" s="372"/>
      <c r="X197" s="372"/>
      <c r="Y197" s="372"/>
      <c r="Z197" s="372"/>
    </row>
    <row r="198" ht="15.75" customHeight="1">
      <c r="A198" s="372"/>
      <c r="B198" s="372"/>
      <c r="C198" s="372"/>
      <c r="D198" s="372"/>
      <c r="E198" s="372"/>
      <c r="F198" s="372"/>
      <c r="G198" s="372"/>
      <c r="H198" s="372"/>
      <c r="I198" s="372"/>
      <c r="J198" s="372"/>
      <c r="K198" s="372"/>
      <c r="L198" s="372"/>
      <c r="M198" s="372"/>
      <c r="N198" s="372"/>
      <c r="O198" s="372"/>
      <c r="P198" s="372"/>
      <c r="Q198" s="372"/>
      <c r="R198" s="372"/>
      <c r="S198" s="372"/>
      <c r="T198" s="372"/>
      <c r="U198" s="372"/>
      <c r="V198" s="372"/>
      <c r="W198" s="372"/>
      <c r="X198" s="372"/>
      <c r="Y198" s="372"/>
      <c r="Z198" s="372"/>
    </row>
    <row r="199" ht="15.75" customHeight="1">
      <c r="A199" s="372"/>
      <c r="B199" s="372"/>
      <c r="C199" s="372"/>
      <c r="D199" s="372"/>
      <c r="E199" s="372"/>
      <c r="F199" s="372"/>
      <c r="G199" s="372"/>
      <c r="H199" s="372"/>
      <c r="I199" s="372"/>
      <c r="J199" s="372"/>
      <c r="K199" s="372"/>
      <c r="L199" s="372"/>
      <c r="M199" s="372"/>
      <c r="N199" s="372"/>
      <c r="O199" s="372"/>
      <c r="P199" s="372"/>
      <c r="Q199" s="372"/>
      <c r="R199" s="372"/>
      <c r="S199" s="372"/>
      <c r="T199" s="372"/>
      <c r="U199" s="372"/>
      <c r="V199" s="372"/>
      <c r="W199" s="372"/>
      <c r="X199" s="372"/>
      <c r="Y199" s="372"/>
      <c r="Z199" s="372"/>
    </row>
    <row r="200" ht="15.75" customHeight="1">
      <c r="A200" s="372"/>
      <c r="B200" s="372"/>
      <c r="C200" s="372"/>
      <c r="D200" s="372"/>
      <c r="E200" s="372"/>
      <c r="F200" s="372"/>
      <c r="G200" s="372"/>
      <c r="H200" s="372"/>
      <c r="I200" s="372"/>
      <c r="J200" s="372"/>
      <c r="K200" s="372"/>
      <c r="L200" s="372"/>
      <c r="M200" s="372"/>
      <c r="N200" s="372"/>
      <c r="O200" s="372"/>
      <c r="P200" s="372"/>
      <c r="Q200" s="372"/>
      <c r="R200" s="372"/>
      <c r="S200" s="372"/>
      <c r="T200" s="372"/>
      <c r="U200" s="372"/>
      <c r="V200" s="372"/>
      <c r="W200" s="372"/>
      <c r="X200" s="372"/>
      <c r="Y200" s="372"/>
      <c r="Z200" s="372"/>
    </row>
    <row r="201" ht="15.75" customHeight="1">
      <c r="A201" s="372"/>
      <c r="B201" s="372"/>
      <c r="C201" s="372"/>
      <c r="D201" s="372"/>
      <c r="E201" s="372"/>
      <c r="F201" s="372"/>
      <c r="G201" s="372"/>
      <c r="H201" s="372"/>
      <c r="I201" s="372"/>
      <c r="J201" s="372"/>
      <c r="K201" s="372"/>
      <c r="L201" s="372"/>
      <c r="M201" s="372"/>
      <c r="N201" s="372"/>
      <c r="O201" s="372"/>
      <c r="P201" s="372"/>
      <c r="Q201" s="372"/>
      <c r="R201" s="372"/>
      <c r="S201" s="372"/>
      <c r="T201" s="372"/>
      <c r="U201" s="372"/>
      <c r="V201" s="372"/>
      <c r="W201" s="372"/>
      <c r="X201" s="372"/>
      <c r="Y201" s="372"/>
      <c r="Z201" s="372"/>
    </row>
    <row r="202" ht="15.75" customHeight="1">
      <c r="A202" s="372"/>
      <c r="B202" s="372"/>
      <c r="C202" s="372"/>
      <c r="D202" s="372"/>
      <c r="E202" s="372"/>
      <c r="F202" s="372"/>
      <c r="G202" s="372"/>
      <c r="H202" s="372"/>
      <c r="I202" s="372"/>
      <c r="J202" s="372"/>
      <c r="K202" s="372"/>
      <c r="L202" s="372"/>
      <c r="M202" s="372"/>
      <c r="N202" s="372"/>
      <c r="O202" s="372"/>
      <c r="P202" s="372"/>
      <c r="Q202" s="372"/>
      <c r="R202" s="372"/>
      <c r="S202" s="372"/>
      <c r="T202" s="372"/>
      <c r="U202" s="372"/>
      <c r="V202" s="372"/>
      <c r="W202" s="372"/>
      <c r="X202" s="372"/>
      <c r="Y202" s="372"/>
      <c r="Z202" s="372"/>
    </row>
    <row r="203" ht="15.75" customHeight="1">
      <c r="A203" s="372"/>
      <c r="B203" s="372"/>
      <c r="C203" s="372"/>
      <c r="D203" s="372"/>
      <c r="E203" s="372"/>
      <c r="F203" s="372"/>
      <c r="G203" s="372"/>
      <c r="H203" s="372"/>
      <c r="I203" s="372"/>
      <c r="J203" s="372"/>
      <c r="K203" s="372"/>
      <c r="L203" s="372"/>
      <c r="M203" s="372"/>
      <c r="N203" s="372"/>
      <c r="O203" s="372"/>
      <c r="P203" s="372"/>
      <c r="Q203" s="372"/>
      <c r="R203" s="372"/>
      <c r="S203" s="372"/>
      <c r="T203" s="372"/>
      <c r="U203" s="372"/>
      <c r="V203" s="372"/>
      <c r="W203" s="372"/>
      <c r="X203" s="372"/>
      <c r="Y203" s="372"/>
      <c r="Z203" s="372"/>
    </row>
    <row r="204" ht="15.75" customHeight="1">
      <c r="A204" s="372"/>
      <c r="B204" s="372"/>
      <c r="C204" s="372"/>
      <c r="D204" s="372"/>
      <c r="E204" s="372"/>
      <c r="F204" s="372"/>
      <c r="G204" s="372"/>
      <c r="H204" s="372"/>
      <c r="I204" s="372"/>
      <c r="J204" s="372"/>
      <c r="K204" s="372"/>
      <c r="L204" s="372"/>
      <c r="M204" s="372"/>
      <c r="N204" s="372"/>
      <c r="O204" s="372"/>
      <c r="P204" s="372"/>
      <c r="Q204" s="372"/>
      <c r="R204" s="372"/>
      <c r="S204" s="372"/>
      <c r="T204" s="372"/>
      <c r="U204" s="372"/>
      <c r="V204" s="372"/>
      <c r="W204" s="372"/>
      <c r="X204" s="372"/>
      <c r="Y204" s="372"/>
      <c r="Z204" s="372"/>
    </row>
    <row r="205" ht="15.75" customHeight="1">
      <c r="A205" s="372"/>
      <c r="B205" s="372"/>
      <c r="C205" s="372"/>
      <c r="D205" s="372"/>
      <c r="E205" s="372"/>
      <c r="F205" s="372"/>
      <c r="G205" s="372"/>
      <c r="H205" s="372"/>
      <c r="I205" s="372"/>
      <c r="J205" s="372"/>
      <c r="K205" s="372"/>
      <c r="L205" s="372"/>
      <c r="M205" s="372"/>
      <c r="N205" s="372"/>
      <c r="O205" s="372"/>
      <c r="P205" s="372"/>
      <c r="Q205" s="372"/>
      <c r="R205" s="372"/>
      <c r="S205" s="372"/>
      <c r="T205" s="372"/>
      <c r="U205" s="372"/>
      <c r="V205" s="372"/>
      <c r="W205" s="372"/>
      <c r="X205" s="372"/>
      <c r="Y205" s="372"/>
      <c r="Z205" s="372"/>
    </row>
    <row r="206" ht="15.75" customHeight="1">
      <c r="A206" s="372"/>
      <c r="B206" s="372"/>
      <c r="C206" s="372"/>
      <c r="D206" s="372"/>
      <c r="E206" s="372"/>
      <c r="F206" s="372"/>
      <c r="G206" s="372"/>
      <c r="H206" s="372"/>
      <c r="I206" s="372"/>
      <c r="J206" s="372"/>
      <c r="K206" s="372"/>
      <c r="L206" s="372"/>
      <c r="M206" s="372"/>
      <c r="N206" s="372"/>
      <c r="O206" s="372"/>
      <c r="P206" s="372"/>
      <c r="Q206" s="372"/>
      <c r="R206" s="372"/>
      <c r="S206" s="372"/>
      <c r="T206" s="372"/>
      <c r="U206" s="372"/>
      <c r="V206" s="372"/>
      <c r="W206" s="372"/>
      <c r="X206" s="372"/>
      <c r="Y206" s="372"/>
      <c r="Z206" s="372"/>
    </row>
    <row r="207" ht="15.75" customHeight="1">
      <c r="A207" s="372"/>
      <c r="B207" s="372"/>
      <c r="C207" s="372"/>
      <c r="D207" s="372"/>
      <c r="E207" s="372"/>
      <c r="F207" s="372"/>
      <c r="G207" s="372"/>
      <c r="H207" s="372"/>
      <c r="I207" s="372"/>
      <c r="J207" s="372"/>
      <c r="K207" s="372"/>
      <c r="L207" s="372"/>
      <c r="M207" s="372"/>
      <c r="N207" s="372"/>
      <c r="O207" s="372"/>
      <c r="P207" s="372"/>
      <c r="Q207" s="372"/>
      <c r="R207" s="372"/>
      <c r="S207" s="372"/>
      <c r="T207" s="372"/>
      <c r="U207" s="372"/>
      <c r="V207" s="372"/>
      <c r="W207" s="372"/>
      <c r="X207" s="372"/>
      <c r="Y207" s="372"/>
      <c r="Z207" s="372"/>
    </row>
    <row r="208" ht="15.75" customHeight="1">
      <c r="A208" s="372"/>
      <c r="B208" s="372"/>
      <c r="C208" s="372"/>
      <c r="D208" s="372"/>
      <c r="E208" s="372"/>
      <c r="F208" s="372"/>
      <c r="G208" s="372"/>
      <c r="H208" s="372"/>
      <c r="I208" s="372"/>
      <c r="J208" s="372"/>
      <c r="K208" s="372"/>
      <c r="L208" s="372"/>
      <c r="M208" s="372"/>
      <c r="N208" s="372"/>
      <c r="O208" s="372"/>
      <c r="P208" s="372"/>
      <c r="Q208" s="372"/>
      <c r="R208" s="372"/>
      <c r="S208" s="372"/>
      <c r="T208" s="372"/>
      <c r="U208" s="372"/>
      <c r="V208" s="372"/>
      <c r="W208" s="372"/>
      <c r="X208" s="372"/>
      <c r="Y208" s="372"/>
      <c r="Z208" s="372"/>
    </row>
    <row r="209" ht="15.75" customHeight="1">
      <c r="A209" s="372"/>
      <c r="B209" s="372"/>
      <c r="C209" s="372"/>
      <c r="D209" s="372"/>
      <c r="E209" s="372"/>
      <c r="F209" s="372"/>
      <c r="G209" s="372"/>
      <c r="H209" s="372"/>
      <c r="I209" s="372"/>
      <c r="J209" s="372"/>
      <c r="K209" s="372"/>
      <c r="L209" s="372"/>
      <c r="M209" s="372"/>
      <c r="N209" s="372"/>
      <c r="O209" s="372"/>
      <c r="P209" s="372"/>
      <c r="Q209" s="372"/>
      <c r="R209" s="372"/>
      <c r="S209" s="372"/>
      <c r="T209" s="372"/>
      <c r="U209" s="372"/>
      <c r="V209" s="372"/>
      <c r="W209" s="372"/>
      <c r="X209" s="372"/>
      <c r="Y209" s="372"/>
      <c r="Z209" s="372"/>
    </row>
    <row r="210" ht="15.75" customHeight="1">
      <c r="A210" s="372"/>
      <c r="B210" s="372"/>
      <c r="C210" s="372"/>
      <c r="D210" s="372"/>
      <c r="E210" s="372"/>
      <c r="F210" s="372"/>
      <c r="G210" s="372"/>
      <c r="H210" s="372"/>
      <c r="I210" s="372"/>
      <c r="J210" s="372"/>
      <c r="K210" s="372"/>
      <c r="L210" s="372"/>
      <c r="M210" s="372"/>
      <c r="N210" s="372"/>
      <c r="O210" s="372"/>
      <c r="P210" s="372"/>
      <c r="Q210" s="372"/>
      <c r="R210" s="372"/>
      <c r="S210" s="372"/>
      <c r="T210" s="372"/>
      <c r="U210" s="372"/>
      <c r="V210" s="372"/>
      <c r="W210" s="372"/>
      <c r="X210" s="372"/>
      <c r="Y210" s="372"/>
      <c r="Z210" s="372"/>
    </row>
    <row r="211" ht="15.75" customHeight="1">
      <c r="A211" s="372"/>
      <c r="B211" s="372"/>
      <c r="C211" s="372"/>
      <c r="D211" s="372"/>
      <c r="E211" s="372"/>
      <c r="F211" s="372"/>
      <c r="G211" s="372"/>
      <c r="H211" s="372"/>
      <c r="I211" s="372"/>
      <c r="J211" s="372"/>
      <c r="K211" s="372"/>
      <c r="L211" s="372"/>
      <c r="M211" s="372"/>
      <c r="N211" s="372"/>
      <c r="O211" s="372"/>
      <c r="P211" s="372"/>
      <c r="Q211" s="372"/>
      <c r="R211" s="372"/>
      <c r="S211" s="372"/>
      <c r="T211" s="372"/>
      <c r="U211" s="372"/>
      <c r="V211" s="372"/>
      <c r="W211" s="372"/>
      <c r="X211" s="372"/>
      <c r="Y211" s="372"/>
      <c r="Z211" s="372"/>
    </row>
    <row r="212" ht="15.75" customHeight="1">
      <c r="A212" s="372"/>
      <c r="B212" s="372"/>
      <c r="C212" s="372"/>
      <c r="D212" s="372"/>
      <c r="E212" s="372"/>
      <c r="F212" s="372"/>
      <c r="G212" s="372"/>
      <c r="H212" s="372"/>
      <c r="I212" s="372"/>
      <c r="J212" s="372"/>
      <c r="K212" s="372"/>
      <c r="L212" s="372"/>
      <c r="M212" s="372"/>
      <c r="N212" s="372"/>
      <c r="O212" s="372"/>
      <c r="P212" s="372"/>
      <c r="Q212" s="372"/>
      <c r="R212" s="372"/>
      <c r="S212" s="372"/>
      <c r="T212" s="372"/>
      <c r="U212" s="372"/>
      <c r="V212" s="372"/>
      <c r="W212" s="372"/>
      <c r="X212" s="372"/>
      <c r="Y212" s="372"/>
      <c r="Z212" s="372"/>
    </row>
    <row r="213" ht="15.75" customHeight="1">
      <c r="A213" s="372"/>
      <c r="B213" s="372"/>
      <c r="C213" s="372"/>
      <c r="D213" s="372"/>
      <c r="E213" s="372"/>
      <c r="F213" s="372"/>
      <c r="G213" s="372"/>
      <c r="H213" s="372"/>
      <c r="I213" s="372"/>
      <c r="J213" s="372"/>
      <c r="K213" s="372"/>
      <c r="L213" s="372"/>
      <c r="M213" s="372"/>
      <c r="N213" s="372"/>
      <c r="O213" s="372"/>
      <c r="P213" s="372"/>
      <c r="Q213" s="372"/>
      <c r="R213" s="372"/>
      <c r="S213" s="372"/>
      <c r="T213" s="372"/>
      <c r="U213" s="372"/>
      <c r="V213" s="372"/>
      <c r="W213" s="372"/>
      <c r="X213" s="372"/>
      <c r="Y213" s="372"/>
      <c r="Z213" s="372"/>
    </row>
    <row r="214" ht="15.75" customHeight="1">
      <c r="A214" s="372"/>
      <c r="B214" s="372"/>
      <c r="C214" s="372"/>
      <c r="D214" s="372"/>
      <c r="E214" s="372"/>
      <c r="F214" s="372"/>
      <c r="G214" s="372"/>
      <c r="H214" s="372"/>
      <c r="I214" s="372"/>
      <c r="J214" s="372"/>
      <c r="K214" s="372"/>
      <c r="L214" s="372"/>
      <c r="M214" s="372"/>
      <c r="N214" s="372"/>
      <c r="O214" s="372"/>
      <c r="P214" s="372"/>
      <c r="Q214" s="372"/>
      <c r="R214" s="372"/>
      <c r="S214" s="372"/>
      <c r="T214" s="372"/>
      <c r="U214" s="372"/>
      <c r="V214" s="372"/>
      <c r="W214" s="372"/>
      <c r="X214" s="372"/>
      <c r="Y214" s="372"/>
      <c r="Z214" s="372"/>
    </row>
    <row r="215" ht="15.75" customHeight="1">
      <c r="A215" s="372"/>
      <c r="B215" s="372"/>
      <c r="C215" s="372"/>
      <c r="D215" s="372"/>
      <c r="E215" s="372"/>
      <c r="F215" s="372"/>
      <c r="G215" s="372"/>
      <c r="H215" s="372"/>
      <c r="I215" s="372"/>
      <c r="J215" s="372"/>
      <c r="K215" s="372"/>
      <c r="L215" s="372"/>
      <c r="M215" s="372"/>
      <c r="N215" s="372"/>
      <c r="O215" s="372"/>
      <c r="P215" s="372"/>
      <c r="Q215" s="372"/>
      <c r="R215" s="372"/>
      <c r="S215" s="372"/>
      <c r="T215" s="372"/>
      <c r="U215" s="372"/>
      <c r="V215" s="372"/>
      <c r="W215" s="372"/>
      <c r="X215" s="372"/>
      <c r="Y215" s="372"/>
      <c r="Z215" s="372"/>
    </row>
    <row r="216" ht="15.75" customHeight="1">
      <c r="A216" s="372"/>
      <c r="B216" s="372"/>
      <c r="C216" s="372"/>
      <c r="D216" s="372"/>
      <c r="E216" s="372"/>
      <c r="F216" s="372"/>
      <c r="G216" s="372"/>
      <c r="H216" s="372"/>
      <c r="I216" s="372"/>
      <c r="J216" s="372"/>
      <c r="K216" s="372"/>
      <c r="L216" s="372"/>
      <c r="M216" s="372"/>
      <c r="N216" s="372"/>
      <c r="O216" s="372"/>
      <c r="P216" s="372"/>
      <c r="Q216" s="372"/>
      <c r="R216" s="372"/>
      <c r="S216" s="372"/>
      <c r="T216" s="372"/>
      <c r="U216" s="372"/>
      <c r="V216" s="372"/>
      <c r="W216" s="372"/>
      <c r="X216" s="372"/>
      <c r="Y216" s="372"/>
      <c r="Z216" s="372"/>
    </row>
    <row r="217" ht="15.75" customHeight="1">
      <c r="A217" s="372"/>
      <c r="B217" s="372"/>
      <c r="C217" s="372"/>
      <c r="D217" s="372"/>
      <c r="E217" s="372"/>
      <c r="F217" s="372"/>
      <c r="G217" s="372"/>
      <c r="H217" s="372"/>
      <c r="I217" s="372"/>
      <c r="J217" s="372"/>
      <c r="K217" s="372"/>
      <c r="L217" s="372"/>
      <c r="M217" s="372"/>
      <c r="N217" s="372"/>
      <c r="O217" s="372"/>
      <c r="P217" s="372"/>
      <c r="Q217" s="372"/>
      <c r="R217" s="372"/>
      <c r="S217" s="372"/>
      <c r="T217" s="372"/>
      <c r="U217" s="372"/>
      <c r="V217" s="372"/>
      <c r="W217" s="372"/>
      <c r="X217" s="372"/>
      <c r="Y217" s="372"/>
      <c r="Z217" s="372"/>
    </row>
    <row r="218" ht="15.75" customHeight="1">
      <c r="A218" s="372"/>
      <c r="B218" s="372"/>
      <c r="C218" s="372"/>
      <c r="D218" s="372"/>
      <c r="E218" s="372"/>
      <c r="F218" s="372"/>
      <c r="G218" s="372"/>
      <c r="H218" s="372"/>
      <c r="I218" s="372"/>
      <c r="J218" s="372"/>
      <c r="K218" s="372"/>
      <c r="L218" s="372"/>
      <c r="M218" s="372"/>
      <c r="N218" s="372"/>
      <c r="O218" s="372"/>
      <c r="P218" s="372"/>
      <c r="Q218" s="372"/>
      <c r="R218" s="372"/>
      <c r="S218" s="372"/>
      <c r="T218" s="372"/>
      <c r="U218" s="372"/>
      <c r="V218" s="372"/>
      <c r="W218" s="372"/>
      <c r="X218" s="372"/>
      <c r="Y218" s="372"/>
      <c r="Z218" s="372"/>
    </row>
    <row r="219" ht="15.75" customHeight="1">
      <c r="A219" s="372"/>
      <c r="B219" s="372"/>
      <c r="C219" s="372"/>
      <c r="D219" s="372"/>
      <c r="E219" s="372"/>
      <c r="F219" s="372"/>
      <c r="G219" s="372"/>
      <c r="H219" s="372"/>
      <c r="I219" s="372"/>
      <c r="J219" s="372"/>
      <c r="K219" s="372"/>
      <c r="L219" s="372"/>
      <c r="M219" s="372"/>
      <c r="N219" s="372"/>
      <c r="O219" s="372"/>
      <c r="P219" s="372"/>
      <c r="Q219" s="372"/>
      <c r="R219" s="372"/>
      <c r="S219" s="372"/>
      <c r="T219" s="372"/>
      <c r="U219" s="372"/>
      <c r="V219" s="372"/>
      <c r="W219" s="372"/>
      <c r="X219" s="372"/>
      <c r="Y219" s="372"/>
      <c r="Z219" s="372"/>
    </row>
    <row r="220" ht="15.75" customHeight="1">
      <c r="A220" s="372"/>
      <c r="B220" s="372"/>
      <c r="C220" s="372"/>
      <c r="D220" s="372"/>
      <c r="E220" s="372"/>
      <c r="F220" s="372"/>
      <c r="G220" s="372"/>
      <c r="H220" s="372"/>
      <c r="I220" s="372"/>
      <c r="J220" s="372"/>
      <c r="K220" s="372"/>
      <c r="L220" s="372"/>
      <c r="M220" s="372"/>
      <c r="N220" s="372"/>
      <c r="O220" s="372"/>
      <c r="P220" s="372"/>
      <c r="Q220" s="372"/>
      <c r="R220" s="372"/>
      <c r="S220" s="372"/>
      <c r="T220" s="372"/>
      <c r="U220" s="372"/>
      <c r="V220" s="372"/>
      <c r="W220" s="372"/>
      <c r="X220" s="372"/>
      <c r="Y220" s="372"/>
      <c r="Z220" s="37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D1"/>
    <mergeCell ref="A6:D6"/>
    <mergeCell ref="A14:A15"/>
    <mergeCell ref="B14:B15"/>
    <mergeCell ref="C14:C15"/>
    <mergeCell ref="A17:A18"/>
    <mergeCell ref="B17:B18"/>
    <mergeCell ref="C17:C18"/>
  </mergeCells>
  <hyperlinks>
    <hyperlink r:id="rId1" ref="D13"/>
  </hyperlinks>
  <printOptions horizontalCentered="1"/>
  <pageMargins bottom="2.0" footer="0.0" header="0.0" left="0.708661417322835" right="0.708661417322835" top="0.748031496062992"/>
  <pageSetup paperSize="5" scale="90" orientation="portrait"/>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8"/>
    <col customWidth="1" min="2" max="2" width="53.88"/>
    <col customWidth="1" min="3" max="3" width="9.25"/>
    <col customWidth="1" min="4" max="4" width="11.75"/>
    <col customWidth="1" min="5" max="5" width="23.63"/>
    <col customWidth="1" min="6" max="6" width="27.13"/>
    <col customWidth="1" min="7" max="25" width="8.38"/>
  </cols>
  <sheetData>
    <row r="1" ht="15.75" customHeight="1">
      <c r="A1" s="130"/>
      <c r="B1" s="2"/>
      <c r="C1" s="2"/>
      <c r="D1" s="2"/>
      <c r="E1" s="132"/>
      <c r="F1" s="6"/>
      <c r="G1" s="6"/>
      <c r="H1" s="6"/>
      <c r="I1" s="6"/>
      <c r="J1" s="6"/>
      <c r="K1" s="6"/>
      <c r="L1" s="6"/>
      <c r="M1" s="6"/>
      <c r="N1" s="6"/>
      <c r="O1" s="6"/>
      <c r="P1" s="6"/>
      <c r="Q1" s="6"/>
      <c r="R1" s="6"/>
      <c r="S1" s="6"/>
      <c r="T1" s="6"/>
      <c r="U1" s="6"/>
      <c r="V1" s="6"/>
      <c r="W1" s="6"/>
      <c r="X1" s="6"/>
      <c r="Y1" s="6"/>
      <c r="Z1" s="6"/>
    </row>
    <row r="2" ht="15.75" customHeight="1">
      <c r="A2" s="130"/>
      <c r="B2" s="2"/>
      <c r="C2" s="2"/>
      <c r="D2" s="2"/>
      <c r="E2" s="132"/>
      <c r="F2" s="6"/>
      <c r="G2" s="6"/>
      <c r="H2" s="6"/>
      <c r="I2" s="6"/>
      <c r="J2" s="6"/>
      <c r="K2" s="6"/>
      <c r="L2" s="6"/>
      <c r="M2" s="6"/>
      <c r="N2" s="6"/>
      <c r="O2" s="6"/>
      <c r="P2" s="6"/>
      <c r="Q2" s="6"/>
      <c r="R2" s="6"/>
      <c r="S2" s="6"/>
      <c r="T2" s="6"/>
      <c r="U2" s="6"/>
      <c r="V2" s="6"/>
      <c r="W2" s="6"/>
      <c r="X2" s="6"/>
      <c r="Y2" s="6"/>
      <c r="Z2" s="6"/>
    </row>
    <row r="3" ht="15.75" customHeight="1">
      <c r="A3" s="130"/>
      <c r="B3" s="2"/>
      <c r="C3" s="2"/>
      <c r="D3" s="2"/>
      <c r="E3" s="132"/>
      <c r="F3" s="6"/>
      <c r="G3" s="6"/>
      <c r="H3" s="6"/>
      <c r="I3" s="6"/>
      <c r="J3" s="6"/>
      <c r="K3" s="6"/>
      <c r="L3" s="6"/>
      <c r="M3" s="6"/>
      <c r="N3" s="6"/>
      <c r="O3" s="6"/>
      <c r="P3" s="6"/>
      <c r="Q3" s="6"/>
      <c r="R3" s="6"/>
      <c r="S3" s="6"/>
      <c r="T3" s="6"/>
      <c r="U3" s="6"/>
      <c r="V3" s="6"/>
      <c r="W3" s="6"/>
      <c r="X3" s="6"/>
      <c r="Y3" s="6"/>
      <c r="Z3" s="6"/>
    </row>
    <row r="4" ht="15.75" customHeight="1">
      <c r="A4" s="130"/>
      <c r="B4" s="2"/>
      <c r="C4" s="2"/>
      <c r="D4" s="2"/>
      <c r="E4" s="132"/>
      <c r="F4" s="6"/>
      <c r="G4" s="6"/>
      <c r="H4" s="6"/>
      <c r="I4" s="6"/>
      <c r="J4" s="6"/>
      <c r="K4" s="6"/>
      <c r="L4" s="6"/>
      <c r="M4" s="6"/>
      <c r="N4" s="6"/>
      <c r="O4" s="6"/>
      <c r="P4" s="6"/>
      <c r="Q4" s="6"/>
      <c r="R4" s="6"/>
      <c r="S4" s="6"/>
      <c r="T4" s="6"/>
      <c r="U4" s="6"/>
      <c r="V4" s="6"/>
      <c r="W4" s="6"/>
      <c r="X4" s="6"/>
      <c r="Y4" s="6"/>
      <c r="Z4" s="6"/>
    </row>
    <row r="5" ht="15.75" customHeight="1">
      <c r="A5" s="130"/>
      <c r="B5" s="2"/>
      <c r="C5" s="2"/>
      <c r="D5" s="2"/>
      <c r="E5" s="132"/>
      <c r="F5" s="6"/>
      <c r="G5" s="6"/>
      <c r="H5" s="6"/>
      <c r="I5" s="6"/>
      <c r="J5" s="6"/>
      <c r="K5" s="6"/>
      <c r="L5" s="6"/>
      <c r="M5" s="6"/>
      <c r="N5" s="6"/>
      <c r="O5" s="6"/>
      <c r="P5" s="6"/>
      <c r="Q5" s="6"/>
      <c r="R5" s="6"/>
      <c r="S5" s="6"/>
      <c r="T5" s="6"/>
      <c r="U5" s="6"/>
      <c r="V5" s="6"/>
      <c r="W5" s="6"/>
      <c r="X5" s="6"/>
      <c r="Y5" s="6"/>
      <c r="Z5" s="6"/>
    </row>
    <row r="6" ht="15.75" customHeight="1">
      <c r="A6" s="130"/>
      <c r="B6" s="2"/>
      <c r="C6" s="2"/>
      <c r="D6" s="2"/>
      <c r="E6" s="132"/>
      <c r="F6" s="6"/>
      <c r="G6" s="6"/>
      <c r="H6" s="6"/>
      <c r="I6" s="6"/>
      <c r="J6" s="6"/>
      <c r="K6" s="6"/>
      <c r="L6" s="6"/>
      <c r="M6" s="6"/>
      <c r="N6" s="6"/>
      <c r="O6" s="6"/>
      <c r="P6" s="6"/>
      <c r="Q6" s="6"/>
      <c r="R6" s="6"/>
      <c r="S6" s="6"/>
      <c r="T6" s="6"/>
      <c r="U6" s="6"/>
      <c r="V6" s="6"/>
      <c r="W6" s="6"/>
      <c r="X6" s="6"/>
      <c r="Y6" s="6"/>
      <c r="Z6" s="6"/>
    </row>
    <row r="7" ht="17.25" customHeight="1">
      <c r="A7" s="130"/>
      <c r="B7" s="7"/>
      <c r="C7" s="7"/>
      <c r="D7" s="7"/>
      <c r="E7" s="380"/>
      <c r="F7" s="6"/>
      <c r="G7" s="6"/>
      <c r="H7" s="6"/>
      <c r="I7" s="6"/>
      <c r="J7" s="6"/>
      <c r="K7" s="6"/>
      <c r="L7" s="6"/>
      <c r="M7" s="6"/>
      <c r="N7" s="6"/>
      <c r="O7" s="6"/>
      <c r="P7" s="6"/>
      <c r="Q7" s="6"/>
      <c r="R7" s="6"/>
      <c r="S7" s="6"/>
      <c r="T7" s="6"/>
      <c r="U7" s="6"/>
      <c r="V7" s="6"/>
      <c r="W7" s="6"/>
      <c r="X7" s="6"/>
      <c r="Y7" s="6"/>
      <c r="Z7" s="6"/>
    </row>
    <row r="8" ht="16.5" customHeight="1">
      <c r="A8" s="338"/>
      <c r="B8" s="7"/>
      <c r="C8" s="7"/>
      <c r="D8" s="7"/>
      <c r="E8" s="380"/>
      <c r="F8" s="6"/>
      <c r="G8" s="6"/>
      <c r="H8" s="6"/>
      <c r="I8" s="6"/>
      <c r="J8" s="6"/>
      <c r="K8" s="6"/>
      <c r="L8" s="6"/>
      <c r="M8" s="6"/>
      <c r="N8" s="6"/>
      <c r="O8" s="6"/>
      <c r="P8" s="6"/>
      <c r="Q8" s="6"/>
      <c r="R8" s="6"/>
      <c r="S8" s="6"/>
      <c r="T8" s="6"/>
      <c r="U8" s="6"/>
      <c r="V8" s="6"/>
      <c r="W8" s="6"/>
      <c r="X8" s="6"/>
      <c r="Y8" s="6"/>
      <c r="Z8" s="6"/>
    </row>
    <row r="9" ht="26.25" customHeight="1">
      <c r="A9" s="381" t="s">
        <v>0</v>
      </c>
      <c r="B9" s="382" t="s">
        <v>1367</v>
      </c>
      <c r="C9" s="383" t="s">
        <v>1368</v>
      </c>
      <c r="D9" s="297"/>
      <c r="E9" s="16"/>
      <c r="F9" s="382" t="s">
        <v>6</v>
      </c>
      <c r="G9" s="92"/>
      <c r="H9" s="92"/>
      <c r="I9" s="92"/>
      <c r="J9" s="92"/>
      <c r="K9" s="92"/>
      <c r="L9" s="92"/>
      <c r="M9" s="92"/>
      <c r="N9" s="92"/>
      <c r="O9" s="92"/>
      <c r="P9" s="92"/>
      <c r="Q9" s="92"/>
      <c r="R9" s="92"/>
      <c r="S9" s="92"/>
      <c r="T9" s="92"/>
      <c r="U9" s="92"/>
      <c r="V9" s="92"/>
      <c r="W9" s="92"/>
      <c r="X9" s="92"/>
      <c r="Y9" s="92"/>
      <c r="Z9" s="92"/>
    </row>
    <row r="10" ht="26.25" customHeight="1">
      <c r="A10" s="32"/>
      <c r="B10" s="32"/>
      <c r="C10" s="384" t="s">
        <v>1369</v>
      </c>
      <c r="D10" s="384" t="s">
        <v>1370</v>
      </c>
      <c r="E10" s="384" t="s">
        <v>1371</v>
      </c>
      <c r="F10" s="32"/>
      <c r="G10" s="92"/>
      <c r="H10" s="92"/>
      <c r="I10" s="92"/>
      <c r="J10" s="92"/>
      <c r="K10" s="92"/>
      <c r="L10" s="92"/>
      <c r="M10" s="92"/>
      <c r="N10" s="92"/>
      <c r="O10" s="92"/>
      <c r="P10" s="92"/>
      <c r="Q10" s="92"/>
      <c r="R10" s="92"/>
      <c r="S10" s="92"/>
      <c r="T10" s="92"/>
      <c r="U10" s="92"/>
      <c r="V10" s="92"/>
      <c r="W10" s="92"/>
      <c r="X10" s="92"/>
      <c r="Y10" s="92"/>
      <c r="Z10" s="92"/>
    </row>
    <row r="11" ht="27.0" customHeight="1">
      <c r="A11" s="385" t="s">
        <v>1372</v>
      </c>
      <c r="B11" s="386" t="s">
        <v>1373</v>
      </c>
      <c r="C11" s="386"/>
      <c r="D11" s="386"/>
      <c r="E11" s="387"/>
      <c r="F11" s="384"/>
      <c r="G11" s="92"/>
      <c r="H11" s="92"/>
      <c r="I11" s="92"/>
      <c r="J11" s="92"/>
      <c r="K11" s="92"/>
      <c r="L11" s="92"/>
      <c r="M11" s="92"/>
      <c r="N11" s="92"/>
      <c r="O11" s="92"/>
      <c r="P11" s="92"/>
      <c r="Q11" s="92"/>
      <c r="R11" s="92"/>
      <c r="S11" s="92"/>
      <c r="T11" s="92"/>
      <c r="U11" s="92"/>
      <c r="V11" s="92"/>
      <c r="W11" s="92"/>
      <c r="X11" s="92"/>
      <c r="Y11" s="92"/>
      <c r="Z11" s="92"/>
    </row>
    <row r="12" ht="19.5" customHeight="1">
      <c r="A12" s="388">
        <v>1.0</v>
      </c>
      <c r="B12" s="389" t="s">
        <v>1374</v>
      </c>
      <c r="C12" s="390"/>
      <c r="D12" s="390"/>
      <c r="E12" s="391" t="s">
        <v>1375</v>
      </c>
      <c r="F12" s="392" t="s">
        <v>1376</v>
      </c>
      <c r="G12" s="92"/>
      <c r="H12" s="92"/>
      <c r="I12" s="92"/>
      <c r="J12" s="92"/>
      <c r="K12" s="92"/>
      <c r="L12" s="92"/>
      <c r="M12" s="92"/>
      <c r="N12" s="92"/>
      <c r="O12" s="92"/>
      <c r="P12" s="92"/>
      <c r="Q12" s="92"/>
      <c r="R12" s="92"/>
      <c r="S12" s="92"/>
      <c r="T12" s="92"/>
      <c r="U12" s="92"/>
      <c r="V12" s="92"/>
      <c r="W12" s="92"/>
      <c r="X12" s="92"/>
      <c r="Y12" s="92"/>
      <c r="Z12" s="92"/>
    </row>
    <row r="13" ht="41.25" customHeight="1">
      <c r="A13" s="32"/>
      <c r="B13" s="393" t="s">
        <v>1377</v>
      </c>
      <c r="C13" s="394"/>
      <c r="D13" s="395"/>
      <c r="E13" s="32"/>
      <c r="F13" s="32"/>
      <c r="G13" s="92"/>
      <c r="H13" s="92"/>
      <c r="I13" s="92"/>
      <c r="J13" s="92"/>
      <c r="K13" s="92"/>
      <c r="L13" s="92"/>
      <c r="M13" s="92"/>
      <c r="N13" s="92"/>
      <c r="O13" s="92"/>
      <c r="P13" s="92"/>
      <c r="Q13" s="92"/>
      <c r="R13" s="92"/>
      <c r="S13" s="92"/>
      <c r="T13" s="92"/>
      <c r="U13" s="92"/>
      <c r="V13" s="92"/>
      <c r="W13" s="92"/>
      <c r="X13" s="92"/>
      <c r="Y13" s="92"/>
      <c r="Z13" s="92"/>
    </row>
    <row r="14" ht="18.0" customHeight="1">
      <c r="A14" s="388">
        <v>2.0</v>
      </c>
      <c r="B14" s="389" t="s">
        <v>1378</v>
      </c>
      <c r="C14" s="390"/>
      <c r="D14" s="390"/>
      <c r="E14" s="396" t="s">
        <v>1379</v>
      </c>
      <c r="F14" s="397" t="s">
        <v>1380</v>
      </c>
      <c r="G14" s="92"/>
      <c r="H14" s="92"/>
      <c r="I14" s="92"/>
      <c r="J14" s="92"/>
      <c r="K14" s="92"/>
      <c r="L14" s="92"/>
      <c r="M14" s="92"/>
      <c r="N14" s="92"/>
      <c r="O14" s="92"/>
      <c r="P14" s="92"/>
      <c r="Q14" s="92"/>
      <c r="R14" s="92"/>
      <c r="S14" s="92"/>
      <c r="T14" s="92"/>
      <c r="U14" s="92"/>
      <c r="V14" s="92"/>
      <c r="W14" s="92"/>
      <c r="X14" s="92"/>
      <c r="Y14" s="92"/>
      <c r="Z14" s="92"/>
    </row>
    <row r="15" ht="41.25" customHeight="1">
      <c r="A15" s="32"/>
      <c r="B15" s="393" t="s">
        <v>1381</v>
      </c>
      <c r="C15" s="398"/>
      <c r="D15" s="398"/>
      <c r="E15" s="32"/>
      <c r="F15" s="32"/>
      <c r="G15" s="92"/>
      <c r="H15" s="92"/>
      <c r="I15" s="92"/>
      <c r="J15" s="92"/>
      <c r="K15" s="92"/>
      <c r="L15" s="92"/>
      <c r="M15" s="92"/>
      <c r="N15" s="92"/>
      <c r="O15" s="92"/>
      <c r="P15" s="92"/>
      <c r="Q15" s="92"/>
      <c r="R15" s="92"/>
      <c r="S15" s="92"/>
      <c r="T15" s="92"/>
      <c r="U15" s="92"/>
      <c r="V15" s="92"/>
      <c r="W15" s="92"/>
      <c r="X15" s="92"/>
      <c r="Y15" s="92"/>
      <c r="Z15" s="92"/>
    </row>
    <row r="16" ht="17.25" customHeight="1">
      <c r="A16" s="388">
        <v>3.0</v>
      </c>
      <c r="B16" s="389" t="s">
        <v>1382</v>
      </c>
      <c r="C16" s="390"/>
      <c r="D16" s="390"/>
      <c r="E16" s="399" t="s">
        <v>1383</v>
      </c>
      <c r="F16" s="400" t="s">
        <v>1384</v>
      </c>
      <c r="G16" s="92"/>
      <c r="H16" s="92"/>
      <c r="I16" s="92"/>
      <c r="J16" s="92"/>
      <c r="K16" s="92"/>
      <c r="L16" s="92"/>
      <c r="M16" s="92"/>
      <c r="N16" s="92"/>
      <c r="O16" s="92"/>
      <c r="P16" s="92"/>
      <c r="Q16" s="92"/>
      <c r="R16" s="92"/>
      <c r="S16" s="92"/>
      <c r="T16" s="92"/>
      <c r="U16" s="92"/>
      <c r="V16" s="92"/>
      <c r="W16" s="92"/>
      <c r="X16" s="92"/>
      <c r="Y16" s="92"/>
      <c r="Z16" s="92"/>
    </row>
    <row r="17" ht="41.25" customHeight="1">
      <c r="A17" s="32"/>
      <c r="B17" s="401" t="s">
        <v>1385</v>
      </c>
      <c r="C17" s="402"/>
      <c r="D17" s="402"/>
      <c r="E17" s="32"/>
      <c r="F17" s="32"/>
      <c r="G17" s="92"/>
      <c r="H17" s="92"/>
      <c r="I17" s="92"/>
      <c r="J17" s="92"/>
      <c r="K17" s="92"/>
      <c r="L17" s="92"/>
      <c r="M17" s="92"/>
      <c r="N17" s="92"/>
      <c r="O17" s="92"/>
      <c r="P17" s="92"/>
      <c r="Q17" s="92"/>
      <c r="R17" s="92"/>
      <c r="S17" s="92"/>
      <c r="T17" s="92"/>
      <c r="U17" s="92"/>
      <c r="V17" s="92"/>
      <c r="W17" s="92"/>
      <c r="X17" s="92"/>
      <c r="Y17" s="92"/>
      <c r="Z17" s="92"/>
    </row>
    <row r="18" ht="18.75" customHeight="1">
      <c r="A18" s="388">
        <v>4.0</v>
      </c>
      <c r="B18" s="389" t="s">
        <v>1386</v>
      </c>
      <c r="C18" s="390"/>
      <c r="D18" s="390"/>
      <c r="E18" s="399" t="s">
        <v>1387</v>
      </c>
      <c r="F18" s="403" t="s">
        <v>1388</v>
      </c>
      <c r="G18" s="92"/>
      <c r="H18" s="92"/>
      <c r="I18" s="92"/>
      <c r="J18" s="92"/>
      <c r="K18" s="92"/>
      <c r="L18" s="92"/>
      <c r="M18" s="92"/>
      <c r="N18" s="92"/>
      <c r="O18" s="92"/>
      <c r="P18" s="92"/>
      <c r="Q18" s="92"/>
      <c r="R18" s="92"/>
      <c r="S18" s="92"/>
      <c r="T18" s="92"/>
      <c r="U18" s="92"/>
      <c r="V18" s="92"/>
      <c r="W18" s="92"/>
      <c r="X18" s="92"/>
      <c r="Y18" s="92"/>
      <c r="Z18" s="92"/>
    </row>
    <row r="19" ht="41.25" customHeight="1">
      <c r="A19" s="32"/>
      <c r="B19" s="393" t="s">
        <v>1389</v>
      </c>
      <c r="C19" s="395"/>
      <c r="D19" s="395"/>
      <c r="E19" s="32"/>
      <c r="F19" s="32"/>
      <c r="G19" s="92"/>
      <c r="H19" s="92"/>
      <c r="I19" s="92"/>
      <c r="J19" s="92"/>
      <c r="K19" s="92"/>
      <c r="L19" s="92"/>
      <c r="M19" s="92"/>
      <c r="N19" s="92"/>
      <c r="O19" s="92"/>
      <c r="P19" s="92"/>
      <c r="Q19" s="92"/>
      <c r="R19" s="92"/>
      <c r="S19" s="92"/>
      <c r="T19" s="92"/>
      <c r="U19" s="92"/>
      <c r="V19" s="92"/>
      <c r="W19" s="92"/>
      <c r="X19" s="92"/>
      <c r="Y19" s="92"/>
      <c r="Z19" s="92"/>
    </row>
    <row r="20" ht="18.75" customHeight="1">
      <c r="A20" s="388">
        <v>5.0</v>
      </c>
      <c r="B20" s="389" t="s">
        <v>1390</v>
      </c>
      <c r="C20" s="390"/>
      <c r="D20" s="390"/>
      <c r="E20" s="399" t="s">
        <v>1391</v>
      </c>
      <c r="F20" s="403" t="s">
        <v>1392</v>
      </c>
      <c r="G20" s="92"/>
      <c r="H20" s="92"/>
      <c r="I20" s="92"/>
      <c r="J20" s="92"/>
      <c r="K20" s="92"/>
      <c r="L20" s="92"/>
      <c r="M20" s="92"/>
      <c r="N20" s="92"/>
      <c r="O20" s="92"/>
      <c r="P20" s="92"/>
      <c r="Q20" s="92"/>
      <c r="R20" s="92"/>
      <c r="S20" s="92"/>
      <c r="T20" s="92"/>
      <c r="U20" s="92"/>
      <c r="V20" s="92"/>
      <c r="W20" s="92"/>
      <c r="X20" s="92"/>
      <c r="Y20" s="92"/>
      <c r="Z20" s="92"/>
    </row>
    <row r="21" ht="41.25" customHeight="1">
      <c r="A21" s="32"/>
      <c r="B21" s="393" t="s">
        <v>1393</v>
      </c>
      <c r="C21" s="398"/>
      <c r="D21" s="398"/>
      <c r="E21" s="32"/>
      <c r="F21" s="32"/>
      <c r="G21" s="92"/>
      <c r="H21" s="92"/>
      <c r="I21" s="92"/>
      <c r="J21" s="92"/>
      <c r="K21" s="92"/>
      <c r="L21" s="92"/>
      <c r="M21" s="92"/>
      <c r="N21" s="92"/>
      <c r="O21" s="92"/>
      <c r="P21" s="92"/>
      <c r="Q21" s="92"/>
      <c r="R21" s="92"/>
      <c r="S21" s="92"/>
      <c r="T21" s="92"/>
      <c r="U21" s="92"/>
      <c r="V21" s="92"/>
      <c r="W21" s="92"/>
      <c r="X21" s="92"/>
      <c r="Y21" s="92"/>
      <c r="Z21" s="92"/>
    </row>
    <row r="22" ht="18.75" customHeight="1">
      <c r="A22" s="388">
        <v>6.0</v>
      </c>
      <c r="B22" s="389" t="s">
        <v>1394</v>
      </c>
      <c r="C22" s="390"/>
      <c r="D22" s="390"/>
      <c r="E22" s="404" t="s">
        <v>1395</v>
      </c>
      <c r="F22" s="405" t="s">
        <v>1396</v>
      </c>
      <c r="G22" s="92"/>
      <c r="H22" s="92"/>
      <c r="I22" s="92"/>
      <c r="J22" s="92"/>
      <c r="K22" s="92"/>
      <c r="L22" s="92"/>
      <c r="M22" s="92"/>
      <c r="N22" s="92"/>
      <c r="O22" s="92"/>
      <c r="P22" s="92"/>
      <c r="Q22" s="92"/>
      <c r="R22" s="92"/>
      <c r="S22" s="92"/>
      <c r="T22" s="92"/>
      <c r="U22" s="92"/>
      <c r="V22" s="92"/>
      <c r="W22" s="92"/>
      <c r="X22" s="92"/>
      <c r="Y22" s="92"/>
      <c r="Z22" s="92"/>
    </row>
    <row r="23" ht="41.25" customHeight="1">
      <c r="A23" s="32"/>
      <c r="B23" s="393" t="s">
        <v>1397</v>
      </c>
      <c r="C23" s="398"/>
      <c r="D23" s="398"/>
      <c r="E23" s="32"/>
      <c r="F23" s="32"/>
      <c r="G23" s="92"/>
      <c r="H23" s="92"/>
      <c r="I23" s="92"/>
      <c r="J23" s="92"/>
      <c r="K23" s="92"/>
      <c r="L23" s="92"/>
      <c r="M23" s="92"/>
      <c r="N23" s="92"/>
      <c r="O23" s="92"/>
      <c r="P23" s="92"/>
      <c r="Q23" s="92"/>
      <c r="R23" s="92"/>
      <c r="S23" s="92"/>
      <c r="T23" s="92"/>
      <c r="U23" s="92"/>
      <c r="V23" s="92"/>
      <c r="W23" s="92"/>
      <c r="X23" s="92"/>
      <c r="Y23" s="92"/>
      <c r="Z23" s="92"/>
    </row>
    <row r="24" ht="30.75" customHeight="1">
      <c r="A24" s="385" t="s">
        <v>1398</v>
      </c>
      <c r="B24" s="386" t="s">
        <v>1399</v>
      </c>
      <c r="C24" s="386"/>
      <c r="D24" s="386"/>
      <c r="E24" s="406"/>
      <c r="F24" s="406"/>
      <c r="G24" s="92"/>
      <c r="H24" s="92"/>
      <c r="I24" s="92"/>
      <c r="J24" s="92"/>
      <c r="K24" s="92"/>
      <c r="L24" s="92"/>
      <c r="M24" s="92"/>
      <c r="N24" s="92"/>
      <c r="O24" s="92"/>
      <c r="P24" s="92"/>
      <c r="Q24" s="92"/>
      <c r="R24" s="92"/>
      <c r="S24" s="92"/>
      <c r="T24" s="92"/>
      <c r="U24" s="92"/>
      <c r="V24" s="92"/>
      <c r="W24" s="92"/>
      <c r="X24" s="92"/>
      <c r="Y24" s="92"/>
      <c r="Z24" s="92"/>
    </row>
    <row r="25" ht="16.5" customHeight="1">
      <c r="A25" s="388">
        <v>7.0</v>
      </c>
      <c r="B25" s="389" t="s">
        <v>1378</v>
      </c>
      <c r="C25" s="390"/>
      <c r="D25" s="390"/>
      <c r="E25" s="407" t="s">
        <v>1400</v>
      </c>
      <c r="F25" s="408" t="s">
        <v>1401</v>
      </c>
      <c r="G25" s="92"/>
      <c r="H25" s="92"/>
      <c r="I25" s="92"/>
      <c r="J25" s="92"/>
      <c r="K25" s="92"/>
      <c r="L25" s="92"/>
      <c r="M25" s="92"/>
      <c r="N25" s="92"/>
      <c r="O25" s="92"/>
      <c r="P25" s="92"/>
      <c r="Q25" s="92"/>
      <c r="R25" s="92"/>
      <c r="S25" s="92"/>
      <c r="T25" s="92"/>
      <c r="U25" s="92"/>
      <c r="V25" s="92"/>
      <c r="W25" s="92"/>
      <c r="X25" s="92"/>
      <c r="Y25" s="92"/>
      <c r="Z25" s="92"/>
    </row>
    <row r="26" ht="41.25" customHeight="1">
      <c r="A26" s="32"/>
      <c r="B26" s="393" t="s">
        <v>1402</v>
      </c>
      <c r="C26" s="398"/>
      <c r="D26" s="398"/>
      <c r="E26" s="32"/>
      <c r="F26" s="32"/>
      <c r="G26" s="92"/>
      <c r="H26" s="92"/>
      <c r="I26" s="92"/>
      <c r="J26" s="92"/>
      <c r="K26" s="92"/>
      <c r="L26" s="92"/>
      <c r="M26" s="92"/>
      <c r="N26" s="92"/>
      <c r="O26" s="92"/>
      <c r="P26" s="92"/>
      <c r="Q26" s="92"/>
      <c r="R26" s="92"/>
      <c r="S26" s="92"/>
      <c r="T26" s="92"/>
      <c r="U26" s="92"/>
      <c r="V26" s="92"/>
      <c r="W26" s="92"/>
      <c r="X26" s="92"/>
      <c r="Y26" s="92"/>
      <c r="Z26" s="92"/>
    </row>
    <row r="27" ht="18.75" customHeight="1">
      <c r="A27" s="388">
        <v>8.0</v>
      </c>
      <c r="B27" s="389" t="s">
        <v>1390</v>
      </c>
      <c r="C27" s="390"/>
      <c r="D27" s="390"/>
      <c r="E27" s="399" t="s">
        <v>1403</v>
      </c>
      <c r="F27" s="403" t="s">
        <v>1404</v>
      </c>
      <c r="G27" s="92"/>
      <c r="H27" s="92"/>
      <c r="I27" s="92"/>
      <c r="J27" s="92"/>
      <c r="K27" s="92"/>
      <c r="L27" s="92"/>
      <c r="M27" s="92"/>
      <c r="N27" s="92"/>
      <c r="O27" s="92"/>
      <c r="P27" s="92"/>
      <c r="Q27" s="92"/>
      <c r="R27" s="92"/>
      <c r="S27" s="92"/>
      <c r="T27" s="92"/>
      <c r="U27" s="92"/>
      <c r="V27" s="92"/>
      <c r="W27" s="92"/>
      <c r="X27" s="92"/>
      <c r="Y27" s="92"/>
      <c r="Z27" s="92"/>
    </row>
    <row r="28" ht="41.25" customHeight="1">
      <c r="A28" s="32"/>
      <c r="B28" s="393" t="s">
        <v>1393</v>
      </c>
      <c r="C28" s="398"/>
      <c r="D28" s="398"/>
      <c r="E28" s="32"/>
      <c r="F28" s="32"/>
      <c r="G28" s="92"/>
      <c r="H28" s="92"/>
      <c r="I28" s="92"/>
      <c r="J28" s="92"/>
      <c r="K28" s="92"/>
      <c r="L28" s="92"/>
      <c r="M28" s="92"/>
      <c r="N28" s="92"/>
      <c r="O28" s="92"/>
      <c r="P28" s="92"/>
      <c r="Q28" s="92"/>
      <c r="R28" s="92"/>
      <c r="S28" s="92"/>
      <c r="T28" s="92"/>
      <c r="U28" s="92"/>
      <c r="V28" s="92"/>
      <c r="W28" s="92"/>
      <c r="X28" s="92"/>
      <c r="Y28" s="92"/>
      <c r="Z28" s="92"/>
    </row>
    <row r="29" ht="20.25" customHeight="1">
      <c r="A29" s="388">
        <v>9.0</v>
      </c>
      <c r="B29" s="389" t="s">
        <v>1405</v>
      </c>
      <c r="C29" s="390"/>
      <c r="D29" s="390"/>
      <c r="E29" s="409" t="s">
        <v>1406</v>
      </c>
      <c r="F29" s="403" t="s">
        <v>1407</v>
      </c>
      <c r="G29" s="92"/>
      <c r="H29" s="92"/>
      <c r="I29" s="92"/>
      <c r="J29" s="92"/>
      <c r="K29" s="92"/>
      <c r="L29" s="92"/>
      <c r="M29" s="92"/>
      <c r="N29" s="92"/>
      <c r="O29" s="92"/>
      <c r="P29" s="92"/>
      <c r="Q29" s="92"/>
      <c r="R29" s="92"/>
      <c r="S29" s="92"/>
      <c r="T29" s="92"/>
      <c r="U29" s="92"/>
      <c r="V29" s="92"/>
      <c r="W29" s="92"/>
      <c r="X29" s="92"/>
      <c r="Y29" s="92"/>
      <c r="Z29" s="92"/>
    </row>
    <row r="30" ht="41.25" customHeight="1">
      <c r="A30" s="32"/>
      <c r="B30" s="393" t="s">
        <v>1408</v>
      </c>
      <c r="C30" s="398"/>
      <c r="D30" s="398"/>
      <c r="E30" s="32"/>
      <c r="F30" s="32"/>
      <c r="G30" s="92"/>
      <c r="H30" s="92"/>
      <c r="I30" s="92"/>
      <c r="J30" s="92"/>
      <c r="K30" s="92"/>
      <c r="L30" s="92"/>
      <c r="M30" s="92"/>
      <c r="N30" s="92"/>
      <c r="O30" s="92"/>
      <c r="P30" s="92"/>
      <c r="Q30" s="92"/>
      <c r="R30" s="92"/>
      <c r="S30" s="92"/>
      <c r="T30" s="92"/>
      <c r="U30" s="92"/>
      <c r="V30" s="92"/>
      <c r="W30" s="92"/>
      <c r="X30" s="92"/>
      <c r="Y30" s="92"/>
      <c r="Z30" s="92"/>
    </row>
    <row r="31" ht="18.75" customHeight="1">
      <c r="A31" s="388">
        <v>10.0</v>
      </c>
      <c r="B31" s="389" t="s">
        <v>1409</v>
      </c>
      <c r="C31" s="390"/>
      <c r="D31" s="390"/>
      <c r="E31" s="407" t="s">
        <v>1410</v>
      </c>
      <c r="F31" s="408" t="s">
        <v>1411</v>
      </c>
      <c r="G31" s="92"/>
      <c r="H31" s="92"/>
      <c r="I31" s="92"/>
      <c r="J31" s="92"/>
      <c r="K31" s="92"/>
      <c r="L31" s="92"/>
      <c r="M31" s="92"/>
      <c r="N31" s="92"/>
      <c r="O31" s="92"/>
      <c r="P31" s="92"/>
      <c r="Q31" s="92"/>
      <c r="R31" s="92"/>
      <c r="S31" s="92"/>
      <c r="T31" s="92"/>
      <c r="U31" s="92"/>
      <c r="V31" s="92"/>
      <c r="W31" s="92"/>
      <c r="X31" s="92"/>
      <c r="Y31" s="92"/>
      <c r="Z31" s="92"/>
    </row>
    <row r="32" ht="41.25" customHeight="1">
      <c r="A32" s="32"/>
      <c r="B32" s="393" t="s">
        <v>1412</v>
      </c>
      <c r="C32" s="398"/>
      <c r="D32" s="398"/>
      <c r="E32" s="32"/>
      <c r="F32" s="32"/>
      <c r="G32" s="92"/>
      <c r="H32" s="92"/>
      <c r="I32" s="92"/>
      <c r="J32" s="92"/>
      <c r="K32" s="92"/>
      <c r="L32" s="92"/>
      <c r="M32" s="92"/>
      <c r="N32" s="92"/>
      <c r="O32" s="92"/>
      <c r="P32" s="92"/>
      <c r="Q32" s="92"/>
      <c r="R32" s="92"/>
      <c r="S32" s="92"/>
      <c r="T32" s="92"/>
      <c r="U32" s="92"/>
      <c r="V32" s="92"/>
      <c r="W32" s="92"/>
      <c r="X32" s="92"/>
      <c r="Y32" s="92"/>
      <c r="Z32" s="92"/>
    </row>
    <row r="33" ht="30.75" customHeight="1">
      <c r="A33" s="385" t="s">
        <v>1413</v>
      </c>
      <c r="B33" s="386" t="s">
        <v>1414</v>
      </c>
      <c r="C33" s="386"/>
      <c r="D33" s="386"/>
      <c r="E33" s="406"/>
      <c r="F33" s="406"/>
      <c r="G33" s="92"/>
      <c r="H33" s="92"/>
      <c r="I33" s="92"/>
      <c r="J33" s="92"/>
      <c r="K33" s="92"/>
      <c r="L33" s="92"/>
      <c r="M33" s="92"/>
      <c r="N33" s="92"/>
      <c r="O33" s="92"/>
      <c r="P33" s="92"/>
      <c r="Q33" s="92"/>
      <c r="R33" s="92"/>
      <c r="S33" s="92"/>
      <c r="T33" s="92"/>
      <c r="U33" s="92"/>
      <c r="V33" s="92"/>
      <c r="W33" s="92"/>
      <c r="X33" s="92"/>
      <c r="Y33" s="92"/>
      <c r="Z33" s="92"/>
    </row>
    <row r="34" ht="19.5" customHeight="1">
      <c r="A34" s="388">
        <v>11.0</v>
      </c>
      <c r="B34" s="389" t="s">
        <v>1378</v>
      </c>
      <c r="C34" s="390"/>
      <c r="D34" s="390"/>
      <c r="E34" s="399" t="s">
        <v>1415</v>
      </c>
      <c r="F34" s="403" t="s">
        <v>1416</v>
      </c>
      <c r="G34" s="92"/>
      <c r="H34" s="92"/>
      <c r="I34" s="92"/>
      <c r="J34" s="92"/>
      <c r="K34" s="92"/>
      <c r="L34" s="92"/>
      <c r="M34" s="92"/>
      <c r="N34" s="92"/>
      <c r="O34" s="92"/>
      <c r="P34" s="92"/>
      <c r="Q34" s="92"/>
      <c r="R34" s="92"/>
      <c r="S34" s="92"/>
      <c r="T34" s="92"/>
      <c r="U34" s="92"/>
      <c r="V34" s="92"/>
      <c r="W34" s="92"/>
      <c r="X34" s="92"/>
      <c r="Y34" s="92"/>
      <c r="Z34" s="92"/>
    </row>
    <row r="35" ht="41.25" customHeight="1">
      <c r="A35" s="32"/>
      <c r="B35" s="393" t="s">
        <v>1417</v>
      </c>
      <c r="C35" s="398"/>
      <c r="D35" s="398"/>
      <c r="E35" s="32"/>
      <c r="F35" s="32"/>
      <c r="G35" s="92"/>
      <c r="H35" s="92"/>
      <c r="I35" s="92"/>
      <c r="J35" s="92"/>
      <c r="K35" s="92"/>
      <c r="L35" s="92"/>
      <c r="M35" s="92"/>
      <c r="N35" s="92"/>
      <c r="O35" s="92"/>
      <c r="P35" s="92"/>
      <c r="Q35" s="92"/>
      <c r="R35" s="92"/>
      <c r="S35" s="92"/>
      <c r="T35" s="92"/>
      <c r="U35" s="92"/>
      <c r="V35" s="92"/>
      <c r="W35" s="92"/>
      <c r="X35" s="92"/>
      <c r="Y35" s="92"/>
      <c r="Z35" s="92"/>
    </row>
    <row r="36" ht="18.75" customHeight="1">
      <c r="A36" s="388">
        <v>12.0</v>
      </c>
      <c r="B36" s="389" t="s">
        <v>1418</v>
      </c>
      <c r="C36" s="390"/>
      <c r="D36" s="390"/>
      <c r="E36" s="410" t="s">
        <v>1419</v>
      </c>
      <c r="F36" s="411" t="s">
        <v>1420</v>
      </c>
      <c r="G36" s="92"/>
      <c r="H36" s="92"/>
      <c r="I36" s="92"/>
      <c r="J36" s="92"/>
      <c r="K36" s="92"/>
      <c r="L36" s="92"/>
      <c r="M36" s="92"/>
      <c r="N36" s="92"/>
      <c r="O36" s="92"/>
      <c r="P36" s="92"/>
      <c r="Q36" s="92"/>
      <c r="R36" s="92"/>
      <c r="S36" s="92"/>
      <c r="T36" s="92"/>
      <c r="U36" s="92"/>
      <c r="V36" s="92"/>
      <c r="W36" s="92"/>
      <c r="X36" s="92"/>
      <c r="Y36" s="92"/>
      <c r="Z36" s="92"/>
    </row>
    <row r="37" ht="41.25" customHeight="1">
      <c r="A37" s="32"/>
      <c r="B37" s="393" t="s">
        <v>1421</v>
      </c>
      <c r="C37" s="398"/>
      <c r="D37" s="398"/>
      <c r="E37" s="32"/>
      <c r="F37" s="32"/>
      <c r="G37" s="92"/>
      <c r="H37" s="92"/>
      <c r="I37" s="92"/>
      <c r="J37" s="92"/>
      <c r="K37" s="92"/>
      <c r="L37" s="92"/>
      <c r="M37" s="92"/>
      <c r="N37" s="92"/>
      <c r="O37" s="92"/>
      <c r="P37" s="92"/>
      <c r="Q37" s="92"/>
      <c r="R37" s="92"/>
      <c r="S37" s="92"/>
      <c r="T37" s="92"/>
      <c r="U37" s="92"/>
      <c r="V37" s="92"/>
      <c r="W37" s="92"/>
      <c r="X37" s="92"/>
      <c r="Y37" s="92"/>
      <c r="Z37" s="92"/>
    </row>
    <row r="38" ht="19.5" customHeight="1">
      <c r="A38" s="388">
        <v>13.0</v>
      </c>
      <c r="B38" s="389" t="s">
        <v>1422</v>
      </c>
      <c r="C38" s="390"/>
      <c r="D38" s="390"/>
      <c r="E38" s="410" t="s">
        <v>1423</v>
      </c>
      <c r="F38" s="411" t="s">
        <v>1424</v>
      </c>
      <c r="G38" s="92"/>
      <c r="H38" s="92"/>
      <c r="I38" s="92"/>
      <c r="J38" s="92"/>
      <c r="K38" s="92"/>
      <c r="L38" s="92"/>
      <c r="M38" s="92"/>
      <c r="N38" s="92"/>
      <c r="O38" s="92"/>
      <c r="P38" s="92"/>
      <c r="Q38" s="92"/>
      <c r="R38" s="92"/>
      <c r="S38" s="92"/>
      <c r="T38" s="92"/>
      <c r="U38" s="92"/>
      <c r="V38" s="92"/>
      <c r="W38" s="92"/>
      <c r="X38" s="92"/>
      <c r="Y38" s="92"/>
      <c r="Z38" s="92"/>
    </row>
    <row r="39" ht="41.25" customHeight="1">
      <c r="A39" s="32"/>
      <c r="B39" s="393" t="s">
        <v>1425</v>
      </c>
      <c r="C39" s="398"/>
      <c r="D39" s="398"/>
      <c r="E39" s="32"/>
      <c r="F39" s="32"/>
      <c r="G39" s="92"/>
      <c r="H39" s="92"/>
      <c r="I39" s="92"/>
      <c r="J39" s="92"/>
      <c r="K39" s="92"/>
      <c r="L39" s="92"/>
      <c r="M39" s="92"/>
      <c r="N39" s="92"/>
      <c r="O39" s="92"/>
      <c r="P39" s="92"/>
      <c r="Q39" s="92"/>
      <c r="R39" s="92"/>
      <c r="S39" s="92"/>
      <c r="T39" s="92"/>
      <c r="U39" s="92"/>
      <c r="V39" s="92"/>
      <c r="W39" s="92"/>
      <c r="X39" s="92"/>
      <c r="Y39" s="92"/>
      <c r="Z39" s="92"/>
    </row>
    <row r="40" ht="20.25" customHeight="1">
      <c r="A40" s="388">
        <v>14.0</v>
      </c>
      <c r="B40" s="389" t="s">
        <v>1426</v>
      </c>
      <c r="C40" s="390"/>
      <c r="D40" s="390"/>
      <c r="E40" s="410" t="s">
        <v>1427</v>
      </c>
      <c r="F40" s="412" t="s">
        <v>1428</v>
      </c>
      <c r="G40" s="92"/>
      <c r="H40" s="92"/>
      <c r="I40" s="92"/>
      <c r="J40" s="92"/>
      <c r="K40" s="92"/>
      <c r="L40" s="92"/>
      <c r="M40" s="92"/>
      <c r="N40" s="92"/>
      <c r="O40" s="92"/>
      <c r="P40" s="92"/>
      <c r="Q40" s="92"/>
      <c r="R40" s="92"/>
      <c r="S40" s="92"/>
      <c r="T40" s="92"/>
      <c r="U40" s="92"/>
      <c r="V40" s="92"/>
      <c r="W40" s="92"/>
      <c r="X40" s="92"/>
      <c r="Y40" s="92"/>
      <c r="Z40" s="92"/>
    </row>
    <row r="41" ht="41.25" customHeight="1">
      <c r="A41" s="32"/>
      <c r="B41" s="393" t="s">
        <v>1429</v>
      </c>
      <c r="C41" s="398"/>
      <c r="D41" s="398"/>
      <c r="E41" s="32"/>
      <c r="F41" s="32"/>
      <c r="G41" s="92"/>
      <c r="H41" s="92"/>
      <c r="I41" s="92"/>
      <c r="J41" s="92"/>
      <c r="K41" s="92"/>
      <c r="L41" s="92"/>
      <c r="M41" s="92"/>
      <c r="N41" s="92"/>
      <c r="O41" s="92"/>
      <c r="P41" s="92"/>
      <c r="Q41" s="92"/>
      <c r="R41" s="92"/>
      <c r="S41" s="92"/>
      <c r="T41" s="92"/>
      <c r="U41" s="92"/>
      <c r="V41" s="92"/>
      <c r="W41" s="92"/>
      <c r="X41" s="92"/>
      <c r="Y41" s="92"/>
      <c r="Z41" s="92"/>
    </row>
    <row r="42" ht="21.0" customHeight="1">
      <c r="A42" s="388">
        <v>15.0</v>
      </c>
      <c r="B42" s="389" t="s">
        <v>1430</v>
      </c>
      <c r="C42" s="390"/>
      <c r="D42" s="390"/>
      <c r="E42" s="413"/>
      <c r="F42" s="413" t="s">
        <v>1431</v>
      </c>
      <c r="G42" s="92"/>
      <c r="H42" s="92"/>
      <c r="I42" s="92"/>
      <c r="J42" s="92"/>
      <c r="K42" s="92"/>
      <c r="L42" s="92"/>
      <c r="M42" s="92"/>
      <c r="N42" s="92"/>
      <c r="O42" s="92"/>
      <c r="P42" s="92"/>
      <c r="Q42" s="92"/>
      <c r="R42" s="92"/>
      <c r="S42" s="92"/>
      <c r="T42" s="92"/>
      <c r="U42" s="92"/>
      <c r="V42" s="92"/>
      <c r="W42" s="92"/>
      <c r="X42" s="92"/>
      <c r="Y42" s="92"/>
      <c r="Z42" s="92"/>
    </row>
    <row r="43" ht="41.25" customHeight="1">
      <c r="A43" s="32"/>
      <c r="B43" s="393" t="s">
        <v>1432</v>
      </c>
      <c r="C43" s="398"/>
      <c r="D43" s="398"/>
      <c r="E43" s="32"/>
      <c r="F43" s="32"/>
      <c r="G43" s="92"/>
      <c r="H43" s="92"/>
      <c r="I43" s="92"/>
      <c r="J43" s="92"/>
      <c r="K43" s="92"/>
      <c r="L43" s="92"/>
      <c r="M43" s="92"/>
      <c r="N43" s="92"/>
      <c r="O43" s="92"/>
      <c r="P43" s="92"/>
      <c r="Q43" s="92"/>
      <c r="R43" s="92"/>
      <c r="S43" s="92"/>
      <c r="T43" s="92"/>
      <c r="U43" s="92"/>
      <c r="V43" s="92"/>
      <c r="W43" s="92"/>
      <c r="X43" s="92"/>
      <c r="Y43" s="92"/>
      <c r="Z43" s="92"/>
    </row>
    <row r="44" ht="28.5" customHeight="1">
      <c r="A44" s="385" t="s">
        <v>1433</v>
      </c>
      <c r="B44" s="386" t="s">
        <v>1434</v>
      </c>
      <c r="C44" s="386"/>
      <c r="D44" s="386"/>
      <c r="E44" s="406"/>
      <c r="F44" s="406"/>
      <c r="G44" s="92"/>
      <c r="H44" s="92"/>
      <c r="I44" s="92"/>
      <c r="J44" s="92"/>
      <c r="K44" s="92"/>
      <c r="L44" s="92"/>
      <c r="M44" s="92"/>
      <c r="N44" s="92"/>
      <c r="O44" s="92"/>
      <c r="P44" s="92"/>
      <c r="Q44" s="92"/>
      <c r="R44" s="92"/>
      <c r="S44" s="92"/>
      <c r="T44" s="92"/>
      <c r="U44" s="92"/>
      <c r="V44" s="92"/>
      <c r="W44" s="92"/>
      <c r="X44" s="92"/>
      <c r="Y44" s="92"/>
      <c r="Z44" s="92"/>
    </row>
    <row r="45" ht="19.5" customHeight="1">
      <c r="A45" s="388">
        <v>16.0</v>
      </c>
      <c r="B45" s="389" t="s">
        <v>1378</v>
      </c>
      <c r="C45" s="390"/>
      <c r="D45" s="390"/>
      <c r="E45" s="399" t="s">
        <v>1435</v>
      </c>
      <c r="F45" s="403" t="s">
        <v>1436</v>
      </c>
      <c r="G45" s="92"/>
      <c r="H45" s="92"/>
      <c r="I45" s="92"/>
      <c r="J45" s="92"/>
      <c r="K45" s="92"/>
      <c r="L45" s="92"/>
      <c r="M45" s="92"/>
      <c r="N45" s="92"/>
      <c r="O45" s="92"/>
      <c r="P45" s="92"/>
      <c r="Q45" s="92"/>
      <c r="R45" s="92"/>
      <c r="S45" s="92"/>
      <c r="T45" s="92"/>
      <c r="U45" s="92"/>
      <c r="V45" s="92"/>
      <c r="W45" s="92"/>
      <c r="X45" s="92"/>
      <c r="Y45" s="92"/>
      <c r="Z45" s="92"/>
    </row>
    <row r="46" ht="41.25" customHeight="1">
      <c r="A46" s="32"/>
      <c r="B46" s="393" t="s">
        <v>1437</v>
      </c>
      <c r="C46" s="398"/>
      <c r="D46" s="398"/>
      <c r="E46" s="32"/>
      <c r="F46" s="32"/>
      <c r="G46" s="92"/>
      <c r="H46" s="92"/>
      <c r="I46" s="92"/>
      <c r="J46" s="92"/>
      <c r="K46" s="92"/>
      <c r="L46" s="92"/>
      <c r="M46" s="92"/>
      <c r="N46" s="92"/>
      <c r="O46" s="92"/>
      <c r="P46" s="92"/>
      <c r="Q46" s="92"/>
      <c r="R46" s="92"/>
      <c r="S46" s="92"/>
      <c r="T46" s="92"/>
      <c r="U46" s="92"/>
      <c r="V46" s="92"/>
      <c r="W46" s="92"/>
      <c r="X46" s="92"/>
      <c r="Y46" s="92"/>
      <c r="Z46" s="92"/>
    </row>
    <row r="47" ht="18.0" customHeight="1">
      <c r="A47" s="388">
        <v>17.0</v>
      </c>
      <c r="B47" s="389" t="s">
        <v>1438</v>
      </c>
      <c r="C47" s="390"/>
      <c r="D47" s="390"/>
      <c r="E47" s="410" t="s">
        <v>1439</v>
      </c>
      <c r="F47" s="413" t="s">
        <v>1440</v>
      </c>
      <c r="G47" s="92"/>
      <c r="H47" s="92"/>
      <c r="I47" s="92"/>
      <c r="J47" s="92"/>
      <c r="K47" s="92"/>
      <c r="L47" s="92"/>
      <c r="M47" s="92"/>
      <c r="N47" s="92"/>
      <c r="O47" s="92"/>
      <c r="P47" s="92"/>
      <c r="Q47" s="92"/>
      <c r="R47" s="92"/>
      <c r="S47" s="92"/>
      <c r="T47" s="92"/>
      <c r="U47" s="92"/>
      <c r="V47" s="92"/>
      <c r="W47" s="92"/>
      <c r="X47" s="92"/>
      <c r="Y47" s="92"/>
      <c r="Z47" s="92"/>
    </row>
    <row r="48" ht="41.25" customHeight="1">
      <c r="A48" s="32"/>
      <c r="B48" s="393" t="s">
        <v>1421</v>
      </c>
      <c r="C48" s="398"/>
      <c r="D48" s="398"/>
      <c r="E48" s="32"/>
      <c r="F48" s="32"/>
      <c r="G48" s="92"/>
      <c r="H48" s="92"/>
      <c r="I48" s="92"/>
      <c r="J48" s="92"/>
      <c r="K48" s="92"/>
      <c r="L48" s="92"/>
      <c r="M48" s="92"/>
      <c r="N48" s="92"/>
      <c r="O48" s="92"/>
      <c r="P48" s="92"/>
      <c r="Q48" s="92"/>
      <c r="R48" s="92"/>
      <c r="S48" s="92"/>
      <c r="T48" s="92"/>
      <c r="U48" s="92"/>
      <c r="V48" s="92"/>
      <c r="W48" s="92"/>
      <c r="X48" s="92"/>
      <c r="Y48" s="92"/>
      <c r="Z48" s="92"/>
    </row>
    <row r="49" ht="18.75" customHeight="1">
      <c r="A49" s="388">
        <v>18.0</v>
      </c>
      <c r="B49" s="389" t="s">
        <v>1422</v>
      </c>
      <c r="C49" s="390"/>
      <c r="D49" s="390"/>
      <c r="E49" s="399" t="s">
        <v>1441</v>
      </c>
      <c r="F49" s="403" t="s">
        <v>1442</v>
      </c>
      <c r="G49" s="92"/>
      <c r="H49" s="92"/>
      <c r="I49" s="92"/>
      <c r="J49" s="92"/>
      <c r="K49" s="92"/>
      <c r="L49" s="92"/>
      <c r="M49" s="92"/>
      <c r="N49" s="92"/>
      <c r="O49" s="92"/>
      <c r="P49" s="92"/>
      <c r="Q49" s="92"/>
      <c r="R49" s="92"/>
      <c r="S49" s="92"/>
      <c r="T49" s="92"/>
      <c r="U49" s="92"/>
      <c r="V49" s="92"/>
      <c r="W49" s="92"/>
      <c r="X49" s="92"/>
      <c r="Y49" s="92"/>
      <c r="Z49" s="92"/>
    </row>
    <row r="50" ht="41.25" customHeight="1">
      <c r="A50" s="32"/>
      <c r="B50" s="393" t="s">
        <v>1408</v>
      </c>
      <c r="C50" s="398"/>
      <c r="D50" s="398"/>
      <c r="E50" s="32"/>
      <c r="F50" s="32"/>
      <c r="G50" s="92"/>
      <c r="H50" s="92"/>
      <c r="I50" s="92"/>
      <c r="J50" s="92"/>
      <c r="K50" s="92"/>
      <c r="L50" s="92"/>
      <c r="M50" s="92"/>
      <c r="N50" s="92"/>
      <c r="O50" s="92"/>
      <c r="P50" s="92"/>
      <c r="Q50" s="92"/>
      <c r="R50" s="92"/>
      <c r="S50" s="92"/>
      <c r="T50" s="92"/>
      <c r="U50" s="92"/>
      <c r="V50" s="92"/>
      <c r="W50" s="92"/>
      <c r="X50" s="92"/>
      <c r="Y50" s="92"/>
      <c r="Z50" s="92"/>
    </row>
    <row r="51" ht="18.0" customHeight="1">
      <c r="A51" s="388">
        <v>19.0</v>
      </c>
      <c r="B51" s="389" t="s">
        <v>1443</v>
      </c>
      <c r="C51" s="390"/>
      <c r="D51" s="390"/>
      <c r="E51" s="410" t="s">
        <v>1444</v>
      </c>
      <c r="F51" s="412" t="s">
        <v>1445</v>
      </c>
      <c r="G51" s="92"/>
      <c r="H51" s="92"/>
      <c r="I51" s="92"/>
      <c r="J51" s="92"/>
      <c r="K51" s="92"/>
      <c r="L51" s="92"/>
      <c r="M51" s="92"/>
      <c r="N51" s="92"/>
      <c r="O51" s="92"/>
      <c r="P51" s="92"/>
      <c r="Q51" s="92"/>
      <c r="R51" s="92"/>
      <c r="S51" s="92"/>
      <c r="T51" s="92"/>
      <c r="U51" s="92"/>
      <c r="V51" s="92"/>
      <c r="W51" s="92"/>
      <c r="X51" s="92"/>
      <c r="Y51" s="92"/>
      <c r="Z51" s="92"/>
    </row>
    <row r="52" ht="41.25" customHeight="1">
      <c r="A52" s="32"/>
      <c r="B52" s="393" t="s">
        <v>1446</v>
      </c>
      <c r="C52" s="398"/>
      <c r="D52" s="398"/>
      <c r="E52" s="32"/>
      <c r="F52" s="32"/>
      <c r="G52" s="92"/>
      <c r="H52" s="92"/>
      <c r="I52" s="92"/>
      <c r="J52" s="92"/>
      <c r="K52" s="92"/>
      <c r="L52" s="92"/>
      <c r="M52" s="92"/>
      <c r="N52" s="92"/>
      <c r="O52" s="92"/>
      <c r="P52" s="92"/>
      <c r="Q52" s="92"/>
      <c r="R52" s="92"/>
      <c r="S52" s="92"/>
      <c r="T52" s="92"/>
      <c r="U52" s="92"/>
      <c r="V52" s="92"/>
      <c r="W52" s="92"/>
      <c r="X52" s="92"/>
      <c r="Y52" s="92"/>
      <c r="Z52" s="92"/>
    </row>
    <row r="53" ht="18.0" customHeight="1">
      <c r="A53" s="388">
        <v>20.0</v>
      </c>
      <c r="B53" s="389" t="s">
        <v>1447</v>
      </c>
      <c r="C53" s="390"/>
      <c r="D53" s="390"/>
      <c r="E53" s="413"/>
      <c r="F53" s="413" t="s">
        <v>1448</v>
      </c>
      <c r="G53" s="92"/>
      <c r="H53" s="92"/>
      <c r="I53" s="92"/>
      <c r="J53" s="92"/>
      <c r="K53" s="92"/>
      <c r="L53" s="92"/>
      <c r="M53" s="92"/>
      <c r="N53" s="92"/>
      <c r="O53" s="92"/>
      <c r="P53" s="92"/>
      <c r="Q53" s="92"/>
      <c r="R53" s="92"/>
      <c r="S53" s="92"/>
      <c r="T53" s="92"/>
      <c r="U53" s="92"/>
      <c r="V53" s="92"/>
      <c r="W53" s="92"/>
      <c r="X53" s="92"/>
      <c r="Y53" s="92"/>
      <c r="Z53" s="92"/>
    </row>
    <row r="54" ht="41.25" customHeight="1">
      <c r="A54" s="32"/>
      <c r="B54" s="393" t="s">
        <v>1449</v>
      </c>
      <c r="C54" s="395"/>
      <c r="D54" s="395"/>
      <c r="E54" s="32"/>
      <c r="F54" s="32"/>
      <c r="G54" s="92"/>
      <c r="H54" s="92"/>
      <c r="I54" s="92"/>
      <c r="J54" s="92"/>
      <c r="K54" s="92"/>
      <c r="L54" s="92"/>
      <c r="M54" s="92"/>
      <c r="N54" s="92"/>
      <c r="O54" s="92"/>
      <c r="P54" s="92"/>
      <c r="Q54" s="92"/>
      <c r="R54" s="92"/>
      <c r="S54" s="92"/>
      <c r="T54" s="92"/>
      <c r="U54" s="92"/>
      <c r="V54" s="92"/>
      <c r="W54" s="92"/>
      <c r="X54" s="92"/>
      <c r="Y54" s="92"/>
      <c r="Z54" s="92"/>
    </row>
    <row r="55" ht="14.25" customHeight="1">
      <c r="A55" s="414"/>
      <c r="B55" s="415"/>
      <c r="C55" s="415"/>
      <c r="D55" s="415"/>
      <c r="E55" s="414"/>
      <c r="F55" s="92"/>
      <c r="G55" s="92"/>
      <c r="H55" s="92"/>
      <c r="I55" s="92"/>
      <c r="J55" s="92"/>
      <c r="K55" s="92"/>
      <c r="L55" s="92"/>
      <c r="M55" s="92"/>
      <c r="N55" s="92"/>
      <c r="O55" s="92"/>
      <c r="P55" s="92"/>
      <c r="Q55" s="92"/>
      <c r="R55" s="92"/>
      <c r="S55" s="92"/>
      <c r="T55" s="92"/>
      <c r="U55" s="92"/>
      <c r="V55" s="92"/>
      <c r="W55" s="92"/>
      <c r="X55" s="92"/>
      <c r="Y55" s="92"/>
      <c r="Z55" s="92"/>
    </row>
    <row r="56" ht="30.0" customHeight="1">
      <c r="A56" s="414"/>
      <c r="B56" s="415"/>
      <c r="C56" s="415"/>
      <c r="D56" s="415"/>
      <c r="E56" s="414"/>
      <c r="F56" s="92"/>
      <c r="G56" s="92"/>
      <c r="H56" s="92"/>
      <c r="I56" s="92"/>
      <c r="J56" s="92"/>
      <c r="K56" s="92"/>
      <c r="L56" s="92"/>
      <c r="M56" s="92"/>
      <c r="N56" s="92"/>
      <c r="O56" s="92"/>
      <c r="P56" s="92"/>
      <c r="Q56" s="92"/>
      <c r="R56" s="92"/>
      <c r="S56" s="92"/>
      <c r="T56" s="92"/>
      <c r="U56" s="92"/>
      <c r="V56" s="92"/>
      <c r="W56" s="92"/>
      <c r="X56" s="92"/>
      <c r="Y56" s="92"/>
      <c r="Z56" s="92"/>
    </row>
    <row r="57" ht="14.25" customHeight="1">
      <c r="A57" s="414"/>
      <c r="B57" s="415"/>
      <c r="C57" s="415"/>
      <c r="D57" s="415"/>
      <c r="E57" s="414"/>
      <c r="F57" s="92"/>
      <c r="G57" s="92"/>
      <c r="H57" s="92"/>
      <c r="I57" s="92"/>
      <c r="J57" s="92"/>
      <c r="K57" s="92"/>
      <c r="L57" s="92"/>
      <c r="M57" s="92"/>
      <c r="N57" s="92"/>
      <c r="O57" s="92"/>
      <c r="P57" s="92"/>
      <c r="Q57" s="92"/>
      <c r="R57" s="92"/>
      <c r="S57" s="92"/>
      <c r="T57" s="92"/>
      <c r="U57" s="92"/>
      <c r="V57" s="92"/>
      <c r="W57" s="92"/>
      <c r="X57" s="92"/>
      <c r="Y57" s="92"/>
      <c r="Z57" s="92"/>
    </row>
    <row r="58" ht="14.25" customHeight="1">
      <c r="A58" s="414"/>
      <c r="B58" s="415"/>
      <c r="C58" s="415"/>
      <c r="D58" s="415"/>
      <c r="E58" s="414"/>
      <c r="F58" s="92"/>
      <c r="G58" s="92"/>
      <c r="H58" s="92"/>
      <c r="I58" s="92"/>
      <c r="J58" s="92"/>
      <c r="K58" s="92"/>
      <c r="L58" s="92"/>
      <c r="M58" s="92"/>
      <c r="N58" s="92"/>
      <c r="O58" s="92"/>
      <c r="P58" s="92"/>
      <c r="Q58" s="92"/>
      <c r="R58" s="92"/>
      <c r="S58" s="92"/>
      <c r="T58" s="92"/>
      <c r="U58" s="92"/>
      <c r="V58" s="92"/>
      <c r="W58" s="92"/>
      <c r="X58" s="92"/>
      <c r="Y58" s="92"/>
      <c r="Z58" s="92"/>
    </row>
    <row r="59" ht="14.25" customHeight="1">
      <c r="A59" s="414"/>
      <c r="B59" s="415"/>
      <c r="C59" s="415"/>
      <c r="D59" s="415"/>
      <c r="E59" s="414"/>
      <c r="F59" s="92"/>
      <c r="G59" s="92"/>
      <c r="H59" s="92"/>
      <c r="I59" s="92"/>
      <c r="J59" s="92"/>
      <c r="K59" s="92"/>
      <c r="L59" s="92"/>
      <c r="M59" s="92"/>
      <c r="N59" s="92"/>
      <c r="O59" s="92"/>
      <c r="P59" s="92"/>
      <c r="Q59" s="92"/>
      <c r="R59" s="92"/>
      <c r="S59" s="92"/>
      <c r="T59" s="92"/>
      <c r="U59" s="92"/>
      <c r="V59" s="92"/>
      <c r="W59" s="92"/>
      <c r="X59" s="92"/>
      <c r="Y59" s="92"/>
      <c r="Z59" s="92"/>
    </row>
    <row r="60" ht="14.25" customHeight="1">
      <c r="A60" s="414"/>
      <c r="B60" s="416"/>
      <c r="C60" s="416"/>
      <c r="D60" s="416"/>
      <c r="E60" s="414"/>
      <c r="F60" s="92"/>
      <c r="G60" s="92"/>
      <c r="H60" s="92"/>
      <c r="I60" s="92"/>
      <c r="J60" s="92"/>
      <c r="K60" s="92"/>
      <c r="L60" s="92"/>
      <c r="M60" s="92"/>
      <c r="N60" s="92"/>
      <c r="O60" s="92"/>
      <c r="P60" s="92"/>
      <c r="Q60" s="92"/>
      <c r="R60" s="92"/>
      <c r="S60" s="92"/>
      <c r="T60" s="92"/>
      <c r="U60" s="92"/>
      <c r="V60" s="92"/>
      <c r="W60" s="92"/>
      <c r="X60" s="92"/>
      <c r="Y60" s="92"/>
      <c r="Z60" s="92"/>
    </row>
    <row r="61" ht="14.25" customHeight="1">
      <c r="A61" s="414"/>
      <c r="B61" s="416"/>
      <c r="C61" s="416"/>
      <c r="D61" s="416"/>
      <c r="E61" s="414"/>
      <c r="F61" s="92"/>
      <c r="G61" s="92"/>
      <c r="H61" s="92"/>
      <c r="I61" s="92"/>
      <c r="J61" s="92"/>
      <c r="K61" s="92"/>
      <c r="L61" s="92"/>
      <c r="M61" s="92"/>
      <c r="N61" s="92"/>
      <c r="O61" s="92"/>
      <c r="P61" s="92"/>
      <c r="Q61" s="92"/>
      <c r="R61" s="92"/>
      <c r="S61" s="92"/>
      <c r="T61" s="92"/>
      <c r="U61" s="92"/>
      <c r="V61" s="92"/>
      <c r="W61" s="92"/>
      <c r="X61" s="92"/>
      <c r="Y61" s="92"/>
      <c r="Z61" s="92"/>
    </row>
    <row r="62" ht="14.25" customHeight="1">
      <c r="A62" s="414"/>
      <c r="B62" s="416"/>
      <c r="C62" s="416"/>
      <c r="D62" s="416"/>
      <c r="E62" s="414"/>
      <c r="F62" s="92"/>
      <c r="G62" s="92"/>
      <c r="H62" s="92"/>
      <c r="I62" s="92"/>
      <c r="J62" s="92"/>
      <c r="K62" s="92"/>
      <c r="L62" s="92"/>
      <c r="M62" s="92"/>
      <c r="N62" s="92"/>
      <c r="O62" s="92"/>
      <c r="P62" s="92"/>
      <c r="Q62" s="92"/>
      <c r="R62" s="92"/>
      <c r="S62" s="92"/>
      <c r="T62" s="92"/>
      <c r="U62" s="92"/>
      <c r="V62" s="92"/>
      <c r="W62" s="92"/>
      <c r="X62" s="92"/>
      <c r="Y62" s="92"/>
      <c r="Z62" s="92"/>
    </row>
    <row r="63" ht="14.25" customHeight="1">
      <c r="A63" s="414"/>
      <c r="B63" s="416"/>
      <c r="C63" s="416"/>
      <c r="D63" s="416"/>
      <c r="E63" s="414"/>
      <c r="F63" s="92"/>
      <c r="G63" s="92"/>
      <c r="H63" s="92"/>
      <c r="I63" s="92"/>
      <c r="J63" s="92"/>
      <c r="K63" s="92"/>
      <c r="L63" s="92"/>
      <c r="M63" s="92"/>
      <c r="N63" s="92"/>
      <c r="O63" s="92"/>
      <c r="P63" s="92"/>
      <c r="Q63" s="92"/>
      <c r="R63" s="92"/>
      <c r="S63" s="92"/>
      <c r="T63" s="92"/>
      <c r="U63" s="92"/>
      <c r="V63" s="92"/>
      <c r="W63" s="92"/>
      <c r="X63" s="92"/>
      <c r="Y63" s="92"/>
      <c r="Z63" s="92"/>
    </row>
    <row r="64" ht="14.25" customHeight="1">
      <c r="A64" s="414"/>
      <c r="B64" s="416"/>
      <c r="C64" s="416"/>
      <c r="D64" s="416"/>
      <c r="E64" s="414"/>
      <c r="F64" s="92"/>
      <c r="G64" s="92"/>
      <c r="H64" s="92"/>
      <c r="I64" s="92"/>
      <c r="J64" s="92"/>
      <c r="K64" s="92"/>
      <c r="L64" s="92"/>
      <c r="M64" s="92"/>
      <c r="N64" s="92"/>
      <c r="O64" s="92"/>
      <c r="P64" s="92"/>
      <c r="Q64" s="92"/>
      <c r="R64" s="92"/>
      <c r="S64" s="92"/>
      <c r="T64" s="92"/>
      <c r="U64" s="92"/>
      <c r="V64" s="92"/>
      <c r="W64" s="92"/>
      <c r="X64" s="92"/>
      <c r="Y64" s="92"/>
      <c r="Z64" s="92"/>
    </row>
    <row r="65" ht="14.25" customHeight="1">
      <c r="A65" s="414"/>
      <c r="B65" s="416"/>
      <c r="C65" s="416"/>
      <c r="D65" s="416"/>
      <c r="E65" s="414"/>
      <c r="F65" s="92"/>
      <c r="G65" s="92"/>
      <c r="H65" s="92"/>
      <c r="I65" s="92"/>
      <c r="J65" s="92"/>
      <c r="K65" s="92"/>
      <c r="L65" s="92"/>
      <c r="M65" s="92"/>
      <c r="N65" s="92"/>
      <c r="O65" s="92"/>
      <c r="P65" s="92"/>
      <c r="Q65" s="92"/>
      <c r="R65" s="92"/>
      <c r="S65" s="92"/>
      <c r="T65" s="92"/>
      <c r="U65" s="92"/>
      <c r="V65" s="92"/>
      <c r="W65" s="92"/>
      <c r="X65" s="92"/>
      <c r="Y65" s="92"/>
      <c r="Z65" s="92"/>
    </row>
    <row r="66" ht="14.25" customHeight="1">
      <c r="A66" s="414"/>
      <c r="B66" s="417"/>
      <c r="C66" s="417"/>
      <c r="D66" s="417"/>
      <c r="E66" s="414"/>
      <c r="F66" s="92"/>
      <c r="G66" s="92"/>
      <c r="H66" s="92"/>
      <c r="I66" s="92"/>
      <c r="J66" s="92"/>
      <c r="K66" s="92"/>
      <c r="L66" s="92"/>
      <c r="M66" s="92"/>
      <c r="N66" s="92"/>
      <c r="O66" s="92"/>
      <c r="P66" s="92"/>
      <c r="Q66" s="92"/>
      <c r="R66" s="92"/>
      <c r="S66" s="92"/>
      <c r="T66" s="92"/>
      <c r="U66" s="92"/>
      <c r="V66" s="92"/>
      <c r="W66" s="92"/>
      <c r="X66" s="92"/>
      <c r="Y66" s="92"/>
      <c r="Z66" s="92"/>
    </row>
    <row r="67" ht="14.25" customHeight="1">
      <c r="A67" s="414"/>
      <c r="B67" s="415"/>
      <c r="C67" s="415"/>
      <c r="D67" s="415"/>
      <c r="E67" s="414"/>
      <c r="F67" s="92"/>
      <c r="G67" s="92"/>
      <c r="H67" s="92"/>
      <c r="I67" s="92"/>
      <c r="J67" s="92"/>
      <c r="K67" s="92"/>
      <c r="L67" s="92"/>
      <c r="M67" s="92"/>
      <c r="N67" s="92"/>
      <c r="O67" s="92"/>
      <c r="P67" s="92"/>
      <c r="Q67" s="92"/>
      <c r="R67" s="92"/>
      <c r="S67" s="92"/>
      <c r="T67" s="92"/>
      <c r="U67" s="92"/>
      <c r="V67" s="92"/>
      <c r="W67" s="92"/>
      <c r="X67" s="92"/>
      <c r="Y67" s="92"/>
      <c r="Z67" s="92"/>
    </row>
    <row r="68" ht="14.25" customHeight="1">
      <c r="A68" s="414"/>
      <c r="B68" s="415"/>
      <c r="C68" s="415"/>
      <c r="D68" s="415"/>
      <c r="E68" s="414"/>
      <c r="F68" s="92"/>
      <c r="G68" s="92"/>
      <c r="H68" s="92"/>
      <c r="I68" s="92"/>
      <c r="J68" s="92"/>
      <c r="K68" s="92"/>
      <c r="L68" s="92"/>
      <c r="M68" s="92"/>
      <c r="N68" s="92"/>
      <c r="O68" s="92"/>
      <c r="P68" s="92"/>
      <c r="Q68" s="92"/>
      <c r="R68" s="92"/>
      <c r="S68" s="92"/>
      <c r="T68" s="92"/>
      <c r="U68" s="92"/>
      <c r="V68" s="92"/>
      <c r="W68" s="92"/>
      <c r="X68" s="92"/>
      <c r="Y68" s="92"/>
      <c r="Z68" s="92"/>
    </row>
    <row r="69" ht="14.25" customHeight="1">
      <c r="A69" s="414"/>
      <c r="B69" s="415"/>
      <c r="C69" s="415"/>
      <c r="D69" s="415"/>
      <c r="E69" s="414"/>
      <c r="F69" s="92"/>
      <c r="G69" s="92"/>
      <c r="H69" s="92"/>
      <c r="I69" s="92"/>
      <c r="J69" s="92"/>
      <c r="K69" s="92"/>
      <c r="L69" s="92"/>
      <c r="M69" s="92"/>
      <c r="N69" s="92"/>
      <c r="O69" s="92"/>
      <c r="P69" s="92"/>
      <c r="Q69" s="92"/>
      <c r="R69" s="92"/>
      <c r="S69" s="92"/>
      <c r="T69" s="92"/>
      <c r="U69" s="92"/>
      <c r="V69" s="92"/>
      <c r="W69" s="92"/>
      <c r="X69" s="92"/>
      <c r="Y69" s="92"/>
      <c r="Z69" s="92"/>
    </row>
    <row r="70" ht="14.25" customHeight="1">
      <c r="A70" s="414"/>
      <c r="B70" s="415"/>
      <c r="C70" s="415"/>
      <c r="D70" s="415"/>
      <c r="E70" s="414"/>
      <c r="F70" s="92"/>
      <c r="G70" s="92"/>
      <c r="H70" s="92"/>
      <c r="I70" s="92"/>
      <c r="J70" s="92"/>
      <c r="K70" s="92"/>
      <c r="L70" s="92"/>
      <c r="M70" s="92"/>
      <c r="N70" s="92"/>
      <c r="O70" s="92"/>
      <c r="P70" s="92"/>
      <c r="Q70" s="92"/>
      <c r="R70" s="92"/>
      <c r="S70" s="92"/>
      <c r="T70" s="92"/>
      <c r="U70" s="92"/>
      <c r="V70" s="92"/>
      <c r="W70" s="92"/>
      <c r="X70" s="92"/>
      <c r="Y70" s="92"/>
      <c r="Z70" s="92"/>
    </row>
    <row r="71" ht="14.25" customHeight="1">
      <c r="A71" s="414"/>
      <c r="B71" s="415"/>
      <c r="C71" s="415"/>
      <c r="D71" s="415"/>
      <c r="E71" s="414"/>
      <c r="F71" s="92"/>
      <c r="G71" s="92"/>
      <c r="H71" s="92"/>
      <c r="I71" s="92"/>
      <c r="J71" s="92"/>
      <c r="K71" s="92"/>
      <c r="L71" s="92"/>
      <c r="M71" s="92"/>
      <c r="N71" s="92"/>
      <c r="O71" s="92"/>
      <c r="P71" s="92"/>
      <c r="Q71" s="92"/>
      <c r="R71" s="92"/>
      <c r="S71" s="92"/>
      <c r="T71" s="92"/>
      <c r="U71" s="92"/>
      <c r="V71" s="92"/>
      <c r="W71" s="92"/>
      <c r="X71" s="92"/>
      <c r="Y71" s="92"/>
      <c r="Z71" s="92"/>
    </row>
    <row r="72" ht="14.25" customHeight="1">
      <c r="A72" s="414"/>
      <c r="B72" s="415"/>
      <c r="C72" s="415"/>
      <c r="D72" s="415"/>
      <c r="E72" s="414"/>
      <c r="F72" s="92"/>
      <c r="G72" s="92"/>
      <c r="H72" s="92"/>
      <c r="I72" s="92"/>
      <c r="J72" s="92"/>
      <c r="K72" s="92"/>
      <c r="L72" s="92"/>
      <c r="M72" s="92"/>
      <c r="N72" s="92"/>
      <c r="O72" s="92"/>
      <c r="P72" s="92"/>
      <c r="Q72" s="92"/>
      <c r="R72" s="92"/>
      <c r="S72" s="92"/>
      <c r="T72" s="92"/>
      <c r="U72" s="92"/>
      <c r="V72" s="92"/>
      <c r="W72" s="92"/>
      <c r="X72" s="92"/>
      <c r="Y72" s="92"/>
      <c r="Z72" s="92"/>
    </row>
    <row r="73" ht="14.25" customHeight="1">
      <c r="A73" s="414"/>
      <c r="B73" s="415"/>
      <c r="C73" s="415"/>
      <c r="D73" s="415"/>
      <c r="E73" s="414"/>
      <c r="F73" s="92"/>
      <c r="G73" s="92"/>
      <c r="H73" s="92"/>
      <c r="I73" s="92"/>
      <c r="J73" s="92"/>
      <c r="K73" s="92"/>
      <c r="L73" s="92"/>
      <c r="M73" s="92"/>
      <c r="N73" s="92"/>
      <c r="O73" s="92"/>
      <c r="P73" s="92"/>
      <c r="Q73" s="92"/>
      <c r="R73" s="92"/>
      <c r="S73" s="92"/>
      <c r="T73" s="92"/>
      <c r="U73" s="92"/>
      <c r="V73" s="92"/>
      <c r="W73" s="92"/>
      <c r="X73" s="92"/>
      <c r="Y73" s="92"/>
      <c r="Z73" s="92"/>
    </row>
    <row r="74" ht="14.25" customHeight="1">
      <c r="A74" s="414"/>
      <c r="B74" s="415"/>
      <c r="C74" s="415"/>
      <c r="D74" s="415"/>
      <c r="E74" s="414"/>
      <c r="F74" s="92"/>
      <c r="G74" s="92"/>
      <c r="H74" s="92"/>
      <c r="I74" s="92"/>
      <c r="J74" s="92"/>
      <c r="K74" s="92"/>
      <c r="L74" s="92"/>
      <c r="M74" s="92"/>
      <c r="N74" s="92"/>
      <c r="O74" s="92"/>
      <c r="P74" s="92"/>
      <c r="Q74" s="92"/>
      <c r="R74" s="92"/>
      <c r="S74" s="92"/>
      <c r="T74" s="92"/>
      <c r="U74" s="92"/>
      <c r="V74" s="92"/>
      <c r="W74" s="92"/>
      <c r="X74" s="92"/>
      <c r="Y74" s="92"/>
      <c r="Z74" s="92"/>
    </row>
    <row r="75" ht="14.25" customHeight="1">
      <c r="A75" s="414"/>
      <c r="B75" s="415"/>
      <c r="C75" s="415"/>
      <c r="D75" s="415"/>
      <c r="E75" s="414"/>
      <c r="F75" s="92"/>
      <c r="G75" s="92"/>
      <c r="H75" s="92"/>
      <c r="I75" s="92"/>
      <c r="J75" s="92"/>
      <c r="K75" s="92"/>
      <c r="L75" s="92"/>
      <c r="M75" s="92"/>
      <c r="N75" s="92"/>
      <c r="O75" s="92"/>
      <c r="P75" s="92"/>
      <c r="Q75" s="92"/>
      <c r="R75" s="92"/>
      <c r="S75" s="92"/>
      <c r="T75" s="92"/>
      <c r="U75" s="92"/>
      <c r="V75" s="92"/>
      <c r="W75" s="92"/>
      <c r="X75" s="92"/>
      <c r="Y75" s="92"/>
      <c r="Z75" s="92"/>
    </row>
    <row r="76" ht="14.25" customHeight="1">
      <c r="A76" s="414"/>
      <c r="B76" s="415"/>
      <c r="C76" s="415"/>
      <c r="D76" s="415"/>
      <c r="E76" s="414"/>
      <c r="F76" s="92"/>
      <c r="G76" s="92"/>
      <c r="H76" s="92"/>
      <c r="I76" s="92"/>
      <c r="J76" s="92"/>
      <c r="K76" s="92"/>
      <c r="L76" s="92"/>
      <c r="M76" s="92"/>
      <c r="N76" s="92"/>
      <c r="O76" s="92"/>
      <c r="P76" s="92"/>
      <c r="Q76" s="92"/>
      <c r="R76" s="92"/>
      <c r="S76" s="92"/>
      <c r="T76" s="92"/>
      <c r="U76" s="92"/>
      <c r="V76" s="92"/>
      <c r="W76" s="92"/>
      <c r="X76" s="92"/>
      <c r="Y76" s="92"/>
      <c r="Z76" s="92"/>
    </row>
    <row r="77" ht="14.25" customHeight="1">
      <c r="A77" s="414"/>
      <c r="B77" s="415"/>
      <c r="C77" s="415"/>
      <c r="D77" s="415"/>
      <c r="E77" s="414"/>
      <c r="F77" s="92"/>
      <c r="G77" s="92"/>
      <c r="H77" s="92"/>
      <c r="I77" s="92"/>
      <c r="J77" s="92"/>
      <c r="K77" s="92"/>
      <c r="L77" s="92"/>
      <c r="M77" s="92"/>
      <c r="N77" s="92"/>
      <c r="O77" s="92"/>
      <c r="P77" s="92"/>
      <c r="Q77" s="92"/>
      <c r="R77" s="92"/>
      <c r="S77" s="92"/>
      <c r="T77" s="92"/>
      <c r="U77" s="92"/>
      <c r="V77" s="92"/>
      <c r="W77" s="92"/>
      <c r="X77" s="92"/>
      <c r="Y77" s="92"/>
      <c r="Z77" s="92"/>
    </row>
    <row r="78" ht="14.25" customHeight="1">
      <c r="A78" s="414"/>
      <c r="B78" s="415"/>
      <c r="C78" s="415"/>
      <c r="D78" s="415"/>
      <c r="E78" s="414"/>
      <c r="F78" s="92"/>
      <c r="G78" s="92"/>
      <c r="H78" s="92"/>
      <c r="I78" s="92"/>
      <c r="J78" s="92"/>
      <c r="K78" s="92"/>
      <c r="L78" s="92"/>
      <c r="M78" s="92"/>
      <c r="N78" s="92"/>
      <c r="O78" s="92"/>
      <c r="P78" s="92"/>
      <c r="Q78" s="92"/>
      <c r="R78" s="92"/>
      <c r="S78" s="92"/>
      <c r="T78" s="92"/>
      <c r="U78" s="92"/>
      <c r="V78" s="92"/>
      <c r="W78" s="92"/>
      <c r="X78" s="92"/>
      <c r="Y78" s="92"/>
      <c r="Z78" s="92"/>
    </row>
    <row r="79" ht="14.25" customHeight="1">
      <c r="A79" s="414"/>
      <c r="B79" s="415"/>
      <c r="C79" s="415"/>
      <c r="D79" s="415"/>
      <c r="E79" s="414"/>
      <c r="F79" s="92"/>
      <c r="G79" s="92"/>
      <c r="H79" s="92"/>
      <c r="I79" s="92"/>
      <c r="J79" s="92"/>
      <c r="K79" s="92"/>
      <c r="L79" s="92"/>
      <c r="M79" s="92"/>
      <c r="N79" s="92"/>
      <c r="O79" s="92"/>
      <c r="P79" s="92"/>
      <c r="Q79" s="92"/>
      <c r="R79" s="92"/>
      <c r="S79" s="92"/>
      <c r="T79" s="92"/>
      <c r="U79" s="92"/>
      <c r="V79" s="92"/>
      <c r="W79" s="92"/>
      <c r="X79" s="92"/>
      <c r="Y79" s="92"/>
      <c r="Z79" s="92"/>
    </row>
    <row r="80" ht="14.25" customHeight="1">
      <c r="A80" s="414"/>
      <c r="B80" s="415"/>
      <c r="C80" s="415"/>
      <c r="D80" s="415"/>
      <c r="E80" s="414"/>
      <c r="F80" s="92"/>
      <c r="G80" s="92"/>
      <c r="H80" s="92"/>
      <c r="I80" s="92"/>
      <c r="J80" s="92"/>
      <c r="K80" s="92"/>
      <c r="L80" s="92"/>
      <c r="M80" s="92"/>
      <c r="N80" s="92"/>
      <c r="O80" s="92"/>
      <c r="P80" s="92"/>
      <c r="Q80" s="92"/>
      <c r="R80" s="92"/>
      <c r="S80" s="92"/>
      <c r="T80" s="92"/>
      <c r="U80" s="92"/>
      <c r="V80" s="92"/>
      <c r="W80" s="92"/>
      <c r="X80" s="92"/>
      <c r="Y80" s="92"/>
      <c r="Z80" s="92"/>
    </row>
    <row r="81" ht="14.25" customHeight="1">
      <c r="A81" s="414"/>
      <c r="B81" s="415"/>
      <c r="C81" s="415"/>
      <c r="D81" s="415"/>
      <c r="E81" s="414"/>
      <c r="F81" s="92"/>
      <c r="G81" s="92"/>
      <c r="H81" s="92"/>
      <c r="I81" s="92"/>
      <c r="J81" s="92"/>
      <c r="K81" s="92"/>
      <c r="L81" s="92"/>
      <c r="M81" s="92"/>
      <c r="N81" s="92"/>
      <c r="O81" s="92"/>
      <c r="P81" s="92"/>
      <c r="Q81" s="92"/>
      <c r="R81" s="92"/>
      <c r="S81" s="92"/>
      <c r="T81" s="92"/>
      <c r="U81" s="92"/>
      <c r="V81" s="92"/>
      <c r="W81" s="92"/>
      <c r="X81" s="92"/>
      <c r="Y81" s="92"/>
      <c r="Z81" s="92"/>
    </row>
    <row r="82" ht="14.25" customHeight="1">
      <c r="A82" s="414"/>
      <c r="B82" s="415"/>
      <c r="C82" s="415"/>
      <c r="D82" s="415"/>
      <c r="E82" s="414"/>
      <c r="F82" s="92"/>
      <c r="G82" s="92"/>
      <c r="H82" s="92"/>
      <c r="I82" s="92"/>
      <c r="J82" s="92"/>
      <c r="K82" s="92"/>
      <c r="L82" s="92"/>
      <c r="M82" s="92"/>
      <c r="N82" s="92"/>
      <c r="O82" s="92"/>
      <c r="P82" s="92"/>
      <c r="Q82" s="92"/>
      <c r="R82" s="92"/>
      <c r="S82" s="92"/>
      <c r="T82" s="92"/>
      <c r="U82" s="92"/>
      <c r="V82" s="92"/>
      <c r="W82" s="92"/>
      <c r="X82" s="92"/>
      <c r="Y82" s="92"/>
      <c r="Z82" s="92"/>
    </row>
    <row r="83" ht="14.25" customHeight="1">
      <c r="A83" s="414"/>
      <c r="B83" s="415"/>
      <c r="C83" s="415"/>
      <c r="D83" s="415"/>
      <c r="E83" s="414"/>
      <c r="F83" s="92"/>
      <c r="G83" s="92"/>
      <c r="H83" s="92"/>
      <c r="I83" s="92"/>
      <c r="J83" s="92"/>
      <c r="K83" s="92"/>
      <c r="L83" s="92"/>
      <c r="M83" s="92"/>
      <c r="N83" s="92"/>
      <c r="O83" s="92"/>
      <c r="P83" s="92"/>
      <c r="Q83" s="92"/>
      <c r="R83" s="92"/>
      <c r="S83" s="92"/>
      <c r="T83" s="92"/>
      <c r="U83" s="92"/>
      <c r="V83" s="92"/>
      <c r="W83" s="92"/>
      <c r="X83" s="92"/>
      <c r="Y83" s="92"/>
      <c r="Z83" s="92"/>
    </row>
    <row r="84" ht="14.25" customHeight="1">
      <c r="A84" s="414"/>
      <c r="B84" s="415"/>
      <c r="C84" s="415"/>
      <c r="D84" s="415"/>
      <c r="E84" s="414"/>
      <c r="F84" s="92"/>
      <c r="G84" s="92"/>
      <c r="H84" s="92"/>
      <c r="I84" s="92"/>
      <c r="J84" s="92"/>
      <c r="K84" s="92"/>
      <c r="L84" s="92"/>
      <c r="M84" s="92"/>
      <c r="N84" s="92"/>
      <c r="O84" s="92"/>
      <c r="P84" s="92"/>
      <c r="Q84" s="92"/>
      <c r="R84" s="92"/>
      <c r="S84" s="92"/>
      <c r="T84" s="92"/>
      <c r="U84" s="92"/>
      <c r="V84" s="92"/>
      <c r="W84" s="92"/>
      <c r="X84" s="92"/>
      <c r="Y84" s="92"/>
      <c r="Z84" s="92"/>
    </row>
    <row r="85" ht="14.25" customHeight="1">
      <c r="A85" s="414"/>
      <c r="B85" s="415"/>
      <c r="C85" s="415"/>
      <c r="D85" s="415"/>
      <c r="E85" s="414"/>
      <c r="F85" s="92"/>
      <c r="G85" s="92"/>
      <c r="H85" s="92"/>
      <c r="I85" s="92"/>
      <c r="J85" s="92"/>
      <c r="K85" s="92"/>
      <c r="L85" s="92"/>
      <c r="M85" s="92"/>
      <c r="N85" s="92"/>
      <c r="O85" s="92"/>
      <c r="P85" s="92"/>
      <c r="Q85" s="92"/>
      <c r="R85" s="92"/>
      <c r="S85" s="92"/>
      <c r="T85" s="92"/>
      <c r="U85" s="92"/>
      <c r="V85" s="92"/>
      <c r="W85" s="92"/>
      <c r="X85" s="92"/>
      <c r="Y85" s="92"/>
      <c r="Z85" s="92"/>
    </row>
    <row r="86" ht="14.25" customHeight="1">
      <c r="A86" s="414"/>
      <c r="B86" s="415"/>
      <c r="C86" s="415"/>
      <c r="D86" s="415"/>
      <c r="E86" s="414"/>
      <c r="F86" s="92"/>
      <c r="G86" s="92"/>
      <c r="H86" s="92"/>
      <c r="I86" s="92"/>
      <c r="J86" s="92"/>
      <c r="K86" s="92"/>
      <c r="L86" s="92"/>
      <c r="M86" s="92"/>
      <c r="N86" s="92"/>
      <c r="O86" s="92"/>
      <c r="P86" s="92"/>
      <c r="Q86" s="92"/>
      <c r="R86" s="92"/>
      <c r="S86" s="92"/>
      <c r="T86" s="92"/>
      <c r="U86" s="92"/>
      <c r="V86" s="92"/>
      <c r="W86" s="92"/>
      <c r="X86" s="92"/>
      <c r="Y86" s="92"/>
      <c r="Z86" s="92"/>
    </row>
    <row r="87" ht="14.25" customHeight="1">
      <c r="A87" s="414"/>
      <c r="B87" s="415"/>
      <c r="C87" s="415"/>
      <c r="D87" s="415"/>
      <c r="E87" s="414"/>
      <c r="F87" s="92"/>
      <c r="G87" s="92"/>
      <c r="H87" s="92"/>
      <c r="I87" s="92"/>
      <c r="J87" s="92"/>
      <c r="K87" s="92"/>
      <c r="L87" s="92"/>
      <c r="M87" s="92"/>
      <c r="N87" s="92"/>
      <c r="O87" s="92"/>
      <c r="P87" s="92"/>
      <c r="Q87" s="92"/>
      <c r="R87" s="92"/>
      <c r="S87" s="92"/>
      <c r="T87" s="92"/>
      <c r="U87" s="92"/>
      <c r="V87" s="92"/>
      <c r="W87" s="92"/>
      <c r="X87" s="92"/>
      <c r="Y87" s="92"/>
      <c r="Z87" s="92"/>
    </row>
    <row r="88" ht="14.25" customHeight="1">
      <c r="A88" s="414"/>
      <c r="B88" s="415"/>
      <c r="C88" s="415"/>
      <c r="D88" s="415"/>
      <c r="E88" s="414"/>
      <c r="F88" s="92"/>
      <c r="G88" s="92"/>
      <c r="H88" s="92"/>
      <c r="I88" s="92"/>
      <c r="J88" s="92"/>
      <c r="K88" s="92"/>
      <c r="L88" s="92"/>
      <c r="M88" s="92"/>
      <c r="N88" s="92"/>
      <c r="O88" s="92"/>
      <c r="P88" s="92"/>
      <c r="Q88" s="92"/>
      <c r="R88" s="92"/>
      <c r="S88" s="92"/>
      <c r="T88" s="92"/>
      <c r="U88" s="92"/>
      <c r="V88" s="92"/>
      <c r="W88" s="92"/>
      <c r="X88" s="92"/>
      <c r="Y88" s="92"/>
      <c r="Z88" s="92"/>
    </row>
    <row r="89" ht="14.25" customHeight="1">
      <c r="A89" s="414"/>
      <c r="B89" s="415"/>
      <c r="C89" s="415"/>
      <c r="D89" s="415"/>
      <c r="E89" s="414"/>
      <c r="F89" s="92"/>
      <c r="G89" s="92"/>
      <c r="H89" s="92"/>
      <c r="I89" s="92"/>
      <c r="J89" s="92"/>
      <c r="K89" s="92"/>
      <c r="L89" s="92"/>
      <c r="M89" s="92"/>
      <c r="N89" s="92"/>
      <c r="O89" s="92"/>
      <c r="P89" s="92"/>
      <c r="Q89" s="92"/>
      <c r="R89" s="92"/>
      <c r="S89" s="92"/>
      <c r="T89" s="92"/>
      <c r="U89" s="92"/>
      <c r="V89" s="92"/>
      <c r="W89" s="92"/>
      <c r="X89" s="92"/>
      <c r="Y89" s="92"/>
      <c r="Z89" s="92"/>
    </row>
    <row r="90" ht="14.25" customHeight="1">
      <c r="A90" s="414"/>
      <c r="B90" s="415"/>
      <c r="C90" s="415"/>
      <c r="D90" s="415"/>
      <c r="E90" s="414"/>
      <c r="F90" s="92"/>
      <c r="G90" s="92"/>
      <c r="H90" s="92"/>
      <c r="I90" s="92"/>
      <c r="J90" s="92"/>
      <c r="K90" s="92"/>
      <c r="L90" s="92"/>
      <c r="M90" s="92"/>
      <c r="N90" s="92"/>
      <c r="O90" s="92"/>
      <c r="P90" s="92"/>
      <c r="Q90" s="92"/>
      <c r="R90" s="92"/>
      <c r="S90" s="92"/>
      <c r="T90" s="92"/>
      <c r="U90" s="92"/>
      <c r="V90" s="92"/>
      <c r="W90" s="92"/>
      <c r="X90" s="92"/>
      <c r="Y90" s="92"/>
      <c r="Z90" s="92"/>
    </row>
    <row r="91" ht="14.25" customHeight="1">
      <c r="A91" s="414"/>
      <c r="B91" s="415"/>
      <c r="C91" s="415"/>
      <c r="D91" s="415"/>
      <c r="E91" s="414"/>
      <c r="F91" s="92"/>
      <c r="G91" s="92"/>
      <c r="H91" s="92"/>
      <c r="I91" s="92"/>
      <c r="J91" s="92"/>
      <c r="K91" s="92"/>
      <c r="L91" s="92"/>
      <c r="M91" s="92"/>
      <c r="N91" s="92"/>
      <c r="O91" s="92"/>
      <c r="P91" s="92"/>
      <c r="Q91" s="92"/>
      <c r="R91" s="92"/>
      <c r="S91" s="92"/>
      <c r="T91" s="92"/>
      <c r="U91" s="92"/>
      <c r="V91" s="92"/>
      <c r="W91" s="92"/>
      <c r="X91" s="92"/>
      <c r="Y91" s="92"/>
      <c r="Z91" s="92"/>
    </row>
    <row r="92" ht="14.25" customHeight="1">
      <c r="A92" s="414"/>
      <c r="B92" s="415"/>
      <c r="C92" s="415"/>
      <c r="D92" s="415"/>
      <c r="E92" s="414"/>
      <c r="F92" s="92"/>
      <c r="G92" s="92"/>
      <c r="H92" s="92"/>
      <c r="I92" s="92"/>
      <c r="J92" s="92"/>
      <c r="K92" s="92"/>
      <c r="L92" s="92"/>
      <c r="M92" s="92"/>
      <c r="N92" s="92"/>
      <c r="O92" s="92"/>
      <c r="P92" s="92"/>
      <c r="Q92" s="92"/>
      <c r="R92" s="92"/>
      <c r="S92" s="92"/>
      <c r="T92" s="92"/>
      <c r="U92" s="92"/>
      <c r="V92" s="92"/>
      <c r="W92" s="92"/>
      <c r="X92" s="92"/>
      <c r="Y92" s="92"/>
      <c r="Z92" s="92"/>
    </row>
    <row r="93" ht="14.25" customHeight="1">
      <c r="A93" s="414"/>
      <c r="B93" s="415"/>
      <c r="C93" s="415"/>
      <c r="D93" s="415"/>
      <c r="E93" s="414"/>
      <c r="F93" s="92"/>
      <c r="G93" s="92"/>
      <c r="H93" s="92"/>
      <c r="I93" s="92"/>
      <c r="J93" s="92"/>
      <c r="K93" s="92"/>
      <c r="L93" s="92"/>
      <c r="M93" s="92"/>
      <c r="N93" s="92"/>
      <c r="O93" s="92"/>
      <c r="P93" s="92"/>
      <c r="Q93" s="92"/>
      <c r="R93" s="92"/>
      <c r="S93" s="92"/>
      <c r="T93" s="92"/>
      <c r="U93" s="92"/>
      <c r="V93" s="92"/>
      <c r="W93" s="92"/>
      <c r="X93" s="92"/>
      <c r="Y93" s="92"/>
      <c r="Z93" s="92"/>
    </row>
    <row r="94" ht="14.25" customHeight="1">
      <c r="A94" s="414"/>
      <c r="B94" s="415"/>
      <c r="C94" s="415"/>
      <c r="D94" s="415"/>
      <c r="E94" s="414"/>
      <c r="F94" s="92"/>
      <c r="G94" s="92"/>
      <c r="H94" s="92"/>
      <c r="I94" s="92"/>
      <c r="J94" s="92"/>
      <c r="K94" s="92"/>
      <c r="L94" s="92"/>
      <c r="M94" s="92"/>
      <c r="N94" s="92"/>
      <c r="O94" s="92"/>
      <c r="P94" s="92"/>
      <c r="Q94" s="92"/>
      <c r="R94" s="92"/>
      <c r="S94" s="92"/>
      <c r="T94" s="92"/>
      <c r="U94" s="92"/>
      <c r="V94" s="92"/>
      <c r="W94" s="92"/>
      <c r="X94" s="92"/>
      <c r="Y94" s="92"/>
      <c r="Z94" s="92"/>
    </row>
    <row r="95" ht="14.25" customHeight="1">
      <c r="A95" s="414"/>
      <c r="B95" s="415"/>
      <c r="C95" s="415"/>
      <c r="D95" s="415"/>
      <c r="E95" s="414"/>
      <c r="F95" s="92"/>
      <c r="G95" s="92"/>
      <c r="H95" s="92"/>
      <c r="I95" s="92"/>
      <c r="J95" s="92"/>
      <c r="K95" s="92"/>
      <c r="L95" s="92"/>
      <c r="M95" s="92"/>
      <c r="N95" s="92"/>
      <c r="O95" s="92"/>
      <c r="P95" s="92"/>
      <c r="Q95" s="92"/>
      <c r="R95" s="92"/>
      <c r="S95" s="92"/>
      <c r="T95" s="92"/>
      <c r="U95" s="92"/>
      <c r="V95" s="92"/>
      <c r="W95" s="92"/>
      <c r="X95" s="92"/>
      <c r="Y95" s="92"/>
      <c r="Z95" s="92"/>
    </row>
    <row r="96" ht="14.25" customHeight="1">
      <c r="A96" s="414"/>
      <c r="B96" s="415"/>
      <c r="C96" s="415"/>
      <c r="D96" s="415"/>
      <c r="E96" s="414"/>
      <c r="F96" s="92"/>
      <c r="G96" s="92"/>
      <c r="H96" s="92"/>
      <c r="I96" s="92"/>
      <c r="J96" s="92"/>
      <c r="K96" s="92"/>
      <c r="L96" s="92"/>
      <c r="M96" s="92"/>
      <c r="N96" s="92"/>
      <c r="O96" s="92"/>
      <c r="P96" s="92"/>
      <c r="Q96" s="92"/>
      <c r="R96" s="92"/>
      <c r="S96" s="92"/>
      <c r="T96" s="92"/>
      <c r="U96" s="92"/>
      <c r="V96" s="92"/>
      <c r="W96" s="92"/>
      <c r="X96" s="92"/>
      <c r="Y96" s="92"/>
      <c r="Z96" s="92"/>
    </row>
    <row r="97" ht="14.25" customHeight="1">
      <c r="A97" s="414"/>
      <c r="B97" s="415"/>
      <c r="C97" s="415"/>
      <c r="D97" s="415"/>
      <c r="E97" s="414"/>
      <c r="F97" s="92"/>
      <c r="G97" s="92"/>
      <c r="H97" s="92"/>
      <c r="I97" s="92"/>
      <c r="J97" s="92"/>
      <c r="K97" s="92"/>
      <c r="L97" s="92"/>
      <c r="M97" s="92"/>
      <c r="N97" s="92"/>
      <c r="O97" s="92"/>
      <c r="P97" s="92"/>
      <c r="Q97" s="92"/>
      <c r="R97" s="92"/>
      <c r="S97" s="92"/>
      <c r="T97" s="92"/>
      <c r="U97" s="92"/>
      <c r="V97" s="92"/>
      <c r="W97" s="92"/>
      <c r="X97" s="92"/>
      <c r="Y97" s="92"/>
      <c r="Z97" s="92"/>
    </row>
    <row r="98" ht="14.25" customHeight="1">
      <c r="A98" s="414"/>
      <c r="B98" s="415"/>
      <c r="C98" s="415"/>
      <c r="D98" s="415"/>
      <c r="E98" s="414"/>
      <c r="F98" s="92"/>
      <c r="G98" s="92"/>
      <c r="H98" s="92"/>
      <c r="I98" s="92"/>
      <c r="J98" s="92"/>
      <c r="K98" s="92"/>
      <c r="L98" s="92"/>
      <c r="M98" s="92"/>
      <c r="N98" s="92"/>
      <c r="O98" s="92"/>
      <c r="P98" s="92"/>
      <c r="Q98" s="92"/>
      <c r="R98" s="92"/>
      <c r="S98" s="92"/>
      <c r="T98" s="92"/>
      <c r="U98" s="92"/>
      <c r="V98" s="92"/>
      <c r="W98" s="92"/>
      <c r="X98" s="92"/>
      <c r="Y98" s="92"/>
      <c r="Z98" s="92"/>
    </row>
    <row r="99" ht="14.25" customHeight="1">
      <c r="A99" s="414"/>
      <c r="B99" s="415"/>
      <c r="C99" s="415"/>
      <c r="D99" s="415"/>
      <c r="E99" s="414"/>
      <c r="F99" s="92"/>
      <c r="G99" s="92"/>
      <c r="H99" s="92"/>
      <c r="I99" s="92"/>
      <c r="J99" s="92"/>
      <c r="K99" s="92"/>
      <c r="L99" s="92"/>
      <c r="M99" s="92"/>
      <c r="N99" s="92"/>
      <c r="O99" s="92"/>
      <c r="P99" s="92"/>
      <c r="Q99" s="92"/>
      <c r="R99" s="92"/>
      <c r="S99" s="92"/>
      <c r="T99" s="92"/>
      <c r="U99" s="92"/>
      <c r="V99" s="92"/>
      <c r="W99" s="92"/>
      <c r="X99" s="92"/>
      <c r="Y99" s="92"/>
      <c r="Z99" s="92"/>
    </row>
    <row r="100" ht="14.25" customHeight="1">
      <c r="A100" s="414"/>
      <c r="B100" s="415"/>
      <c r="C100" s="415"/>
      <c r="D100" s="415"/>
      <c r="E100" s="414"/>
      <c r="F100" s="92"/>
      <c r="G100" s="92"/>
      <c r="H100" s="92"/>
      <c r="I100" s="92"/>
      <c r="J100" s="92"/>
      <c r="K100" s="92"/>
      <c r="L100" s="92"/>
      <c r="M100" s="92"/>
      <c r="N100" s="92"/>
      <c r="O100" s="92"/>
      <c r="P100" s="92"/>
      <c r="Q100" s="92"/>
      <c r="R100" s="92"/>
      <c r="S100" s="92"/>
      <c r="T100" s="92"/>
      <c r="U100" s="92"/>
      <c r="V100" s="92"/>
      <c r="W100" s="92"/>
      <c r="X100" s="92"/>
      <c r="Y100" s="92"/>
      <c r="Z100" s="92"/>
    </row>
    <row r="101" ht="14.25" customHeight="1">
      <c r="A101" s="414"/>
      <c r="B101" s="415"/>
      <c r="C101" s="415"/>
      <c r="D101" s="415"/>
      <c r="E101" s="414"/>
      <c r="F101" s="92"/>
      <c r="G101" s="92"/>
      <c r="H101" s="92"/>
      <c r="I101" s="92"/>
      <c r="J101" s="92"/>
      <c r="K101" s="92"/>
      <c r="L101" s="92"/>
      <c r="M101" s="92"/>
      <c r="N101" s="92"/>
      <c r="O101" s="92"/>
      <c r="P101" s="92"/>
      <c r="Q101" s="92"/>
      <c r="R101" s="92"/>
      <c r="S101" s="92"/>
      <c r="T101" s="92"/>
      <c r="U101" s="92"/>
      <c r="V101" s="92"/>
      <c r="W101" s="92"/>
      <c r="X101" s="92"/>
      <c r="Y101" s="92"/>
      <c r="Z101" s="92"/>
    </row>
    <row r="102" ht="14.25" customHeight="1">
      <c r="A102" s="414"/>
      <c r="B102" s="415"/>
      <c r="C102" s="415"/>
      <c r="D102" s="415"/>
      <c r="E102" s="414"/>
      <c r="F102" s="92"/>
      <c r="G102" s="92"/>
      <c r="H102" s="92"/>
      <c r="I102" s="92"/>
      <c r="J102" s="92"/>
      <c r="K102" s="92"/>
      <c r="L102" s="92"/>
      <c r="M102" s="92"/>
      <c r="N102" s="92"/>
      <c r="O102" s="92"/>
      <c r="P102" s="92"/>
      <c r="Q102" s="92"/>
      <c r="R102" s="92"/>
      <c r="S102" s="92"/>
      <c r="T102" s="92"/>
      <c r="U102" s="92"/>
      <c r="V102" s="92"/>
      <c r="W102" s="92"/>
      <c r="X102" s="92"/>
      <c r="Y102" s="92"/>
      <c r="Z102" s="92"/>
    </row>
    <row r="103" ht="14.25" customHeight="1">
      <c r="A103" s="414"/>
      <c r="B103" s="415"/>
      <c r="C103" s="415"/>
      <c r="D103" s="415"/>
      <c r="E103" s="414"/>
      <c r="F103" s="92"/>
      <c r="G103" s="92"/>
      <c r="H103" s="92"/>
      <c r="I103" s="92"/>
      <c r="J103" s="92"/>
      <c r="K103" s="92"/>
      <c r="L103" s="92"/>
      <c r="M103" s="92"/>
      <c r="N103" s="92"/>
      <c r="O103" s="92"/>
      <c r="P103" s="92"/>
      <c r="Q103" s="92"/>
      <c r="R103" s="92"/>
      <c r="S103" s="92"/>
      <c r="T103" s="92"/>
      <c r="U103" s="92"/>
      <c r="V103" s="92"/>
      <c r="W103" s="92"/>
      <c r="X103" s="92"/>
      <c r="Y103" s="92"/>
      <c r="Z103" s="92"/>
    </row>
    <row r="104" ht="14.25" customHeight="1">
      <c r="A104" s="414"/>
      <c r="B104" s="415"/>
      <c r="C104" s="415"/>
      <c r="D104" s="415"/>
      <c r="E104" s="414"/>
      <c r="F104" s="92"/>
      <c r="G104" s="92"/>
      <c r="H104" s="92"/>
      <c r="I104" s="92"/>
      <c r="J104" s="92"/>
      <c r="K104" s="92"/>
      <c r="L104" s="92"/>
      <c r="M104" s="92"/>
      <c r="N104" s="92"/>
      <c r="O104" s="92"/>
      <c r="P104" s="92"/>
      <c r="Q104" s="92"/>
      <c r="R104" s="92"/>
      <c r="S104" s="92"/>
      <c r="T104" s="92"/>
      <c r="U104" s="92"/>
      <c r="V104" s="92"/>
      <c r="W104" s="92"/>
      <c r="X104" s="92"/>
      <c r="Y104" s="92"/>
      <c r="Z104" s="92"/>
    </row>
    <row r="105" ht="14.25" customHeight="1">
      <c r="A105" s="414"/>
      <c r="B105" s="415"/>
      <c r="C105" s="415"/>
      <c r="D105" s="415"/>
      <c r="E105" s="414"/>
      <c r="F105" s="92"/>
      <c r="G105" s="92"/>
      <c r="H105" s="92"/>
      <c r="I105" s="92"/>
      <c r="J105" s="92"/>
      <c r="K105" s="92"/>
      <c r="L105" s="92"/>
      <c r="M105" s="92"/>
      <c r="N105" s="92"/>
      <c r="O105" s="92"/>
      <c r="P105" s="92"/>
      <c r="Q105" s="92"/>
      <c r="R105" s="92"/>
      <c r="S105" s="92"/>
      <c r="T105" s="92"/>
      <c r="U105" s="92"/>
      <c r="V105" s="92"/>
      <c r="W105" s="92"/>
      <c r="X105" s="92"/>
      <c r="Y105" s="92"/>
      <c r="Z105" s="92"/>
    </row>
    <row r="106" ht="14.25" customHeight="1">
      <c r="A106" s="414"/>
      <c r="B106" s="415"/>
      <c r="C106" s="415"/>
      <c r="D106" s="415"/>
      <c r="E106" s="414"/>
      <c r="F106" s="92"/>
      <c r="G106" s="92"/>
      <c r="H106" s="92"/>
      <c r="I106" s="92"/>
      <c r="J106" s="92"/>
      <c r="K106" s="92"/>
      <c r="L106" s="92"/>
      <c r="M106" s="92"/>
      <c r="N106" s="92"/>
      <c r="O106" s="92"/>
      <c r="P106" s="92"/>
      <c r="Q106" s="92"/>
      <c r="R106" s="92"/>
      <c r="S106" s="92"/>
      <c r="T106" s="92"/>
      <c r="U106" s="92"/>
      <c r="V106" s="92"/>
      <c r="W106" s="92"/>
      <c r="X106" s="92"/>
      <c r="Y106" s="92"/>
      <c r="Z106" s="92"/>
    </row>
    <row r="107" ht="14.25" customHeight="1">
      <c r="A107" s="414"/>
      <c r="B107" s="415"/>
      <c r="C107" s="415"/>
      <c r="D107" s="415"/>
      <c r="E107" s="414"/>
      <c r="F107" s="92"/>
      <c r="G107" s="92"/>
      <c r="H107" s="92"/>
      <c r="I107" s="92"/>
      <c r="J107" s="92"/>
      <c r="K107" s="92"/>
      <c r="L107" s="92"/>
      <c r="M107" s="92"/>
      <c r="N107" s="92"/>
      <c r="O107" s="92"/>
      <c r="P107" s="92"/>
      <c r="Q107" s="92"/>
      <c r="R107" s="92"/>
      <c r="S107" s="92"/>
      <c r="T107" s="92"/>
      <c r="U107" s="92"/>
      <c r="V107" s="92"/>
      <c r="W107" s="92"/>
      <c r="X107" s="92"/>
      <c r="Y107" s="92"/>
      <c r="Z107" s="92"/>
    </row>
    <row r="108" ht="14.25" customHeight="1">
      <c r="A108" s="414"/>
      <c r="B108" s="415"/>
      <c r="C108" s="415"/>
      <c r="D108" s="415"/>
      <c r="E108" s="414"/>
      <c r="F108" s="92"/>
      <c r="G108" s="92"/>
      <c r="H108" s="92"/>
      <c r="I108" s="92"/>
      <c r="J108" s="92"/>
      <c r="K108" s="92"/>
      <c r="L108" s="92"/>
      <c r="M108" s="92"/>
      <c r="N108" s="92"/>
      <c r="O108" s="92"/>
      <c r="P108" s="92"/>
      <c r="Q108" s="92"/>
      <c r="R108" s="92"/>
      <c r="S108" s="92"/>
      <c r="T108" s="92"/>
      <c r="U108" s="92"/>
      <c r="V108" s="92"/>
      <c r="W108" s="92"/>
      <c r="X108" s="92"/>
      <c r="Y108" s="92"/>
      <c r="Z108" s="92"/>
    </row>
    <row r="109" ht="14.25" customHeight="1">
      <c r="A109" s="414"/>
      <c r="B109" s="415"/>
      <c r="C109" s="415"/>
      <c r="D109" s="415"/>
      <c r="E109" s="414"/>
      <c r="F109" s="92"/>
      <c r="G109" s="92"/>
      <c r="H109" s="92"/>
      <c r="I109" s="92"/>
      <c r="J109" s="92"/>
      <c r="K109" s="92"/>
      <c r="L109" s="92"/>
      <c r="M109" s="92"/>
      <c r="N109" s="92"/>
      <c r="O109" s="92"/>
      <c r="P109" s="92"/>
      <c r="Q109" s="92"/>
      <c r="R109" s="92"/>
      <c r="S109" s="92"/>
      <c r="T109" s="92"/>
      <c r="U109" s="92"/>
      <c r="V109" s="92"/>
      <c r="W109" s="92"/>
      <c r="X109" s="92"/>
      <c r="Y109" s="92"/>
      <c r="Z109" s="92"/>
    </row>
    <row r="110" ht="14.25" customHeight="1">
      <c r="A110" s="414"/>
      <c r="B110" s="415"/>
      <c r="C110" s="415"/>
      <c r="D110" s="415"/>
      <c r="E110" s="414"/>
      <c r="F110" s="92"/>
      <c r="G110" s="92"/>
      <c r="H110" s="92"/>
      <c r="I110" s="92"/>
      <c r="J110" s="92"/>
      <c r="K110" s="92"/>
      <c r="L110" s="92"/>
      <c r="M110" s="92"/>
      <c r="N110" s="92"/>
      <c r="O110" s="92"/>
      <c r="P110" s="92"/>
      <c r="Q110" s="92"/>
      <c r="R110" s="92"/>
      <c r="S110" s="92"/>
      <c r="T110" s="92"/>
      <c r="U110" s="92"/>
      <c r="V110" s="92"/>
      <c r="W110" s="92"/>
      <c r="X110" s="92"/>
      <c r="Y110" s="92"/>
      <c r="Z110" s="92"/>
    </row>
    <row r="111" ht="14.25" customHeight="1">
      <c r="A111" s="414"/>
      <c r="B111" s="415"/>
      <c r="C111" s="415"/>
      <c r="D111" s="415"/>
      <c r="E111" s="414"/>
      <c r="F111" s="92"/>
      <c r="G111" s="92"/>
      <c r="H111" s="92"/>
      <c r="I111" s="92"/>
      <c r="J111" s="92"/>
      <c r="K111" s="92"/>
      <c r="L111" s="92"/>
      <c r="M111" s="92"/>
      <c r="N111" s="92"/>
      <c r="O111" s="92"/>
      <c r="P111" s="92"/>
      <c r="Q111" s="92"/>
      <c r="R111" s="92"/>
      <c r="S111" s="92"/>
      <c r="T111" s="92"/>
      <c r="U111" s="92"/>
      <c r="V111" s="92"/>
      <c r="W111" s="92"/>
      <c r="X111" s="92"/>
      <c r="Y111" s="92"/>
      <c r="Z111" s="92"/>
    </row>
    <row r="112" ht="14.25" customHeight="1">
      <c r="A112" s="414"/>
      <c r="B112" s="415"/>
      <c r="C112" s="415"/>
      <c r="D112" s="415"/>
      <c r="E112" s="414"/>
      <c r="F112" s="92"/>
      <c r="G112" s="92"/>
      <c r="H112" s="92"/>
      <c r="I112" s="92"/>
      <c r="J112" s="92"/>
      <c r="K112" s="92"/>
      <c r="L112" s="92"/>
      <c r="M112" s="92"/>
      <c r="N112" s="92"/>
      <c r="O112" s="92"/>
      <c r="P112" s="92"/>
      <c r="Q112" s="92"/>
      <c r="R112" s="92"/>
      <c r="S112" s="92"/>
      <c r="T112" s="92"/>
      <c r="U112" s="92"/>
      <c r="V112" s="92"/>
      <c r="W112" s="92"/>
      <c r="X112" s="92"/>
      <c r="Y112" s="92"/>
      <c r="Z112" s="92"/>
    </row>
    <row r="113" ht="14.25" customHeight="1">
      <c r="A113" s="414"/>
      <c r="B113" s="415"/>
      <c r="C113" s="415"/>
      <c r="D113" s="415"/>
      <c r="E113" s="414"/>
      <c r="F113" s="92"/>
      <c r="G113" s="92"/>
      <c r="H113" s="92"/>
      <c r="I113" s="92"/>
      <c r="J113" s="92"/>
      <c r="K113" s="92"/>
      <c r="L113" s="92"/>
      <c r="M113" s="92"/>
      <c r="N113" s="92"/>
      <c r="O113" s="92"/>
      <c r="P113" s="92"/>
      <c r="Q113" s="92"/>
      <c r="R113" s="92"/>
      <c r="S113" s="92"/>
      <c r="T113" s="92"/>
      <c r="U113" s="92"/>
      <c r="V113" s="92"/>
      <c r="W113" s="92"/>
      <c r="X113" s="92"/>
      <c r="Y113" s="92"/>
      <c r="Z113" s="92"/>
    </row>
    <row r="114" ht="14.25" customHeight="1">
      <c r="A114" s="414"/>
      <c r="B114" s="415"/>
      <c r="C114" s="415"/>
      <c r="D114" s="415"/>
      <c r="E114" s="414"/>
      <c r="F114" s="92"/>
      <c r="G114" s="92"/>
      <c r="H114" s="92"/>
      <c r="I114" s="92"/>
      <c r="J114" s="92"/>
      <c r="K114" s="92"/>
      <c r="L114" s="92"/>
      <c r="M114" s="92"/>
      <c r="N114" s="92"/>
      <c r="O114" s="92"/>
      <c r="P114" s="92"/>
      <c r="Q114" s="92"/>
      <c r="R114" s="92"/>
      <c r="S114" s="92"/>
      <c r="T114" s="92"/>
      <c r="U114" s="92"/>
      <c r="V114" s="92"/>
      <c r="W114" s="92"/>
      <c r="X114" s="92"/>
      <c r="Y114" s="92"/>
      <c r="Z114" s="92"/>
    </row>
    <row r="115" ht="14.25" customHeight="1">
      <c r="A115" s="414"/>
      <c r="B115" s="415"/>
      <c r="C115" s="415"/>
      <c r="D115" s="415"/>
      <c r="E115" s="414"/>
      <c r="F115" s="92"/>
      <c r="G115" s="92"/>
      <c r="H115" s="92"/>
      <c r="I115" s="92"/>
      <c r="J115" s="92"/>
      <c r="K115" s="92"/>
      <c r="L115" s="92"/>
      <c r="M115" s="92"/>
      <c r="N115" s="92"/>
      <c r="O115" s="92"/>
      <c r="P115" s="92"/>
      <c r="Q115" s="92"/>
      <c r="R115" s="92"/>
      <c r="S115" s="92"/>
      <c r="T115" s="92"/>
      <c r="U115" s="92"/>
      <c r="V115" s="92"/>
      <c r="W115" s="92"/>
      <c r="X115" s="92"/>
      <c r="Y115" s="92"/>
      <c r="Z115" s="92"/>
    </row>
    <row r="116" ht="14.25" customHeight="1">
      <c r="A116" s="414"/>
      <c r="B116" s="415"/>
      <c r="C116" s="415"/>
      <c r="D116" s="415"/>
      <c r="E116" s="414"/>
      <c r="F116" s="92"/>
      <c r="G116" s="92"/>
      <c r="H116" s="92"/>
      <c r="I116" s="92"/>
      <c r="J116" s="92"/>
      <c r="K116" s="92"/>
      <c r="L116" s="92"/>
      <c r="M116" s="92"/>
      <c r="N116" s="92"/>
      <c r="O116" s="92"/>
      <c r="P116" s="92"/>
      <c r="Q116" s="92"/>
      <c r="R116" s="92"/>
      <c r="S116" s="92"/>
      <c r="T116" s="92"/>
      <c r="U116" s="92"/>
      <c r="V116" s="92"/>
      <c r="W116" s="92"/>
      <c r="X116" s="92"/>
      <c r="Y116" s="92"/>
      <c r="Z116" s="92"/>
    </row>
    <row r="117" ht="14.25" customHeight="1">
      <c r="A117" s="414"/>
      <c r="B117" s="415"/>
      <c r="C117" s="415"/>
      <c r="D117" s="415"/>
      <c r="E117" s="414"/>
      <c r="F117" s="92"/>
      <c r="G117" s="92"/>
      <c r="H117" s="92"/>
      <c r="I117" s="92"/>
      <c r="J117" s="92"/>
      <c r="K117" s="92"/>
      <c r="L117" s="92"/>
      <c r="M117" s="92"/>
      <c r="N117" s="92"/>
      <c r="O117" s="92"/>
      <c r="P117" s="92"/>
      <c r="Q117" s="92"/>
      <c r="R117" s="92"/>
      <c r="S117" s="92"/>
      <c r="T117" s="92"/>
      <c r="U117" s="92"/>
      <c r="V117" s="92"/>
      <c r="W117" s="92"/>
      <c r="X117" s="92"/>
      <c r="Y117" s="92"/>
      <c r="Z117" s="92"/>
    </row>
    <row r="118" ht="14.25" customHeight="1">
      <c r="A118" s="414"/>
      <c r="B118" s="415"/>
      <c r="C118" s="415"/>
      <c r="D118" s="415"/>
      <c r="E118" s="414"/>
      <c r="F118" s="92"/>
      <c r="G118" s="92"/>
      <c r="H118" s="92"/>
      <c r="I118" s="92"/>
      <c r="J118" s="92"/>
      <c r="K118" s="92"/>
      <c r="L118" s="92"/>
      <c r="M118" s="92"/>
      <c r="N118" s="92"/>
      <c r="O118" s="92"/>
      <c r="P118" s="92"/>
      <c r="Q118" s="92"/>
      <c r="R118" s="92"/>
      <c r="S118" s="92"/>
      <c r="T118" s="92"/>
      <c r="U118" s="92"/>
      <c r="V118" s="92"/>
      <c r="W118" s="92"/>
      <c r="X118" s="92"/>
      <c r="Y118" s="92"/>
      <c r="Z118" s="92"/>
    </row>
    <row r="119" ht="14.25" customHeight="1">
      <c r="A119" s="414"/>
      <c r="B119" s="415"/>
      <c r="C119" s="415"/>
      <c r="D119" s="415"/>
      <c r="E119" s="414"/>
      <c r="F119" s="92"/>
      <c r="G119" s="92"/>
      <c r="H119" s="92"/>
      <c r="I119" s="92"/>
      <c r="J119" s="92"/>
      <c r="K119" s="92"/>
      <c r="L119" s="92"/>
      <c r="M119" s="92"/>
      <c r="N119" s="92"/>
      <c r="O119" s="92"/>
      <c r="P119" s="92"/>
      <c r="Q119" s="92"/>
      <c r="R119" s="92"/>
      <c r="S119" s="92"/>
      <c r="T119" s="92"/>
      <c r="U119" s="92"/>
      <c r="V119" s="92"/>
      <c r="W119" s="92"/>
      <c r="X119" s="92"/>
      <c r="Y119" s="92"/>
      <c r="Z119" s="92"/>
    </row>
    <row r="120" ht="14.25" customHeight="1">
      <c r="A120" s="414"/>
      <c r="B120" s="415"/>
      <c r="C120" s="415"/>
      <c r="D120" s="415"/>
      <c r="E120" s="414"/>
      <c r="F120" s="92"/>
      <c r="G120" s="92"/>
      <c r="H120" s="92"/>
      <c r="I120" s="92"/>
      <c r="J120" s="92"/>
      <c r="K120" s="92"/>
      <c r="L120" s="92"/>
      <c r="M120" s="92"/>
      <c r="N120" s="92"/>
      <c r="O120" s="92"/>
      <c r="P120" s="92"/>
      <c r="Q120" s="92"/>
      <c r="R120" s="92"/>
      <c r="S120" s="92"/>
      <c r="T120" s="92"/>
      <c r="U120" s="92"/>
      <c r="V120" s="92"/>
      <c r="W120" s="92"/>
      <c r="X120" s="92"/>
      <c r="Y120" s="92"/>
      <c r="Z120" s="92"/>
    </row>
    <row r="121" ht="14.25" customHeight="1">
      <c r="A121" s="414"/>
      <c r="B121" s="415"/>
      <c r="C121" s="415"/>
      <c r="D121" s="415"/>
      <c r="E121" s="414"/>
      <c r="F121" s="92"/>
      <c r="G121" s="92"/>
      <c r="H121" s="92"/>
      <c r="I121" s="92"/>
      <c r="J121" s="92"/>
      <c r="K121" s="92"/>
      <c r="L121" s="92"/>
      <c r="M121" s="92"/>
      <c r="N121" s="92"/>
      <c r="O121" s="92"/>
      <c r="P121" s="92"/>
      <c r="Q121" s="92"/>
      <c r="R121" s="92"/>
      <c r="S121" s="92"/>
      <c r="T121" s="92"/>
      <c r="U121" s="92"/>
      <c r="V121" s="92"/>
      <c r="W121" s="92"/>
      <c r="X121" s="92"/>
      <c r="Y121" s="92"/>
      <c r="Z121" s="92"/>
    </row>
    <row r="122" ht="14.25" customHeight="1">
      <c r="A122" s="414"/>
      <c r="B122" s="415"/>
      <c r="C122" s="415"/>
      <c r="D122" s="415"/>
      <c r="E122" s="414"/>
      <c r="F122" s="92"/>
      <c r="G122" s="92"/>
      <c r="H122" s="92"/>
      <c r="I122" s="92"/>
      <c r="J122" s="92"/>
      <c r="K122" s="92"/>
      <c r="L122" s="92"/>
      <c r="M122" s="92"/>
      <c r="N122" s="92"/>
      <c r="O122" s="92"/>
      <c r="P122" s="92"/>
      <c r="Q122" s="92"/>
      <c r="R122" s="92"/>
      <c r="S122" s="92"/>
      <c r="T122" s="92"/>
      <c r="U122" s="92"/>
      <c r="V122" s="92"/>
      <c r="W122" s="92"/>
      <c r="X122" s="92"/>
      <c r="Y122" s="92"/>
      <c r="Z122" s="92"/>
    </row>
    <row r="123" ht="14.25" customHeight="1">
      <c r="A123" s="414"/>
      <c r="B123" s="415"/>
      <c r="C123" s="415"/>
      <c r="D123" s="415"/>
      <c r="E123" s="414"/>
      <c r="F123" s="92"/>
      <c r="G123" s="92"/>
      <c r="H123" s="92"/>
      <c r="I123" s="92"/>
      <c r="J123" s="92"/>
      <c r="K123" s="92"/>
      <c r="L123" s="92"/>
      <c r="M123" s="92"/>
      <c r="N123" s="92"/>
      <c r="O123" s="92"/>
      <c r="P123" s="92"/>
      <c r="Q123" s="92"/>
      <c r="R123" s="92"/>
      <c r="S123" s="92"/>
      <c r="T123" s="92"/>
      <c r="U123" s="92"/>
      <c r="V123" s="92"/>
      <c r="W123" s="92"/>
      <c r="X123" s="92"/>
      <c r="Y123" s="92"/>
      <c r="Z123" s="92"/>
    </row>
    <row r="124" ht="14.25" customHeight="1">
      <c r="A124" s="414"/>
      <c r="B124" s="415"/>
      <c r="C124" s="415"/>
      <c r="D124" s="415"/>
      <c r="E124" s="414"/>
      <c r="F124" s="92"/>
      <c r="G124" s="92"/>
      <c r="H124" s="92"/>
      <c r="I124" s="92"/>
      <c r="J124" s="92"/>
      <c r="K124" s="92"/>
      <c r="L124" s="92"/>
      <c r="M124" s="92"/>
      <c r="N124" s="92"/>
      <c r="O124" s="92"/>
      <c r="P124" s="92"/>
      <c r="Q124" s="92"/>
      <c r="R124" s="92"/>
      <c r="S124" s="92"/>
      <c r="T124" s="92"/>
      <c r="U124" s="92"/>
      <c r="V124" s="92"/>
      <c r="W124" s="92"/>
      <c r="X124" s="92"/>
      <c r="Y124" s="92"/>
      <c r="Z124" s="92"/>
    </row>
    <row r="125" ht="14.25" customHeight="1">
      <c r="A125" s="414"/>
      <c r="B125" s="415"/>
      <c r="C125" s="415"/>
      <c r="D125" s="415"/>
      <c r="E125" s="414"/>
      <c r="F125" s="92"/>
      <c r="G125" s="92"/>
      <c r="H125" s="92"/>
      <c r="I125" s="92"/>
      <c r="J125" s="92"/>
      <c r="K125" s="92"/>
      <c r="L125" s="92"/>
      <c r="M125" s="92"/>
      <c r="N125" s="92"/>
      <c r="O125" s="92"/>
      <c r="P125" s="92"/>
      <c r="Q125" s="92"/>
      <c r="R125" s="92"/>
      <c r="S125" s="92"/>
      <c r="T125" s="92"/>
      <c r="U125" s="92"/>
      <c r="V125" s="92"/>
      <c r="W125" s="92"/>
      <c r="X125" s="92"/>
      <c r="Y125" s="92"/>
      <c r="Z125" s="92"/>
    </row>
    <row r="126" ht="14.25" customHeight="1">
      <c r="A126" s="414"/>
      <c r="B126" s="415"/>
      <c r="C126" s="415"/>
      <c r="D126" s="415"/>
      <c r="E126" s="414"/>
      <c r="F126" s="92"/>
      <c r="G126" s="92"/>
      <c r="H126" s="92"/>
      <c r="I126" s="92"/>
      <c r="J126" s="92"/>
      <c r="K126" s="92"/>
      <c r="L126" s="92"/>
      <c r="M126" s="92"/>
      <c r="N126" s="92"/>
      <c r="O126" s="92"/>
      <c r="P126" s="92"/>
      <c r="Q126" s="92"/>
      <c r="R126" s="92"/>
      <c r="S126" s="92"/>
      <c r="T126" s="92"/>
      <c r="U126" s="92"/>
      <c r="V126" s="92"/>
      <c r="W126" s="92"/>
      <c r="X126" s="92"/>
      <c r="Y126" s="92"/>
      <c r="Z126" s="92"/>
    </row>
    <row r="127" ht="14.25" customHeight="1">
      <c r="A127" s="414"/>
      <c r="B127" s="415"/>
      <c r="C127" s="415"/>
      <c r="D127" s="415"/>
      <c r="E127" s="414"/>
      <c r="F127" s="92"/>
      <c r="G127" s="92"/>
      <c r="H127" s="92"/>
      <c r="I127" s="92"/>
      <c r="J127" s="92"/>
      <c r="K127" s="92"/>
      <c r="L127" s="92"/>
      <c r="M127" s="92"/>
      <c r="N127" s="92"/>
      <c r="O127" s="92"/>
      <c r="P127" s="92"/>
      <c r="Q127" s="92"/>
      <c r="R127" s="92"/>
      <c r="S127" s="92"/>
      <c r="T127" s="92"/>
      <c r="U127" s="92"/>
      <c r="V127" s="92"/>
      <c r="W127" s="92"/>
      <c r="X127" s="92"/>
      <c r="Y127" s="92"/>
      <c r="Z127" s="92"/>
    </row>
    <row r="128" ht="14.25" customHeight="1">
      <c r="A128" s="414"/>
      <c r="B128" s="415"/>
      <c r="C128" s="415"/>
      <c r="D128" s="415"/>
      <c r="E128" s="414"/>
      <c r="F128" s="92"/>
      <c r="G128" s="92"/>
      <c r="H128" s="92"/>
      <c r="I128" s="92"/>
      <c r="J128" s="92"/>
      <c r="K128" s="92"/>
      <c r="L128" s="92"/>
      <c r="M128" s="92"/>
      <c r="N128" s="92"/>
      <c r="O128" s="92"/>
      <c r="P128" s="92"/>
      <c r="Q128" s="92"/>
      <c r="R128" s="92"/>
      <c r="S128" s="92"/>
      <c r="T128" s="92"/>
      <c r="U128" s="92"/>
      <c r="V128" s="92"/>
      <c r="W128" s="92"/>
      <c r="X128" s="92"/>
      <c r="Y128" s="92"/>
      <c r="Z128" s="92"/>
    </row>
    <row r="129" ht="14.25" customHeight="1">
      <c r="A129" s="414"/>
      <c r="B129" s="415"/>
      <c r="C129" s="415"/>
      <c r="D129" s="415"/>
      <c r="E129" s="414"/>
      <c r="F129" s="92"/>
      <c r="G129" s="92"/>
      <c r="H129" s="92"/>
      <c r="I129" s="92"/>
      <c r="J129" s="92"/>
      <c r="K129" s="92"/>
      <c r="L129" s="92"/>
      <c r="M129" s="92"/>
      <c r="N129" s="92"/>
      <c r="O129" s="92"/>
      <c r="P129" s="92"/>
      <c r="Q129" s="92"/>
      <c r="R129" s="92"/>
      <c r="S129" s="92"/>
      <c r="T129" s="92"/>
      <c r="U129" s="92"/>
      <c r="V129" s="92"/>
      <c r="W129" s="92"/>
      <c r="X129" s="92"/>
      <c r="Y129" s="92"/>
      <c r="Z129" s="92"/>
    </row>
    <row r="130" ht="14.25" customHeight="1">
      <c r="A130" s="414"/>
      <c r="B130" s="415"/>
      <c r="C130" s="415"/>
      <c r="D130" s="415"/>
      <c r="E130" s="414"/>
      <c r="F130" s="92"/>
      <c r="G130" s="92"/>
      <c r="H130" s="92"/>
      <c r="I130" s="92"/>
      <c r="J130" s="92"/>
      <c r="K130" s="92"/>
      <c r="L130" s="92"/>
      <c r="M130" s="92"/>
      <c r="N130" s="92"/>
      <c r="O130" s="92"/>
      <c r="P130" s="92"/>
      <c r="Q130" s="92"/>
      <c r="R130" s="92"/>
      <c r="S130" s="92"/>
      <c r="T130" s="92"/>
      <c r="U130" s="92"/>
      <c r="V130" s="92"/>
      <c r="W130" s="92"/>
      <c r="X130" s="92"/>
      <c r="Y130" s="92"/>
      <c r="Z130" s="92"/>
    </row>
    <row r="131" ht="14.25" customHeight="1">
      <c r="A131" s="414"/>
      <c r="B131" s="415"/>
      <c r="C131" s="415"/>
      <c r="D131" s="415"/>
      <c r="E131" s="414"/>
      <c r="F131" s="92"/>
      <c r="G131" s="92"/>
      <c r="H131" s="92"/>
      <c r="I131" s="92"/>
      <c r="J131" s="92"/>
      <c r="K131" s="92"/>
      <c r="L131" s="92"/>
      <c r="M131" s="92"/>
      <c r="N131" s="92"/>
      <c r="O131" s="92"/>
      <c r="P131" s="92"/>
      <c r="Q131" s="92"/>
      <c r="R131" s="92"/>
      <c r="S131" s="92"/>
      <c r="T131" s="92"/>
      <c r="U131" s="92"/>
      <c r="V131" s="92"/>
      <c r="W131" s="92"/>
      <c r="X131" s="92"/>
      <c r="Y131" s="92"/>
      <c r="Z131" s="92"/>
    </row>
    <row r="132" ht="14.25" customHeight="1">
      <c r="A132" s="414"/>
      <c r="B132" s="415"/>
      <c r="C132" s="415"/>
      <c r="D132" s="415"/>
      <c r="E132" s="414"/>
      <c r="F132" s="92"/>
      <c r="G132" s="92"/>
      <c r="H132" s="92"/>
      <c r="I132" s="92"/>
      <c r="J132" s="92"/>
      <c r="K132" s="92"/>
      <c r="L132" s="92"/>
      <c r="M132" s="92"/>
      <c r="N132" s="92"/>
      <c r="O132" s="92"/>
      <c r="P132" s="92"/>
      <c r="Q132" s="92"/>
      <c r="R132" s="92"/>
      <c r="S132" s="92"/>
      <c r="T132" s="92"/>
      <c r="U132" s="92"/>
      <c r="V132" s="92"/>
      <c r="W132" s="92"/>
      <c r="X132" s="92"/>
      <c r="Y132" s="92"/>
      <c r="Z132" s="92"/>
    </row>
    <row r="133" ht="14.25" customHeight="1">
      <c r="A133" s="414"/>
      <c r="B133" s="415"/>
      <c r="C133" s="415"/>
      <c r="D133" s="415"/>
      <c r="E133" s="414"/>
      <c r="F133" s="92"/>
      <c r="G133" s="92"/>
      <c r="H133" s="92"/>
      <c r="I133" s="92"/>
      <c r="J133" s="92"/>
      <c r="K133" s="92"/>
      <c r="L133" s="92"/>
      <c r="M133" s="92"/>
      <c r="N133" s="92"/>
      <c r="O133" s="92"/>
      <c r="P133" s="92"/>
      <c r="Q133" s="92"/>
      <c r="R133" s="92"/>
      <c r="S133" s="92"/>
      <c r="T133" s="92"/>
      <c r="U133" s="92"/>
      <c r="V133" s="92"/>
      <c r="W133" s="92"/>
      <c r="X133" s="92"/>
      <c r="Y133" s="92"/>
      <c r="Z133" s="92"/>
    </row>
    <row r="134" ht="14.25" customHeight="1">
      <c r="A134" s="414"/>
      <c r="B134" s="415"/>
      <c r="C134" s="415"/>
      <c r="D134" s="415"/>
      <c r="E134" s="414"/>
      <c r="F134" s="92"/>
      <c r="G134" s="92"/>
      <c r="H134" s="92"/>
      <c r="I134" s="92"/>
      <c r="J134" s="92"/>
      <c r="K134" s="92"/>
      <c r="L134" s="92"/>
      <c r="M134" s="92"/>
      <c r="N134" s="92"/>
      <c r="O134" s="92"/>
      <c r="P134" s="92"/>
      <c r="Q134" s="92"/>
      <c r="R134" s="92"/>
      <c r="S134" s="92"/>
      <c r="T134" s="92"/>
      <c r="U134" s="92"/>
      <c r="V134" s="92"/>
      <c r="W134" s="92"/>
      <c r="X134" s="92"/>
      <c r="Y134" s="92"/>
      <c r="Z134" s="92"/>
    </row>
    <row r="135" ht="14.25" customHeight="1">
      <c r="A135" s="414"/>
      <c r="B135" s="415"/>
      <c r="C135" s="415"/>
      <c r="D135" s="415"/>
      <c r="E135" s="414"/>
      <c r="F135" s="92"/>
      <c r="G135" s="92"/>
      <c r="H135" s="92"/>
      <c r="I135" s="92"/>
      <c r="J135" s="92"/>
      <c r="K135" s="92"/>
      <c r="L135" s="92"/>
      <c r="M135" s="92"/>
      <c r="N135" s="92"/>
      <c r="O135" s="92"/>
      <c r="P135" s="92"/>
      <c r="Q135" s="92"/>
      <c r="R135" s="92"/>
      <c r="S135" s="92"/>
      <c r="T135" s="92"/>
      <c r="U135" s="92"/>
      <c r="V135" s="92"/>
      <c r="W135" s="92"/>
      <c r="X135" s="92"/>
      <c r="Y135" s="92"/>
      <c r="Z135" s="92"/>
    </row>
    <row r="136" ht="14.25" customHeight="1">
      <c r="A136" s="414"/>
      <c r="B136" s="415"/>
      <c r="C136" s="415"/>
      <c r="D136" s="415"/>
      <c r="E136" s="414"/>
      <c r="F136" s="92"/>
      <c r="G136" s="92"/>
      <c r="H136" s="92"/>
      <c r="I136" s="92"/>
      <c r="J136" s="92"/>
      <c r="K136" s="92"/>
      <c r="L136" s="92"/>
      <c r="M136" s="92"/>
      <c r="N136" s="92"/>
      <c r="O136" s="92"/>
      <c r="P136" s="92"/>
      <c r="Q136" s="92"/>
      <c r="R136" s="92"/>
      <c r="S136" s="92"/>
      <c r="T136" s="92"/>
      <c r="U136" s="92"/>
      <c r="V136" s="92"/>
      <c r="W136" s="92"/>
      <c r="X136" s="92"/>
      <c r="Y136" s="92"/>
      <c r="Z136" s="92"/>
    </row>
    <row r="137" ht="14.25" customHeight="1">
      <c r="A137" s="414"/>
      <c r="B137" s="415"/>
      <c r="C137" s="415"/>
      <c r="D137" s="415"/>
      <c r="E137" s="414"/>
      <c r="F137" s="92"/>
      <c r="G137" s="92"/>
      <c r="H137" s="92"/>
      <c r="I137" s="92"/>
      <c r="J137" s="92"/>
      <c r="K137" s="92"/>
      <c r="L137" s="92"/>
      <c r="M137" s="92"/>
      <c r="N137" s="92"/>
      <c r="O137" s="92"/>
      <c r="P137" s="92"/>
      <c r="Q137" s="92"/>
      <c r="R137" s="92"/>
      <c r="S137" s="92"/>
      <c r="T137" s="92"/>
      <c r="U137" s="92"/>
      <c r="V137" s="92"/>
      <c r="W137" s="92"/>
      <c r="X137" s="92"/>
      <c r="Y137" s="92"/>
      <c r="Z137" s="92"/>
    </row>
    <row r="138" ht="14.25" customHeight="1">
      <c r="A138" s="414"/>
      <c r="B138" s="415"/>
      <c r="C138" s="415"/>
      <c r="D138" s="415"/>
      <c r="E138" s="414"/>
      <c r="F138" s="92"/>
      <c r="G138" s="92"/>
      <c r="H138" s="92"/>
      <c r="I138" s="92"/>
      <c r="J138" s="92"/>
      <c r="K138" s="92"/>
      <c r="L138" s="92"/>
      <c r="M138" s="92"/>
      <c r="N138" s="92"/>
      <c r="O138" s="92"/>
      <c r="P138" s="92"/>
      <c r="Q138" s="92"/>
      <c r="R138" s="92"/>
      <c r="S138" s="92"/>
      <c r="T138" s="92"/>
      <c r="U138" s="92"/>
      <c r="V138" s="92"/>
      <c r="W138" s="92"/>
      <c r="X138" s="92"/>
      <c r="Y138" s="92"/>
      <c r="Z138" s="92"/>
    </row>
    <row r="139" ht="14.25" customHeight="1">
      <c r="A139" s="414"/>
      <c r="B139" s="415"/>
      <c r="C139" s="415"/>
      <c r="D139" s="415"/>
      <c r="E139" s="414"/>
      <c r="F139" s="92"/>
      <c r="G139" s="92"/>
      <c r="H139" s="92"/>
      <c r="I139" s="92"/>
      <c r="J139" s="92"/>
      <c r="K139" s="92"/>
      <c r="L139" s="92"/>
      <c r="M139" s="92"/>
      <c r="N139" s="92"/>
      <c r="O139" s="92"/>
      <c r="P139" s="92"/>
      <c r="Q139" s="92"/>
      <c r="R139" s="92"/>
      <c r="S139" s="92"/>
      <c r="T139" s="92"/>
      <c r="U139" s="92"/>
      <c r="V139" s="92"/>
      <c r="W139" s="92"/>
      <c r="X139" s="92"/>
      <c r="Y139" s="92"/>
      <c r="Z139" s="92"/>
    </row>
    <row r="140" ht="14.25" customHeight="1">
      <c r="A140" s="414"/>
      <c r="B140" s="415"/>
      <c r="C140" s="415"/>
      <c r="D140" s="415"/>
      <c r="E140" s="414"/>
      <c r="F140" s="92"/>
      <c r="G140" s="92"/>
      <c r="H140" s="92"/>
      <c r="I140" s="92"/>
      <c r="J140" s="92"/>
      <c r="K140" s="92"/>
      <c r="L140" s="92"/>
      <c r="M140" s="92"/>
      <c r="N140" s="92"/>
      <c r="O140" s="92"/>
      <c r="P140" s="92"/>
      <c r="Q140" s="92"/>
      <c r="R140" s="92"/>
      <c r="S140" s="92"/>
      <c r="T140" s="92"/>
      <c r="U140" s="92"/>
      <c r="V140" s="92"/>
      <c r="W140" s="92"/>
      <c r="X140" s="92"/>
      <c r="Y140" s="92"/>
      <c r="Z140" s="92"/>
    </row>
    <row r="141" ht="14.25" customHeight="1">
      <c r="A141" s="414"/>
      <c r="B141" s="415"/>
      <c r="C141" s="415"/>
      <c r="D141" s="415"/>
      <c r="E141" s="414"/>
      <c r="F141" s="92"/>
      <c r="G141" s="92"/>
      <c r="H141" s="92"/>
      <c r="I141" s="92"/>
      <c r="J141" s="92"/>
      <c r="K141" s="92"/>
      <c r="L141" s="92"/>
      <c r="M141" s="92"/>
      <c r="N141" s="92"/>
      <c r="O141" s="92"/>
      <c r="P141" s="92"/>
      <c r="Q141" s="92"/>
      <c r="R141" s="92"/>
      <c r="S141" s="92"/>
      <c r="T141" s="92"/>
      <c r="U141" s="92"/>
      <c r="V141" s="92"/>
      <c r="W141" s="92"/>
      <c r="X141" s="92"/>
      <c r="Y141" s="92"/>
      <c r="Z141" s="92"/>
    </row>
    <row r="142" ht="14.25" customHeight="1">
      <c r="A142" s="414"/>
      <c r="B142" s="415"/>
      <c r="C142" s="415"/>
      <c r="D142" s="415"/>
      <c r="E142" s="414"/>
      <c r="F142" s="92"/>
      <c r="G142" s="92"/>
      <c r="H142" s="92"/>
      <c r="I142" s="92"/>
      <c r="J142" s="92"/>
      <c r="K142" s="92"/>
      <c r="L142" s="92"/>
      <c r="M142" s="92"/>
      <c r="N142" s="92"/>
      <c r="O142" s="92"/>
      <c r="P142" s="92"/>
      <c r="Q142" s="92"/>
      <c r="R142" s="92"/>
      <c r="S142" s="92"/>
      <c r="T142" s="92"/>
      <c r="U142" s="92"/>
      <c r="V142" s="92"/>
      <c r="W142" s="92"/>
      <c r="X142" s="92"/>
      <c r="Y142" s="92"/>
      <c r="Z142" s="92"/>
    </row>
    <row r="143" ht="14.25" customHeight="1">
      <c r="A143" s="414"/>
      <c r="B143" s="415"/>
      <c r="C143" s="415"/>
      <c r="D143" s="415"/>
      <c r="E143" s="414"/>
      <c r="F143" s="92"/>
      <c r="G143" s="92"/>
      <c r="H143" s="92"/>
      <c r="I143" s="92"/>
      <c r="J143" s="92"/>
      <c r="K143" s="92"/>
      <c r="L143" s="92"/>
      <c r="M143" s="92"/>
      <c r="N143" s="92"/>
      <c r="O143" s="92"/>
      <c r="P143" s="92"/>
      <c r="Q143" s="92"/>
      <c r="R143" s="92"/>
      <c r="S143" s="92"/>
      <c r="T143" s="92"/>
      <c r="U143" s="92"/>
      <c r="V143" s="92"/>
      <c r="W143" s="92"/>
      <c r="X143" s="92"/>
      <c r="Y143" s="92"/>
      <c r="Z143" s="92"/>
    </row>
    <row r="144" ht="14.25" customHeight="1">
      <c r="A144" s="414"/>
      <c r="B144" s="415"/>
      <c r="C144" s="415"/>
      <c r="D144" s="415"/>
      <c r="E144" s="414"/>
      <c r="F144" s="92"/>
      <c r="G144" s="92"/>
      <c r="H144" s="92"/>
      <c r="I144" s="92"/>
      <c r="J144" s="92"/>
      <c r="K144" s="92"/>
      <c r="L144" s="92"/>
      <c r="M144" s="92"/>
      <c r="N144" s="92"/>
      <c r="O144" s="92"/>
      <c r="P144" s="92"/>
      <c r="Q144" s="92"/>
      <c r="R144" s="92"/>
      <c r="S144" s="92"/>
      <c r="T144" s="92"/>
      <c r="U144" s="92"/>
      <c r="V144" s="92"/>
      <c r="W144" s="92"/>
      <c r="X144" s="92"/>
      <c r="Y144" s="92"/>
      <c r="Z144" s="92"/>
    </row>
    <row r="145" ht="14.25" customHeight="1">
      <c r="A145" s="414"/>
      <c r="B145" s="415"/>
      <c r="C145" s="415"/>
      <c r="D145" s="415"/>
      <c r="E145" s="414"/>
      <c r="F145" s="92"/>
      <c r="G145" s="92"/>
      <c r="H145" s="92"/>
      <c r="I145" s="92"/>
      <c r="J145" s="92"/>
      <c r="K145" s="92"/>
      <c r="L145" s="92"/>
      <c r="M145" s="92"/>
      <c r="N145" s="92"/>
      <c r="O145" s="92"/>
      <c r="P145" s="92"/>
      <c r="Q145" s="92"/>
      <c r="R145" s="92"/>
      <c r="S145" s="92"/>
      <c r="T145" s="92"/>
      <c r="U145" s="92"/>
      <c r="V145" s="92"/>
      <c r="W145" s="92"/>
      <c r="X145" s="92"/>
      <c r="Y145" s="92"/>
      <c r="Z145" s="92"/>
    </row>
    <row r="146" ht="14.25" customHeight="1">
      <c r="A146" s="414"/>
      <c r="B146" s="415"/>
      <c r="C146" s="415"/>
      <c r="D146" s="415"/>
      <c r="E146" s="414"/>
      <c r="F146" s="92"/>
      <c r="G146" s="92"/>
      <c r="H146" s="92"/>
      <c r="I146" s="92"/>
      <c r="J146" s="92"/>
      <c r="K146" s="92"/>
      <c r="L146" s="92"/>
      <c r="M146" s="92"/>
      <c r="N146" s="92"/>
      <c r="O146" s="92"/>
      <c r="P146" s="92"/>
      <c r="Q146" s="92"/>
      <c r="R146" s="92"/>
      <c r="S146" s="92"/>
      <c r="T146" s="92"/>
      <c r="U146" s="92"/>
      <c r="V146" s="92"/>
      <c r="W146" s="92"/>
      <c r="X146" s="92"/>
      <c r="Y146" s="92"/>
      <c r="Z146" s="92"/>
    </row>
    <row r="147" ht="14.25" customHeight="1">
      <c r="A147" s="414"/>
      <c r="B147" s="415"/>
      <c r="C147" s="415"/>
      <c r="D147" s="415"/>
      <c r="E147" s="414"/>
      <c r="F147" s="92"/>
      <c r="G147" s="92"/>
      <c r="H147" s="92"/>
      <c r="I147" s="92"/>
      <c r="J147" s="92"/>
      <c r="K147" s="92"/>
      <c r="L147" s="92"/>
      <c r="M147" s="92"/>
      <c r="N147" s="92"/>
      <c r="O147" s="92"/>
      <c r="P147" s="92"/>
      <c r="Q147" s="92"/>
      <c r="R147" s="92"/>
      <c r="S147" s="92"/>
      <c r="T147" s="92"/>
      <c r="U147" s="92"/>
      <c r="V147" s="92"/>
      <c r="W147" s="92"/>
      <c r="X147" s="92"/>
      <c r="Y147" s="92"/>
      <c r="Z147" s="92"/>
    </row>
    <row r="148" ht="14.25" customHeight="1">
      <c r="A148" s="414"/>
      <c r="B148" s="415"/>
      <c r="C148" s="415"/>
      <c r="D148" s="415"/>
      <c r="E148" s="414"/>
      <c r="F148" s="92"/>
      <c r="G148" s="92"/>
      <c r="H148" s="92"/>
      <c r="I148" s="92"/>
      <c r="J148" s="92"/>
      <c r="K148" s="92"/>
      <c r="L148" s="92"/>
      <c r="M148" s="92"/>
      <c r="N148" s="92"/>
      <c r="O148" s="92"/>
      <c r="P148" s="92"/>
      <c r="Q148" s="92"/>
      <c r="R148" s="92"/>
      <c r="S148" s="92"/>
      <c r="T148" s="92"/>
      <c r="U148" s="92"/>
      <c r="V148" s="92"/>
      <c r="W148" s="92"/>
      <c r="X148" s="92"/>
      <c r="Y148" s="92"/>
      <c r="Z148" s="92"/>
    </row>
    <row r="149" ht="14.25" customHeight="1">
      <c r="A149" s="414"/>
      <c r="B149" s="415"/>
      <c r="C149" s="415"/>
      <c r="D149" s="415"/>
      <c r="E149" s="414"/>
      <c r="F149" s="92"/>
      <c r="G149" s="92"/>
      <c r="H149" s="92"/>
      <c r="I149" s="92"/>
      <c r="J149" s="92"/>
      <c r="K149" s="92"/>
      <c r="L149" s="92"/>
      <c r="M149" s="92"/>
      <c r="N149" s="92"/>
      <c r="O149" s="92"/>
      <c r="P149" s="92"/>
      <c r="Q149" s="92"/>
      <c r="R149" s="92"/>
      <c r="S149" s="92"/>
      <c r="T149" s="92"/>
      <c r="U149" s="92"/>
      <c r="V149" s="92"/>
      <c r="W149" s="92"/>
      <c r="X149" s="92"/>
      <c r="Y149" s="92"/>
      <c r="Z149" s="92"/>
    </row>
    <row r="150" ht="14.25" customHeight="1">
      <c r="A150" s="414"/>
      <c r="B150" s="415"/>
      <c r="C150" s="415"/>
      <c r="D150" s="415"/>
      <c r="E150" s="414"/>
      <c r="F150" s="92"/>
      <c r="G150" s="92"/>
      <c r="H150" s="92"/>
      <c r="I150" s="92"/>
      <c r="J150" s="92"/>
      <c r="K150" s="92"/>
      <c r="L150" s="92"/>
      <c r="M150" s="92"/>
      <c r="N150" s="92"/>
      <c r="O150" s="92"/>
      <c r="P150" s="92"/>
      <c r="Q150" s="92"/>
      <c r="R150" s="92"/>
      <c r="S150" s="92"/>
      <c r="T150" s="92"/>
      <c r="U150" s="92"/>
      <c r="V150" s="92"/>
      <c r="W150" s="92"/>
      <c r="X150" s="92"/>
      <c r="Y150" s="92"/>
      <c r="Z150" s="92"/>
    </row>
    <row r="151" ht="14.25" customHeight="1">
      <c r="A151" s="414"/>
      <c r="B151" s="415"/>
      <c r="C151" s="415"/>
      <c r="D151" s="415"/>
      <c r="E151" s="414"/>
      <c r="F151" s="92"/>
      <c r="G151" s="92"/>
      <c r="H151" s="92"/>
      <c r="I151" s="92"/>
      <c r="J151" s="92"/>
      <c r="K151" s="92"/>
      <c r="L151" s="92"/>
      <c r="M151" s="92"/>
      <c r="N151" s="92"/>
      <c r="O151" s="92"/>
      <c r="P151" s="92"/>
      <c r="Q151" s="92"/>
      <c r="R151" s="92"/>
      <c r="S151" s="92"/>
      <c r="T151" s="92"/>
      <c r="U151" s="92"/>
      <c r="V151" s="92"/>
      <c r="W151" s="92"/>
      <c r="X151" s="92"/>
      <c r="Y151" s="92"/>
      <c r="Z151" s="92"/>
    </row>
    <row r="152" ht="14.25" customHeight="1">
      <c r="A152" s="414"/>
      <c r="B152" s="415"/>
      <c r="C152" s="415"/>
      <c r="D152" s="415"/>
      <c r="E152" s="414"/>
      <c r="F152" s="92"/>
      <c r="G152" s="92"/>
      <c r="H152" s="92"/>
      <c r="I152" s="92"/>
      <c r="J152" s="92"/>
      <c r="K152" s="92"/>
      <c r="L152" s="92"/>
      <c r="M152" s="92"/>
      <c r="N152" s="92"/>
      <c r="O152" s="92"/>
      <c r="P152" s="92"/>
      <c r="Q152" s="92"/>
      <c r="R152" s="92"/>
      <c r="S152" s="92"/>
      <c r="T152" s="92"/>
      <c r="U152" s="92"/>
      <c r="V152" s="92"/>
      <c r="W152" s="92"/>
      <c r="X152" s="92"/>
      <c r="Y152" s="92"/>
      <c r="Z152" s="92"/>
    </row>
    <row r="153" ht="14.25" customHeight="1">
      <c r="A153" s="414"/>
      <c r="B153" s="415"/>
      <c r="C153" s="415"/>
      <c r="D153" s="415"/>
      <c r="E153" s="414"/>
      <c r="F153" s="92"/>
      <c r="G153" s="92"/>
      <c r="H153" s="92"/>
      <c r="I153" s="92"/>
      <c r="J153" s="92"/>
      <c r="K153" s="92"/>
      <c r="L153" s="92"/>
      <c r="M153" s="92"/>
      <c r="N153" s="92"/>
      <c r="O153" s="92"/>
      <c r="P153" s="92"/>
      <c r="Q153" s="92"/>
      <c r="R153" s="92"/>
      <c r="S153" s="92"/>
      <c r="T153" s="92"/>
      <c r="U153" s="92"/>
      <c r="V153" s="92"/>
      <c r="W153" s="92"/>
      <c r="X153" s="92"/>
      <c r="Y153" s="92"/>
      <c r="Z153" s="92"/>
    </row>
    <row r="154" ht="14.25" customHeight="1">
      <c r="A154" s="414"/>
      <c r="B154" s="415"/>
      <c r="C154" s="415"/>
      <c r="D154" s="415"/>
      <c r="E154" s="414"/>
      <c r="F154" s="92"/>
      <c r="G154" s="92"/>
      <c r="H154" s="92"/>
      <c r="I154" s="92"/>
      <c r="J154" s="92"/>
      <c r="K154" s="92"/>
      <c r="L154" s="92"/>
      <c r="M154" s="92"/>
      <c r="N154" s="92"/>
      <c r="O154" s="92"/>
      <c r="P154" s="92"/>
      <c r="Q154" s="92"/>
      <c r="R154" s="92"/>
      <c r="S154" s="92"/>
      <c r="T154" s="92"/>
      <c r="U154" s="92"/>
      <c r="V154" s="92"/>
      <c r="W154" s="92"/>
      <c r="X154" s="92"/>
      <c r="Y154" s="92"/>
      <c r="Z154" s="92"/>
    </row>
    <row r="155" ht="14.25" customHeight="1">
      <c r="A155" s="414"/>
      <c r="B155" s="415"/>
      <c r="C155" s="415"/>
      <c r="D155" s="415"/>
      <c r="E155" s="414"/>
      <c r="F155" s="92"/>
      <c r="G155" s="92"/>
      <c r="H155" s="92"/>
      <c r="I155" s="92"/>
      <c r="J155" s="92"/>
      <c r="K155" s="92"/>
      <c r="L155" s="92"/>
      <c r="M155" s="92"/>
      <c r="N155" s="92"/>
      <c r="O155" s="92"/>
      <c r="P155" s="92"/>
      <c r="Q155" s="92"/>
      <c r="R155" s="92"/>
      <c r="S155" s="92"/>
      <c r="T155" s="92"/>
      <c r="U155" s="92"/>
      <c r="V155" s="92"/>
      <c r="W155" s="92"/>
      <c r="X155" s="92"/>
      <c r="Y155" s="92"/>
      <c r="Z155" s="92"/>
    </row>
    <row r="156" ht="14.25" customHeight="1">
      <c r="A156" s="414"/>
      <c r="B156" s="415"/>
      <c r="C156" s="415"/>
      <c r="D156" s="415"/>
      <c r="E156" s="414"/>
      <c r="F156" s="92"/>
      <c r="G156" s="92"/>
      <c r="H156" s="92"/>
      <c r="I156" s="92"/>
      <c r="J156" s="92"/>
      <c r="K156" s="92"/>
      <c r="L156" s="92"/>
      <c r="M156" s="92"/>
      <c r="N156" s="92"/>
      <c r="O156" s="92"/>
      <c r="P156" s="92"/>
      <c r="Q156" s="92"/>
      <c r="R156" s="92"/>
      <c r="S156" s="92"/>
      <c r="T156" s="92"/>
      <c r="U156" s="92"/>
      <c r="V156" s="92"/>
      <c r="W156" s="92"/>
      <c r="X156" s="92"/>
      <c r="Y156" s="92"/>
      <c r="Z156" s="92"/>
    </row>
    <row r="157" ht="14.25" customHeight="1">
      <c r="A157" s="414"/>
      <c r="B157" s="415"/>
      <c r="C157" s="415"/>
      <c r="D157" s="415"/>
      <c r="E157" s="414"/>
      <c r="F157" s="92"/>
      <c r="G157" s="92"/>
      <c r="H157" s="92"/>
      <c r="I157" s="92"/>
      <c r="J157" s="92"/>
      <c r="K157" s="92"/>
      <c r="L157" s="92"/>
      <c r="M157" s="92"/>
      <c r="N157" s="92"/>
      <c r="O157" s="92"/>
      <c r="P157" s="92"/>
      <c r="Q157" s="92"/>
      <c r="R157" s="92"/>
      <c r="S157" s="92"/>
      <c r="T157" s="92"/>
      <c r="U157" s="92"/>
      <c r="V157" s="92"/>
      <c r="W157" s="92"/>
      <c r="X157" s="92"/>
      <c r="Y157" s="92"/>
      <c r="Z157" s="92"/>
    </row>
    <row r="158" ht="14.25" customHeight="1">
      <c r="A158" s="414"/>
      <c r="B158" s="415"/>
      <c r="C158" s="415"/>
      <c r="D158" s="415"/>
      <c r="E158" s="414"/>
      <c r="F158" s="92"/>
      <c r="G158" s="92"/>
      <c r="H158" s="92"/>
      <c r="I158" s="92"/>
      <c r="J158" s="92"/>
      <c r="K158" s="92"/>
      <c r="L158" s="92"/>
      <c r="M158" s="92"/>
      <c r="N158" s="92"/>
      <c r="O158" s="92"/>
      <c r="P158" s="92"/>
      <c r="Q158" s="92"/>
      <c r="R158" s="92"/>
      <c r="S158" s="92"/>
      <c r="T158" s="92"/>
      <c r="U158" s="92"/>
      <c r="V158" s="92"/>
      <c r="W158" s="92"/>
      <c r="X158" s="92"/>
      <c r="Y158" s="92"/>
      <c r="Z158" s="92"/>
    </row>
    <row r="159" ht="14.25" customHeight="1">
      <c r="A159" s="414"/>
      <c r="B159" s="415"/>
      <c r="C159" s="415"/>
      <c r="D159" s="415"/>
      <c r="E159" s="414"/>
      <c r="F159" s="92"/>
      <c r="G159" s="92"/>
      <c r="H159" s="92"/>
      <c r="I159" s="92"/>
      <c r="J159" s="92"/>
      <c r="K159" s="92"/>
      <c r="L159" s="92"/>
      <c r="M159" s="92"/>
      <c r="N159" s="92"/>
      <c r="O159" s="92"/>
      <c r="P159" s="92"/>
      <c r="Q159" s="92"/>
      <c r="R159" s="92"/>
      <c r="S159" s="92"/>
      <c r="T159" s="92"/>
      <c r="U159" s="92"/>
      <c r="V159" s="92"/>
      <c r="W159" s="92"/>
      <c r="X159" s="92"/>
      <c r="Y159" s="92"/>
      <c r="Z159" s="92"/>
    </row>
    <row r="160" ht="14.25" customHeight="1">
      <c r="A160" s="414"/>
      <c r="B160" s="415"/>
      <c r="C160" s="415"/>
      <c r="D160" s="415"/>
      <c r="E160" s="414"/>
      <c r="F160" s="92"/>
      <c r="G160" s="92"/>
      <c r="H160" s="92"/>
      <c r="I160" s="92"/>
      <c r="J160" s="92"/>
      <c r="K160" s="92"/>
      <c r="L160" s="92"/>
      <c r="M160" s="92"/>
      <c r="N160" s="92"/>
      <c r="O160" s="92"/>
      <c r="P160" s="92"/>
      <c r="Q160" s="92"/>
      <c r="R160" s="92"/>
      <c r="S160" s="92"/>
      <c r="T160" s="92"/>
      <c r="U160" s="92"/>
      <c r="V160" s="92"/>
      <c r="W160" s="92"/>
      <c r="X160" s="92"/>
      <c r="Y160" s="92"/>
      <c r="Z160" s="92"/>
    </row>
    <row r="161" ht="14.25" customHeight="1">
      <c r="A161" s="414"/>
      <c r="B161" s="415"/>
      <c r="C161" s="415"/>
      <c r="D161" s="415"/>
      <c r="E161" s="414"/>
      <c r="F161" s="92"/>
      <c r="G161" s="92"/>
      <c r="H161" s="92"/>
      <c r="I161" s="92"/>
      <c r="J161" s="92"/>
      <c r="K161" s="92"/>
      <c r="L161" s="92"/>
      <c r="M161" s="92"/>
      <c r="N161" s="92"/>
      <c r="O161" s="92"/>
      <c r="P161" s="92"/>
      <c r="Q161" s="92"/>
      <c r="R161" s="92"/>
      <c r="S161" s="92"/>
      <c r="T161" s="92"/>
      <c r="U161" s="92"/>
      <c r="V161" s="92"/>
      <c r="W161" s="92"/>
      <c r="X161" s="92"/>
      <c r="Y161" s="92"/>
      <c r="Z161" s="92"/>
    </row>
    <row r="162" ht="14.25" customHeight="1">
      <c r="A162" s="414"/>
      <c r="B162" s="415"/>
      <c r="C162" s="415"/>
      <c r="D162" s="415"/>
      <c r="E162" s="414"/>
      <c r="F162" s="92"/>
      <c r="G162" s="92"/>
      <c r="H162" s="92"/>
      <c r="I162" s="92"/>
      <c r="J162" s="92"/>
      <c r="K162" s="92"/>
      <c r="L162" s="92"/>
      <c r="M162" s="92"/>
      <c r="N162" s="92"/>
      <c r="O162" s="92"/>
      <c r="P162" s="92"/>
      <c r="Q162" s="92"/>
      <c r="R162" s="92"/>
      <c r="S162" s="92"/>
      <c r="T162" s="92"/>
      <c r="U162" s="92"/>
      <c r="V162" s="92"/>
      <c r="W162" s="92"/>
      <c r="X162" s="92"/>
      <c r="Y162" s="92"/>
      <c r="Z162" s="92"/>
    </row>
    <row r="163" ht="14.25" customHeight="1">
      <c r="A163" s="414"/>
      <c r="B163" s="415"/>
      <c r="C163" s="415"/>
      <c r="D163" s="415"/>
      <c r="E163" s="414"/>
      <c r="F163" s="92"/>
      <c r="G163" s="92"/>
      <c r="H163" s="92"/>
      <c r="I163" s="92"/>
      <c r="J163" s="92"/>
      <c r="K163" s="92"/>
      <c r="L163" s="92"/>
      <c r="M163" s="92"/>
      <c r="N163" s="92"/>
      <c r="O163" s="92"/>
      <c r="P163" s="92"/>
      <c r="Q163" s="92"/>
      <c r="R163" s="92"/>
      <c r="S163" s="92"/>
      <c r="T163" s="92"/>
      <c r="U163" s="92"/>
      <c r="V163" s="92"/>
      <c r="W163" s="92"/>
      <c r="X163" s="92"/>
      <c r="Y163" s="92"/>
      <c r="Z163" s="92"/>
    </row>
    <row r="164" ht="14.25" customHeight="1">
      <c r="A164" s="414"/>
      <c r="B164" s="415"/>
      <c r="C164" s="415"/>
      <c r="D164" s="415"/>
      <c r="E164" s="414"/>
      <c r="F164" s="92"/>
      <c r="G164" s="92"/>
      <c r="H164" s="92"/>
      <c r="I164" s="92"/>
      <c r="J164" s="92"/>
      <c r="K164" s="92"/>
      <c r="L164" s="92"/>
      <c r="M164" s="92"/>
      <c r="N164" s="92"/>
      <c r="O164" s="92"/>
      <c r="P164" s="92"/>
      <c r="Q164" s="92"/>
      <c r="R164" s="92"/>
      <c r="S164" s="92"/>
      <c r="T164" s="92"/>
      <c r="U164" s="92"/>
      <c r="V164" s="92"/>
      <c r="W164" s="92"/>
      <c r="X164" s="92"/>
      <c r="Y164" s="92"/>
      <c r="Z164" s="92"/>
    </row>
    <row r="165" ht="14.25" customHeight="1">
      <c r="A165" s="414"/>
      <c r="B165" s="415"/>
      <c r="C165" s="415"/>
      <c r="D165" s="415"/>
      <c r="E165" s="414"/>
      <c r="F165" s="92"/>
      <c r="G165" s="92"/>
      <c r="H165" s="92"/>
      <c r="I165" s="92"/>
      <c r="J165" s="92"/>
      <c r="K165" s="92"/>
      <c r="L165" s="92"/>
      <c r="M165" s="92"/>
      <c r="N165" s="92"/>
      <c r="O165" s="92"/>
      <c r="P165" s="92"/>
      <c r="Q165" s="92"/>
      <c r="R165" s="92"/>
      <c r="S165" s="92"/>
      <c r="T165" s="92"/>
      <c r="U165" s="92"/>
      <c r="V165" s="92"/>
      <c r="W165" s="92"/>
      <c r="X165" s="92"/>
      <c r="Y165" s="92"/>
      <c r="Z165" s="92"/>
    </row>
    <row r="166" ht="14.25" customHeight="1">
      <c r="A166" s="414"/>
      <c r="B166" s="415"/>
      <c r="C166" s="415"/>
      <c r="D166" s="415"/>
      <c r="E166" s="414"/>
      <c r="F166" s="92"/>
      <c r="G166" s="92"/>
      <c r="H166" s="92"/>
      <c r="I166" s="92"/>
      <c r="J166" s="92"/>
      <c r="K166" s="92"/>
      <c r="L166" s="92"/>
      <c r="M166" s="92"/>
      <c r="N166" s="92"/>
      <c r="O166" s="92"/>
      <c r="P166" s="92"/>
      <c r="Q166" s="92"/>
      <c r="R166" s="92"/>
      <c r="S166" s="92"/>
      <c r="T166" s="92"/>
      <c r="U166" s="92"/>
      <c r="V166" s="92"/>
      <c r="W166" s="92"/>
      <c r="X166" s="92"/>
      <c r="Y166" s="92"/>
      <c r="Z166" s="92"/>
    </row>
    <row r="167" ht="14.25" customHeight="1">
      <c r="A167" s="414"/>
      <c r="B167" s="415"/>
      <c r="C167" s="415"/>
      <c r="D167" s="415"/>
      <c r="E167" s="414"/>
      <c r="F167" s="92"/>
      <c r="G167" s="92"/>
      <c r="H167" s="92"/>
      <c r="I167" s="92"/>
      <c r="J167" s="92"/>
      <c r="K167" s="92"/>
      <c r="L167" s="92"/>
      <c r="M167" s="92"/>
      <c r="N167" s="92"/>
      <c r="O167" s="92"/>
      <c r="P167" s="92"/>
      <c r="Q167" s="92"/>
      <c r="R167" s="92"/>
      <c r="S167" s="92"/>
      <c r="T167" s="92"/>
      <c r="U167" s="92"/>
      <c r="V167" s="92"/>
      <c r="W167" s="92"/>
      <c r="X167" s="92"/>
      <c r="Y167" s="92"/>
      <c r="Z167" s="92"/>
    </row>
    <row r="168" ht="14.25" customHeight="1">
      <c r="A168" s="414"/>
      <c r="B168" s="415"/>
      <c r="C168" s="415"/>
      <c r="D168" s="415"/>
      <c r="E168" s="414"/>
      <c r="F168" s="92"/>
      <c r="G168" s="92"/>
      <c r="H168" s="92"/>
      <c r="I168" s="92"/>
      <c r="J168" s="92"/>
      <c r="K168" s="92"/>
      <c r="L168" s="92"/>
      <c r="M168" s="92"/>
      <c r="N168" s="92"/>
      <c r="O168" s="92"/>
      <c r="P168" s="92"/>
      <c r="Q168" s="92"/>
      <c r="R168" s="92"/>
      <c r="S168" s="92"/>
      <c r="T168" s="92"/>
      <c r="U168" s="92"/>
      <c r="V168" s="92"/>
      <c r="W168" s="92"/>
      <c r="X168" s="92"/>
      <c r="Y168" s="92"/>
      <c r="Z168" s="92"/>
    </row>
    <row r="169" ht="14.25" customHeight="1">
      <c r="A169" s="414"/>
      <c r="B169" s="415"/>
      <c r="C169" s="415"/>
      <c r="D169" s="415"/>
      <c r="E169" s="414"/>
      <c r="F169" s="92"/>
      <c r="G169" s="92"/>
      <c r="H169" s="92"/>
      <c r="I169" s="92"/>
      <c r="J169" s="92"/>
      <c r="K169" s="92"/>
      <c r="L169" s="92"/>
      <c r="M169" s="92"/>
      <c r="N169" s="92"/>
      <c r="O169" s="92"/>
      <c r="P169" s="92"/>
      <c r="Q169" s="92"/>
      <c r="R169" s="92"/>
      <c r="S169" s="92"/>
      <c r="T169" s="92"/>
      <c r="U169" s="92"/>
      <c r="V169" s="92"/>
      <c r="W169" s="92"/>
      <c r="X169" s="92"/>
      <c r="Y169" s="92"/>
      <c r="Z169" s="92"/>
    </row>
    <row r="170" ht="14.25" customHeight="1">
      <c r="A170" s="414"/>
      <c r="B170" s="415"/>
      <c r="C170" s="415"/>
      <c r="D170" s="415"/>
      <c r="E170" s="414"/>
      <c r="F170" s="92"/>
      <c r="G170" s="92"/>
      <c r="H170" s="92"/>
      <c r="I170" s="92"/>
      <c r="J170" s="92"/>
      <c r="K170" s="92"/>
      <c r="L170" s="92"/>
      <c r="M170" s="92"/>
      <c r="N170" s="92"/>
      <c r="O170" s="92"/>
      <c r="P170" s="92"/>
      <c r="Q170" s="92"/>
      <c r="R170" s="92"/>
      <c r="S170" s="92"/>
      <c r="T170" s="92"/>
      <c r="U170" s="92"/>
      <c r="V170" s="92"/>
      <c r="W170" s="92"/>
      <c r="X170" s="92"/>
      <c r="Y170" s="92"/>
      <c r="Z170" s="92"/>
    </row>
    <row r="171" ht="14.25" customHeight="1">
      <c r="A171" s="414"/>
      <c r="B171" s="415"/>
      <c r="C171" s="415"/>
      <c r="D171" s="415"/>
      <c r="E171" s="414"/>
      <c r="F171" s="92"/>
      <c r="G171" s="92"/>
      <c r="H171" s="92"/>
      <c r="I171" s="92"/>
      <c r="J171" s="92"/>
      <c r="K171" s="92"/>
      <c r="L171" s="92"/>
      <c r="M171" s="92"/>
      <c r="N171" s="92"/>
      <c r="O171" s="92"/>
      <c r="P171" s="92"/>
      <c r="Q171" s="92"/>
      <c r="R171" s="92"/>
      <c r="S171" s="92"/>
      <c r="T171" s="92"/>
      <c r="U171" s="92"/>
      <c r="V171" s="92"/>
      <c r="W171" s="92"/>
      <c r="X171" s="92"/>
      <c r="Y171" s="92"/>
      <c r="Z171" s="92"/>
    </row>
    <row r="172" ht="14.25" customHeight="1">
      <c r="A172" s="414"/>
      <c r="B172" s="415"/>
      <c r="C172" s="415"/>
      <c r="D172" s="415"/>
      <c r="E172" s="414"/>
      <c r="F172" s="92"/>
      <c r="G172" s="92"/>
      <c r="H172" s="92"/>
      <c r="I172" s="92"/>
      <c r="J172" s="92"/>
      <c r="K172" s="92"/>
      <c r="L172" s="92"/>
      <c r="M172" s="92"/>
      <c r="N172" s="92"/>
      <c r="O172" s="92"/>
      <c r="P172" s="92"/>
      <c r="Q172" s="92"/>
      <c r="R172" s="92"/>
      <c r="S172" s="92"/>
      <c r="T172" s="92"/>
      <c r="U172" s="92"/>
      <c r="V172" s="92"/>
      <c r="W172" s="92"/>
      <c r="X172" s="92"/>
      <c r="Y172" s="92"/>
      <c r="Z172" s="92"/>
    </row>
    <row r="173" ht="14.25" customHeight="1">
      <c r="A173" s="414"/>
      <c r="B173" s="415"/>
      <c r="C173" s="415"/>
      <c r="D173" s="415"/>
      <c r="E173" s="414"/>
      <c r="F173" s="92"/>
      <c r="G173" s="92"/>
      <c r="H173" s="92"/>
      <c r="I173" s="92"/>
      <c r="J173" s="92"/>
      <c r="K173" s="92"/>
      <c r="L173" s="92"/>
      <c r="M173" s="92"/>
      <c r="N173" s="92"/>
      <c r="O173" s="92"/>
      <c r="P173" s="92"/>
      <c r="Q173" s="92"/>
      <c r="R173" s="92"/>
      <c r="S173" s="92"/>
      <c r="T173" s="92"/>
      <c r="U173" s="92"/>
      <c r="V173" s="92"/>
      <c r="W173" s="92"/>
      <c r="X173" s="92"/>
      <c r="Y173" s="92"/>
      <c r="Z173" s="92"/>
    </row>
    <row r="174" ht="14.25" customHeight="1">
      <c r="A174" s="414"/>
      <c r="B174" s="415"/>
      <c r="C174" s="415"/>
      <c r="D174" s="415"/>
      <c r="E174" s="414"/>
      <c r="F174" s="92"/>
      <c r="G174" s="92"/>
      <c r="H174" s="92"/>
      <c r="I174" s="92"/>
      <c r="J174" s="92"/>
      <c r="K174" s="92"/>
      <c r="L174" s="92"/>
      <c r="M174" s="92"/>
      <c r="N174" s="92"/>
      <c r="O174" s="92"/>
      <c r="P174" s="92"/>
      <c r="Q174" s="92"/>
      <c r="R174" s="92"/>
      <c r="S174" s="92"/>
      <c r="T174" s="92"/>
      <c r="U174" s="92"/>
      <c r="V174" s="92"/>
      <c r="W174" s="92"/>
      <c r="X174" s="92"/>
      <c r="Y174" s="92"/>
      <c r="Z174" s="92"/>
    </row>
    <row r="175" ht="14.25" customHeight="1">
      <c r="A175" s="414"/>
      <c r="B175" s="415"/>
      <c r="C175" s="415"/>
      <c r="D175" s="415"/>
      <c r="E175" s="414"/>
      <c r="F175" s="92"/>
      <c r="G175" s="92"/>
      <c r="H175" s="92"/>
      <c r="I175" s="92"/>
      <c r="J175" s="92"/>
      <c r="K175" s="92"/>
      <c r="L175" s="92"/>
      <c r="M175" s="92"/>
      <c r="N175" s="92"/>
      <c r="O175" s="92"/>
      <c r="P175" s="92"/>
      <c r="Q175" s="92"/>
      <c r="R175" s="92"/>
      <c r="S175" s="92"/>
      <c r="T175" s="92"/>
      <c r="U175" s="92"/>
      <c r="V175" s="92"/>
      <c r="W175" s="92"/>
      <c r="X175" s="92"/>
      <c r="Y175" s="92"/>
      <c r="Z175" s="92"/>
    </row>
    <row r="176" ht="14.25" customHeight="1">
      <c r="A176" s="414"/>
      <c r="B176" s="415"/>
      <c r="C176" s="415"/>
      <c r="D176" s="415"/>
      <c r="E176" s="414"/>
      <c r="F176" s="92"/>
      <c r="G176" s="92"/>
      <c r="H176" s="92"/>
      <c r="I176" s="92"/>
      <c r="J176" s="92"/>
      <c r="K176" s="92"/>
      <c r="L176" s="92"/>
      <c r="M176" s="92"/>
      <c r="N176" s="92"/>
      <c r="O176" s="92"/>
      <c r="P176" s="92"/>
      <c r="Q176" s="92"/>
      <c r="R176" s="92"/>
      <c r="S176" s="92"/>
      <c r="T176" s="92"/>
      <c r="U176" s="92"/>
      <c r="V176" s="92"/>
      <c r="W176" s="92"/>
      <c r="X176" s="92"/>
      <c r="Y176" s="92"/>
      <c r="Z176" s="92"/>
    </row>
    <row r="177" ht="14.25" customHeight="1">
      <c r="A177" s="414"/>
      <c r="B177" s="415"/>
      <c r="C177" s="415"/>
      <c r="D177" s="415"/>
      <c r="E177" s="414"/>
      <c r="F177" s="92"/>
      <c r="G177" s="92"/>
      <c r="H177" s="92"/>
      <c r="I177" s="92"/>
      <c r="J177" s="92"/>
      <c r="K177" s="92"/>
      <c r="L177" s="92"/>
      <c r="M177" s="92"/>
      <c r="N177" s="92"/>
      <c r="O177" s="92"/>
      <c r="P177" s="92"/>
      <c r="Q177" s="92"/>
      <c r="R177" s="92"/>
      <c r="S177" s="92"/>
      <c r="T177" s="92"/>
      <c r="U177" s="92"/>
      <c r="V177" s="92"/>
      <c r="W177" s="92"/>
      <c r="X177" s="92"/>
      <c r="Y177" s="92"/>
      <c r="Z177" s="92"/>
    </row>
    <row r="178" ht="14.25" customHeight="1">
      <c r="A178" s="414"/>
      <c r="B178" s="415"/>
      <c r="C178" s="415"/>
      <c r="D178" s="415"/>
      <c r="E178" s="414"/>
      <c r="F178" s="92"/>
      <c r="G178" s="92"/>
      <c r="H178" s="92"/>
      <c r="I178" s="92"/>
      <c r="J178" s="92"/>
      <c r="K178" s="92"/>
      <c r="L178" s="92"/>
      <c r="M178" s="92"/>
      <c r="N178" s="92"/>
      <c r="O178" s="92"/>
      <c r="P178" s="92"/>
      <c r="Q178" s="92"/>
      <c r="R178" s="92"/>
      <c r="S178" s="92"/>
      <c r="T178" s="92"/>
      <c r="U178" s="92"/>
      <c r="V178" s="92"/>
      <c r="W178" s="92"/>
      <c r="X178" s="92"/>
      <c r="Y178" s="92"/>
      <c r="Z178" s="92"/>
    </row>
    <row r="179" ht="14.25" customHeight="1">
      <c r="A179" s="414"/>
      <c r="B179" s="415"/>
      <c r="C179" s="415"/>
      <c r="D179" s="415"/>
      <c r="E179" s="414"/>
      <c r="F179" s="92"/>
      <c r="G179" s="92"/>
      <c r="H179" s="92"/>
      <c r="I179" s="92"/>
      <c r="J179" s="92"/>
      <c r="K179" s="92"/>
      <c r="L179" s="92"/>
      <c r="M179" s="92"/>
      <c r="N179" s="92"/>
      <c r="O179" s="92"/>
      <c r="P179" s="92"/>
      <c r="Q179" s="92"/>
      <c r="R179" s="92"/>
      <c r="S179" s="92"/>
      <c r="T179" s="92"/>
      <c r="U179" s="92"/>
      <c r="V179" s="92"/>
      <c r="W179" s="92"/>
      <c r="X179" s="92"/>
      <c r="Y179" s="92"/>
      <c r="Z179" s="92"/>
    </row>
    <row r="180" ht="14.25" customHeight="1">
      <c r="A180" s="414"/>
      <c r="B180" s="415"/>
      <c r="C180" s="415"/>
      <c r="D180" s="415"/>
      <c r="E180" s="414"/>
      <c r="F180" s="92"/>
      <c r="G180" s="92"/>
      <c r="H180" s="92"/>
      <c r="I180" s="92"/>
      <c r="J180" s="92"/>
      <c r="K180" s="92"/>
      <c r="L180" s="92"/>
      <c r="M180" s="92"/>
      <c r="N180" s="92"/>
      <c r="O180" s="92"/>
      <c r="P180" s="92"/>
      <c r="Q180" s="92"/>
      <c r="R180" s="92"/>
      <c r="S180" s="92"/>
      <c r="T180" s="92"/>
      <c r="U180" s="92"/>
      <c r="V180" s="92"/>
      <c r="W180" s="92"/>
      <c r="X180" s="92"/>
      <c r="Y180" s="92"/>
      <c r="Z180" s="92"/>
    </row>
    <row r="181" ht="14.25" customHeight="1">
      <c r="A181" s="414"/>
      <c r="B181" s="415"/>
      <c r="C181" s="415"/>
      <c r="D181" s="415"/>
      <c r="E181" s="414"/>
      <c r="F181" s="92"/>
      <c r="G181" s="92"/>
      <c r="H181" s="92"/>
      <c r="I181" s="92"/>
      <c r="J181" s="92"/>
      <c r="K181" s="92"/>
      <c r="L181" s="92"/>
      <c r="M181" s="92"/>
      <c r="N181" s="92"/>
      <c r="O181" s="92"/>
      <c r="P181" s="92"/>
      <c r="Q181" s="92"/>
      <c r="R181" s="92"/>
      <c r="S181" s="92"/>
      <c r="T181" s="92"/>
      <c r="U181" s="92"/>
      <c r="V181" s="92"/>
      <c r="W181" s="92"/>
      <c r="X181" s="92"/>
      <c r="Y181" s="92"/>
      <c r="Z181" s="92"/>
    </row>
    <row r="182" ht="14.25" customHeight="1">
      <c r="A182" s="414"/>
      <c r="B182" s="415"/>
      <c r="C182" s="415"/>
      <c r="D182" s="415"/>
      <c r="E182" s="414"/>
      <c r="F182" s="92"/>
      <c r="G182" s="92"/>
      <c r="H182" s="92"/>
      <c r="I182" s="92"/>
      <c r="J182" s="92"/>
      <c r="K182" s="92"/>
      <c r="L182" s="92"/>
      <c r="M182" s="92"/>
      <c r="N182" s="92"/>
      <c r="O182" s="92"/>
      <c r="P182" s="92"/>
      <c r="Q182" s="92"/>
      <c r="R182" s="92"/>
      <c r="S182" s="92"/>
      <c r="T182" s="92"/>
      <c r="U182" s="92"/>
      <c r="V182" s="92"/>
      <c r="W182" s="92"/>
      <c r="X182" s="92"/>
      <c r="Y182" s="92"/>
      <c r="Z182" s="92"/>
    </row>
    <row r="183" ht="14.25" customHeight="1">
      <c r="A183" s="414"/>
      <c r="B183" s="415"/>
      <c r="C183" s="415"/>
      <c r="D183" s="415"/>
      <c r="E183" s="414"/>
      <c r="F183" s="92"/>
      <c r="G183" s="92"/>
      <c r="H183" s="92"/>
      <c r="I183" s="92"/>
      <c r="J183" s="92"/>
      <c r="K183" s="92"/>
      <c r="L183" s="92"/>
      <c r="M183" s="92"/>
      <c r="N183" s="92"/>
      <c r="O183" s="92"/>
      <c r="P183" s="92"/>
      <c r="Q183" s="92"/>
      <c r="R183" s="92"/>
      <c r="S183" s="92"/>
      <c r="T183" s="92"/>
      <c r="U183" s="92"/>
      <c r="V183" s="92"/>
      <c r="W183" s="92"/>
      <c r="X183" s="92"/>
      <c r="Y183" s="92"/>
      <c r="Z183" s="92"/>
    </row>
    <row r="184" ht="14.25" customHeight="1">
      <c r="A184" s="414"/>
      <c r="B184" s="415"/>
      <c r="C184" s="415"/>
      <c r="D184" s="415"/>
      <c r="E184" s="414"/>
      <c r="F184" s="92"/>
      <c r="G184" s="92"/>
      <c r="H184" s="92"/>
      <c r="I184" s="92"/>
      <c r="J184" s="92"/>
      <c r="K184" s="92"/>
      <c r="L184" s="92"/>
      <c r="M184" s="92"/>
      <c r="N184" s="92"/>
      <c r="O184" s="92"/>
      <c r="P184" s="92"/>
      <c r="Q184" s="92"/>
      <c r="R184" s="92"/>
      <c r="S184" s="92"/>
      <c r="T184" s="92"/>
      <c r="U184" s="92"/>
      <c r="V184" s="92"/>
      <c r="W184" s="92"/>
      <c r="X184" s="92"/>
      <c r="Y184" s="92"/>
      <c r="Z184" s="92"/>
    </row>
    <row r="185" ht="14.25" customHeight="1">
      <c r="A185" s="414"/>
      <c r="B185" s="415"/>
      <c r="C185" s="415"/>
      <c r="D185" s="415"/>
      <c r="E185" s="414"/>
      <c r="F185" s="92"/>
      <c r="G185" s="92"/>
      <c r="H185" s="92"/>
      <c r="I185" s="92"/>
      <c r="J185" s="92"/>
      <c r="K185" s="92"/>
      <c r="L185" s="92"/>
      <c r="M185" s="92"/>
      <c r="N185" s="92"/>
      <c r="O185" s="92"/>
      <c r="P185" s="92"/>
      <c r="Q185" s="92"/>
      <c r="R185" s="92"/>
      <c r="S185" s="92"/>
      <c r="T185" s="92"/>
      <c r="U185" s="92"/>
      <c r="V185" s="92"/>
      <c r="W185" s="92"/>
      <c r="X185" s="92"/>
      <c r="Y185" s="92"/>
      <c r="Z185" s="92"/>
    </row>
    <row r="186" ht="14.25" customHeight="1">
      <c r="A186" s="414"/>
      <c r="B186" s="415"/>
      <c r="C186" s="415"/>
      <c r="D186" s="415"/>
      <c r="E186" s="414"/>
      <c r="F186" s="92"/>
      <c r="G186" s="92"/>
      <c r="H186" s="92"/>
      <c r="I186" s="92"/>
      <c r="J186" s="92"/>
      <c r="K186" s="92"/>
      <c r="L186" s="92"/>
      <c r="M186" s="92"/>
      <c r="N186" s="92"/>
      <c r="O186" s="92"/>
      <c r="P186" s="92"/>
      <c r="Q186" s="92"/>
      <c r="R186" s="92"/>
      <c r="S186" s="92"/>
      <c r="T186" s="92"/>
      <c r="U186" s="92"/>
      <c r="V186" s="92"/>
      <c r="W186" s="92"/>
      <c r="X186" s="92"/>
      <c r="Y186" s="92"/>
      <c r="Z186" s="92"/>
    </row>
    <row r="187" ht="14.25" customHeight="1">
      <c r="A187" s="414"/>
      <c r="B187" s="415"/>
      <c r="C187" s="415"/>
      <c r="D187" s="415"/>
      <c r="E187" s="414"/>
      <c r="F187" s="92"/>
      <c r="G187" s="92"/>
      <c r="H187" s="92"/>
      <c r="I187" s="92"/>
      <c r="J187" s="92"/>
      <c r="K187" s="92"/>
      <c r="L187" s="92"/>
      <c r="M187" s="92"/>
      <c r="N187" s="92"/>
      <c r="O187" s="92"/>
      <c r="P187" s="92"/>
      <c r="Q187" s="92"/>
      <c r="R187" s="92"/>
      <c r="S187" s="92"/>
      <c r="T187" s="92"/>
      <c r="U187" s="92"/>
      <c r="V187" s="92"/>
      <c r="W187" s="92"/>
      <c r="X187" s="92"/>
      <c r="Y187" s="92"/>
      <c r="Z187" s="92"/>
    </row>
    <row r="188" ht="14.25" customHeight="1">
      <c r="A188" s="414"/>
      <c r="B188" s="415"/>
      <c r="C188" s="415"/>
      <c r="D188" s="415"/>
      <c r="E188" s="414"/>
      <c r="F188" s="92"/>
      <c r="G188" s="92"/>
      <c r="H188" s="92"/>
      <c r="I188" s="92"/>
      <c r="J188" s="92"/>
      <c r="K188" s="92"/>
      <c r="L188" s="92"/>
      <c r="M188" s="92"/>
      <c r="N188" s="92"/>
      <c r="O188" s="92"/>
      <c r="P188" s="92"/>
      <c r="Q188" s="92"/>
      <c r="R188" s="92"/>
      <c r="S188" s="92"/>
      <c r="T188" s="92"/>
      <c r="U188" s="92"/>
      <c r="V188" s="92"/>
      <c r="W188" s="92"/>
      <c r="X188" s="92"/>
      <c r="Y188" s="92"/>
      <c r="Z188" s="92"/>
    </row>
    <row r="189" ht="14.25" customHeight="1">
      <c r="A189" s="414"/>
      <c r="B189" s="415"/>
      <c r="C189" s="415"/>
      <c r="D189" s="415"/>
      <c r="E189" s="414"/>
      <c r="F189" s="92"/>
      <c r="G189" s="92"/>
      <c r="H189" s="92"/>
      <c r="I189" s="92"/>
      <c r="J189" s="92"/>
      <c r="K189" s="92"/>
      <c r="L189" s="92"/>
      <c r="M189" s="92"/>
      <c r="N189" s="92"/>
      <c r="O189" s="92"/>
      <c r="P189" s="92"/>
      <c r="Q189" s="92"/>
      <c r="R189" s="92"/>
      <c r="S189" s="92"/>
      <c r="T189" s="92"/>
      <c r="U189" s="92"/>
      <c r="V189" s="92"/>
      <c r="W189" s="92"/>
      <c r="X189" s="92"/>
      <c r="Y189" s="92"/>
      <c r="Z189" s="92"/>
    </row>
    <row r="190" ht="14.25" customHeight="1">
      <c r="A190" s="414"/>
      <c r="B190" s="415"/>
      <c r="C190" s="415"/>
      <c r="D190" s="415"/>
      <c r="E190" s="414"/>
      <c r="F190" s="92"/>
      <c r="G190" s="92"/>
      <c r="H190" s="92"/>
      <c r="I190" s="92"/>
      <c r="J190" s="92"/>
      <c r="K190" s="92"/>
      <c r="L190" s="92"/>
      <c r="M190" s="92"/>
      <c r="N190" s="92"/>
      <c r="O190" s="92"/>
      <c r="P190" s="92"/>
      <c r="Q190" s="92"/>
      <c r="R190" s="92"/>
      <c r="S190" s="92"/>
      <c r="T190" s="92"/>
      <c r="U190" s="92"/>
      <c r="V190" s="92"/>
      <c r="W190" s="92"/>
      <c r="X190" s="92"/>
      <c r="Y190" s="92"/>
      <c r="Z190" s="92"/>
    </row>
    <row r="191" ht="14.25" customHeight="1">
      <c r="A191" s="414"/>
      <c r="B191" s="415"/>
      <c r="C191" s="415"/>
      <c r="D191" s="415"/>
      <c r="E191" s="414"/>
      <c r="F191" s="92"/>
      <c r="G191" s="92"/>
      <c r="H191" s="92"/>
      <c r="I191" s="92"/>
      <c r="J191" s="92"/>
      <c r="K191" s="92"/>
      <c r="L191" s="92"/>
      <c r="M191" s="92"/>
      <c r="N191" s="92"/>
      <c r="O191" s="92"/>
      <c r="P191" s="92"/>
      <c r="Q191" s="92"/>
      <c r="R191" s="92"/>
      <c r="S191" s="92"/>
      <c r="T191" s="92"/>
      <c r="U191" s="92"/>
      <c r="V191" s="92"/>
      <c r="W191" s="92"/>
      <c r="X191" s="92"/>
      <c r="Y191" s="92"/>
      <c r="Z191" s="92"/>
    </row>
    <row r="192" ht="14.25" customHeight="1">
      <c r="A192" s="414"/>
      <c r="B192" s="415"/>
      <c r="C192" s="415"/>
      <c r="D192" s="415"/>
      <c r="E192" s="414"/>
      <c r="F192" s="92"/>
      <c r="G192" s="92"/>
      <c r="H192" s="92"/>
      <c r="I192" s="92"/>
      <c r="J192" s="92"/>
      <c r="K192" s="92"/>
      <c r="L192" s="92"/>
      <c r="M192" s="92"/>
      <c r="N192" s="92"/>
      <c r="O192" s="92"/>
      <c r="P192" s="92"/>
      <c r="Q192" s="92"/>
      <c r="R192" s="92"/>
      <c r="S192" s="92"/>
      <c r="T192" s="92"/>
      <c r="U192" s="92"/>
      <c r="V192" s="92"/>
      <c r="W192" s="92"/>
      <c r="X192" s="92"/>
      <c r="Y192" s="92"/>
      <c r="Z192" s="92"/>
    </row>
    <row r="193" ht="14.25" customHeight="1">
      <c r="A193" s="414"/>
      <c r="B193" s="415"/>
      <c r="C193" s="415"/>
      <c r="D193" s="415"/>
      <c r="E193" s="414"/>
      <c r="F193" s="92"/>
      <c r="G193" s="92"/>
      <c r="H193" s="92"/>
      <c r="I193" s="92"/>
      <c r="J193" s="92"/>
      <c r="K193" s="92"/>
      <c r="L193" s="92"/>
      <c r="M193" s="92"/>
      <c r="N193" s="92"/>
      <c r="O193" s="92"/>
      <c r="P193" s="92"/>
      <c r="Q193" s="92"/>
      <c r="R193" s="92"/>
      <c r="S193" s="92"/>
      <c r="T193" s="92"/>
      <c r="U193" s="92"/>
      <c r="V193" s="92"/>
      <c r="W193" s="92"/>
      <c r="X193" s="92"/>
      <c r="Y193" s="92"/>
      <c r="Z193" s="92"/>
    </row>
    <row r="194" ht="14.25" customHeight="1">
      <c r="A194" s="414"/>
      <c r="B194" s="415"/>
      <c r="C194" s="415"/>
      <c r="D194" s="415"/>
      <c r="E194" s="414"/>
      <c r="F194" s="92"/>
      <c r="G194" s="92"/>
      <c r="H194" s="92"/>
      <c r="I194" s="92"/>
      <c r="J194" s="92"/>
      <c r="K194" s="92"/>
      <c r="L194" s="92"/>
      <c r="M194" s="92"/>
      <c r="N194" s="92"/>
      <c r="O194" s="92"/>
      <c r="P194" s="92"/>
      <c r="Q194" s="92"/>
      <c r="R194" s="92"/>
      <c r="S194" s="92"/>
      <c r="T194" s="92"/>
      <c r="U194" s="92"/>
      <c r="V194" s="92"/>
      <c r="W194" s="92"/>
      <c r="X194" s="92"/>
      <c r="Y194" s="92"/>
      <c r="Z194" s="92"/>
    </row>
    <row r="195" ht="14.25" customHeight="1">
      <c r="A195" s="414"/>
      <c r="B195" s="415"/>
      <c r="C195" s="415"/>
      <c r="D195" s="415"/>
      <c r="E195" s="414"/>
      <c r="F195" s="92"/>
      <c r="G195" s="92"/>
      <c r="H195" s="92"/>
      <c r="I195" s="92"/>
      <c r="J195" s="92"/>
      <c r="K195" s="92"/>
      <c r="L195" s="92"/>
      <c r="M195" s="92"/>
      <c r="N195" s="92"/>
      <c r="O195" s="92"/>
      <c r="P195" s="92"/>
      <c r="Q195" s="92"/>
      <c r="R195" s="92"/>
      <c r="S195" s="92"/>
      <c r="T195" s="92"/>
      <c r="U195" s="92"/>
      <c r="V195" s="92"/>
      <c r="W195" s="92"/>
      <c r="X195" s="92"/>
      <c r="Y195" s="92"/>
      <c r="Z195" s="92"/>
    </row>
    <row r="196" ht="14.25" customHeight="1">
      <c r="A196" s="414"/>
      <c r="B196" s="415"/>
      <c r="C196" s="415"/>
      <c r="D196" s="415"/>
      <c r="E196" s="414"/>
      <c r="F196" s="92"/>
      <c r="G196" s="92"/>
      <c r="H196" s="92"/>
      <c r="I196" s="92"/>
      <c r="J196" s="92"/>
      <c r="K196" s="92"/>
      <c r="L196" s="92"/>
      <c r="M196" s="92"/>
      <c r="N196" s="92"/>
      <c r="O196" s="92"/>
      <c r="P196" s="92"/>
      <c r="Q196" s="92"/>
      <c r="R196" s="92"/>
      <c r="S196" s="92"/>
      <c r="T196" s="92"/>
      <c r="U196" s="92"/>
      <c r="V196" s="92"/>
      <c r="W196" s="92"/>
      <c r="X196" s="92"/>
      <c r="Y196" s="92"/>
      <c r="Z196" s="92"/>
    </row>
    <row r="197" ht="14.25" customHeight="1">
      <c r="A197" s="414"/>
      <c r="B197" s="415"/>
      <c r="C197" s="415"/>
      <c r="D197" s="415"/>
      <c r="E197" s="414"/>
      <c r="F197" s="92"/>
      <c r="G197" s="92"/>
      <c r="H197" s="92"/>
      <c r="I197" s="92"/>
      <c r="J197" s="92"/>
      <c r="K197" s="92"/>
      <c r="L197" s="92"/>
      <c r="M197" s="92"/>
      <c r="N197" s="92"/>
      <c r="O197" s="92"/>
      <c r="P197" s="92"/>
      <c r="Q197" s="92"/>
      <c r="R197" s="92"/>
      <c r="S197" s="92"/>
      <c r="T197" s="92"/>
      <c r="U197" s="92"/>
      <c r="V197" s="92"/>
      <c r="W197" s="92"/>
      <c r="X197" s="92"/>
      <c r="Y197" s="92"/>
      <c r="Z197" s="92"/>
    </row>
    <row r="198" ht="14.25" customHeight="1">
      <c r="A198" s="414"/>
      <c r="B198" s="415"/>
      <c r="C198" s="415"/>
      <c r="D198" s="415"/>
      <c r="E198" s="414"/>
      <c r="F198" s="92"/>
      <c r="G198" s="92"/>
      <c r="H198" s="92"/>
      <c r="I198" s="92"/>
      <c r="J198" s="92"/>
      <c r="K198" s="92"/>
      <c r="L198" s="92"/>
      <c r="M198" s="92"/>
      <c r="N198" s="92"/>
      <c r="O198" s="92"/>
      <c r="P198" s="92"/>
      <c r="Q198" s="92"/>
      <c r="R198" s="92"/>
      <c r="S198" s="92"/>
      <c r="T198" s="92"/>
      <c r="U198" s="92"/>
      <c r="V198" s="92"/>
      <c r="W198" s="92"/>
      <c r="X198" s="92"/>
      <c r="Y198" s="92"/>
      <c r="Z198" s="92"/>
    </row>
    <row r="199" ht="14.25" customHeight="1">
      <c r="A199" s="414"/>
      <c r="B199" s="415"/>
      <c r="C199" s="415"/>
      <c r="D199" s="415"/>
      <c r="E199" s="414"/>
      <c r="F199" s="92"/>
      <c r="G199" s="92"/>
      <c r="H199" s="92"/>
      <c r="I199" s="92"/>
      <c r="J199" s="92"/>
      <c r="K199" s="92"/>
      <c r="L199" s="92"/>
      <c r="M199" s="92"/>
      <c r="N199" s="92"/>
      <c r="O199" s="92"/>
      <c r="P199" s="92"/>
      <c r="Q199" s="92"/>
      <c r="R199" s="92"/>
      <c r="S199" s="92"/>
      <c r="T199" s="92"/>
      <c r="U199" s="92"/>
      <c r="V199" s="92"/>
      <c r="W199" s="92"/>
      <c r="X199" s="92"/>
      <c r="Y199" s="92"/>
      <c r="Z199" s="92"/>
    </row>
    <row r="200" ht="14.25" customHeight="1">
      <c r="A200" s="414"/>
      <c r="B200" s="415"/>
      <c r="C200" s="415"/>
      <c r="D200" s="415"/>
      <c r="E200" s="414"/>
      <c r="F200" s="92"/>
      <c r="G200" s="92"/>
      <c r="H200" s="92"/>
      <c r="I200" s="92"/>
      <c r="J200" s="92"/>
      <c r="K200" s="92"/>
      <c r="L200" s="92"/>
      <c r="M200" s="92"/>
      <c r="N200" s="92"/>
      <c r="O200" s="92"/>
      <c r="P200" s="92"/>
      <c r="Q200" s="92"/>
      <c r="R200" s="92"/>
      <c r="S200" s="92"/>
      <c r="T200" s="92"/>
      <c r="U200" s="92"/>
      <c r="V200" s="92"/>
      <c r="W200" s="92"/>
      <c r="X200" s="92"/>
      <c r="Y200" s="92"/>
      <c r="Z200" s="92"/>
    </row>
    <row r="201" ht="14.25" customHeight="1">
      <c r="A201" s="414"/>
      <c r="B201" s="415"/>
      <c r="C201" s="415"/>
      <c r="D201" s="415"/>
      <c r="E201" s="414"/>
      <c r="F201" s="92"/>
      <c r="G201" s="92"/>
      <c r="H201" s="92"/>
      <c r="I201" s="92"/>
      <c r="J201" s="92"/>
      <c r="K201" s="92"/>
      <c r="L201" s="92"/>
      <c r="M201" s="92"/>
      <c r="N201" s="92"/>
      <c r="O201" s="92"/>
      <c r="P201" s="92"/>
      <c r="Q201" s="92"/>
      <c r="R201" s="92"/>
      <c r="S201" s="92"/>
      <c r="T201" s="92"/>
      <c r="U201" s="92"/>
      <c r="V201" s="92"/>
      <c r="W201" s="92"/>
      <c r="X201" s="92"/>
      <c r="Y201" s="92"/>
      <c r="Z201" s="92"/>
    </row>
    <row r="202" ht="14.25" customHeight="1">
      <c r="A202" s="414"/>
      <c r="B202" s="415"/>
      <c r="C202" s="415"/>
      <c r="D202" s="415"/>
      <c r="E202" s="414"/>
      <c r="F202" s="92"/>
      <c r="G202" s="92"/>
      <c r="H202" s="92"/>
      <c r="I202" s="92"/>
      <c r="J202" s="92"/>
      <c r="K202" s="92"/>
      <c r="L202" s="92"/>
      <c r="M202" s="92"/>
      <c r="N202" s="92"/>
      <c r="O202" s="92"/>
      <c r="P202" s="92"/>
      <c r="Q202" s="92"/>
      <c r="R202" s="92"/>
      <c r="S202" s="92"/>
      <c r="T202" s="92"/>
      <c r="U202" s="92"/>
      <c r="V202" s="92"/>
      <c r="W202" s="92"/>
      <c r="X202" s="92"/>
      <c r="Y202" s="92"/>
      <c r="Z202" s="92"/>
    </row>
    <row r="203" ht="14.25" customHeight="1">
      <c r="A203" s="414"/>
      <c r="B203" s="415"/>
      <c r="C203" s="415"/>
      <c r="D203" s="415"/>
      <c r="E203" s="414"/>
      <c r="F203" s="92"/>
      <c r="G203" s="92"/>
      <c r="H203" s="92"/>
      <c r="I203" s="92"/>
      <c r="J203" s="92"/>
      <c r="K203" s="92"/>
      <c r="L203" s="92"/>
      <c r="M203" s="92"/>
      <c r="N203" s="92"/>
      <c r="O203" s="92"/>
      <c r="P203" s="92"/>
      <c r="Q203" s="92"/>
      <c r="R203" s="92"/>
      <c r="S203" s="92"/>
      <c r="T203" s="92"/>
      <c r="U203" s="92"/>
      <c r="V203" s="92"/>
      <c r="W203" s="92"/>
      <c r="X203" s="92"/>
      <c r="Y203" s="92"/>
      <c r="Z203" s="92"/>
    </row>
    <row r="204" ht="14.25" customHeight="1">
      <c r="A204" s="414"/>
      <c r="B204" s="415"/>
      <c r="C204" s="415"/>
      <c r="D204" s="415"/>
      <c r="E204" s="414"/>
      <c r="F204" s="92"/>
      <c r="G204" s="92"/>
      <c r="H204" s="92"/>
      <c r="I204" s="92"/>
      <c r="J204" s="92"/>
      <c r="K204" s="92"/>
      <c r="L204" s="92"/>
      <c r="M204" s="92"/>
      <c r="N204" s="92"/>
      <c r="O204" s="92"/>
      <c r="P204" s="92"/>
      <c r="Q204" s="92"/>
      <c r="R204" s="92"/>
      <c r="S204" s="92"/>
      <c r="T204" s="92"/>
      <c r="U204" s="92"/>
      <c r="V204" s="92"/>
      <c r="W204" s="92"/>
      <c r="X204" s="92"/>
      <c r="Y204" s="92"/>
      <c r="Z204" s="92"/>
    </row>
    <row r="205" ht="14.25" customHeight="1">
      <c r="A205" s="414"/>
      <c r="B205" s="415"/>
      <c r="C205" s="415"/>
      <c r="D205" s="415"/>
      <c r="E205" s="414"/>
      <c r="F205" s="92"/>
      <c r="G205" s="92"/>
      <c r="H205" s="92"/>
      <c r="I205" s="92"/>
      <c r="J205" s="92"/>
      <c r="K205" s="92"/>
      <c r="L205" s="92"/>
      <c r="M205" s="92"/>
      <c r="N205" s="92"/>
      <c r="O205" s="92"/>
      <c r="P205" s="92"/>
      <c r="Q205" s="92"/>
      <c r="R205" s="92"/>
      <c r="S205" s="92"/>
      <c r="T205" s="92"/>
      <c r="U205" s="92"/>
      <c r="V205" s="92"/>
      <c r="W205" s="92"/>
      <c r="X205" s="92"/>
      <c r="Y205" s="92"/>
      <c r="Z205" s="92"/>
    </row>
    <row r="206" ht="14.25" customHeight="1">
      <c r="A206" s="414"/>
      <c r="B206" s="415"/>
      <c r="C206" s="415"/>
      <c r="D206" s="415"/>
      <c r="E206" s="414"/>
      <c r="F206" s="92"/>
      <c r="G206" s="92"/>
      <c r="H206" s="92"/>
      <c r="I206" s="92"/>
      <c r="J206" s="92"/>
      <c r="K206" s="92"/>
      <c r="L206" s="92"/>
      <c r="M206" s="92"/>
      <c r="N206" s="92"/>
      <c r="O206" s="92"/>
      <c r="P206" s="92"/>
      <c r="Q206" s="92"/>
      <c r="R206" s="92"/>
      <c r="S206" s="92"/>
      <c r="T206" s="92"/>
      <c r="U206" s="92"/>
      <c r="V206" s="92"/>
      <c r="W206" s="92"/>
      <c r="X206" s="92"/>
      <c r="Y206" s="92"/>
      <c r="Z206" s="92"/>
    </row>
    <row r="207" ht="14.25" customHeight="1">
      <c r="A207" s="414"/>
      <c r="B207" s="415"/>
      <c r="C207" s="415"/>
      <c r="D207" s="415"/>
      <c r="E207" s="414"/>
      <c r="F207" s="92"/>
      <c r="G207" s="92"/>
      <c r="H207" s="92"/>
      <c r="I207" s="92"/>
      <c r="J207" s="92"/>
      <c r="K207" s="92"/>
      <c r="L207" s="92"/>
      <c r="M207" s="92"/>
      <c r="N207" s="92"/>
      <c r="O207" s="92"/>
      <c r="P207" s="92"/>
      <c r="Q207" s="92"/>
      <c r="R207" s="92"/>
      <c r="S207" s="92"/>
      <c r="T207" s="92"/>
      <c r="U207" s="92"/>
      <c r="V207" s="92"/>
      <c r="W207" s="92"/>
      <c r="X207" s="92"/>
      <c r="Y207" s="92"/>
      <c r="Z207" s="92"/>
    </row>
    <row r="208" ht="14.25" customHeight="1">
      <c r="A208" s="414"/>
      <c r="B208" s="415"/>
      <c r="C208" s="415"/>
      <c r="D208" s="415"/>
      <c r="E208" s="414"/>
      <c r="F208" s="92"/>
      <c r="G208" s="92"/>
      <c r="H208" s="92"/>
      <c r="I208" s="92"/>
      <c r="J208" s="92"/>
      <c r="K208" s="92"/>
      <c r="L208" s="92"/>
      <c r="M208" s="92"/>
      <c r="N208" s="92"/>
      <c r="O208" s="92"/>
      <c r="P208" s="92"/>
      <c r="Q208" s="92"/>
      <c r="R208" s="92"/>
      <c r="S208" s="92"/>
      <c r="T208" s="92"/>
      <c r="U208" s="92"/>
      <c r="V208" s="92"/>
      <c r="W208" s="92"/>
      <c r="X208" s="92"/>
      <c r="Y208" s="92"/>
      <c r="Z208" s="92"/>
    </row>
    <row r="209" ht="14.25" customHeight="1">
      <c r="A209" s="414"/>
      <c r="B209" s="415"/>
      <c r="C209" s="415"/>
      <c r="D209" s="415"/>
      <c r="E209" s="414"/>
      <c r="F209" s="92"/>
      <c r="G209" s="92"/>
      <c r="H209" s="92"/>
      <c r="I209" s="92"/>
      <c r="J209" s="92"/>
      <c r="K209" s="92"/>
      <c r="L209" s="92"/>
      <c r="M209" s="92"/>
      <c r="N209" s="92"/>
      <c r="O209" s="92"/>
      <c r="P209" s="92"/>
      <c r="Q209" s="92"/>
      <c r="R209" s="92"/>
      <c r="S209" s="92"/>
      <c r="T209" s="92"/>
      <c r="U209" s="92"/>
      <c r="V209" s="92"/>
      <c r="W209" s="92"/>
      <c r="X209" s="92"/>
      <c r="Y209" s="92"/>
      <c r="Z209" s="92"/>
    </row>
    <row r="210" ht="14.25" customHeight="1">
      <c r="A210" s="414"/>
      <c r="B210" s="415"/>
      <c r="C210" s="415"/>
      <c r="D210" s="415"/>
      <c r="E210" s="414"/>
      <c r="F210" s="92"/>
      <c r="G210" s="92"/>
      <c r="H210" s="92"/>
      <c r="I210" s="92"/>
      <c r="J210" s="92"/>
      <c r="K210" s="92"/>
      <c r="L210" s="92"/>
      <c r="M210" s="92"/>
      <c r="N210" s="92"/>
      <c r="O210" s="92"/>
      <c r="P210" s="92"/>
      <c r="Q210" s="92"/>
      <c r="R210" s="92"/>
      <c r="S210" s="92"/>
      <c r="T210" s="92"/>
      <c r="U210" s="92"/>
      <c r="V210" s="92"/>
      <c r="W210" s="92"/>
      <c r="X210" s="92"/>
      <c r="Y210" s="92"/>
      <c r="Z210" s="92"/>
    </row>
    <row r="211" ht="14.25" customHeight="1">
      <c r="A211" s="414"/>
      <c r="B211" s="415"/>
      <c r="C211" s="415"/>
      <c r="D211" s="415"/>
      <c r="E211" s="414"/>
      <c r="F211" s="92"/>
      <c r="G211" s="92"/>
      <c r="H211" s="92"/>
      <c r="I211" s="92"/>
      <c r="J211" s="92"/>
      <c r="K211" s="92"/>
      <c r="L211" s="92"/>
      <c r="M211" s="92"/>
      <c r="N211" s="92"/>
      <c r="O211" s="92"/>
      <c r="P211" s="92"/>
      <c r="Q211" s="92"/>
      <c r="R211" s="92"/>
      <c r="S211" s="92"/>
      <c r="T211" s="92"/>
      <c r="U211" s="92"/>
      <c r="V211" s="92"/>
      <c r="W211" s="92"/>
      <c r="X211" s="92"/>
      <c r="Y211" s="92"/>
      <c r="Z211" s="92"/>
    </row>
    <row r="212" ht="14.25" customHeight="1">
      <c r="A212" s="414"/>
      <c r="B212" s="415"/>
      <c r="C212" s="415"/>
      <c r="D212" s="415"/>
      <c r="E212" s="414"/>
      <c r="F212" s="92"/>
      <c r="G212" s="92"/>
      <c r="H212" s="92"/>
      <c r="I212" s="92"/>
      <c r="J212" s="92"/>
      <c r="K212" s="92"/>
      <c r="L212" s="92"/>
      <c r="M212" s="92"/>
      <c r="N212" s="92"/>
      <c r="O212" s="92"/>
      <c r="P212" s="92"/>
      <c r="Q212" s="92"/>
      <c r="R212" s="92"/>
      <c r="S212" s="92"/>
      <c r="T212" s="92"/>
      <c r="U212" s="92"/>
      <c r="V212" s="92"/>
      <c r="W212" s="92"/>
      <c r="X212" s="92"/>
      <c r="Y212" s="92"/>
      <c r="Z212" s="92"/>
    </row>
    <row r="213" ht="14.25" customHeight="1">
      <c r="A213" s="414"/>
      <c r="B213" s="415"/>
      <c r="C213" s="415"/>
      <c r="D213" s="415"/>
      <c r="E213" s="414"/>
      <c r="F213" s="92"/>
      <c r="G213" s="92"/>
      <c r="H213" s="92"/>
      <c r="I213" s="92"/>
      <c r="J213" s="92"/>
      <c r="K213" s="92"/>
      <c r="L213" s="92"/>
      <c r="M213" s="92"/>
      <c r="N213" s="92"/>
      <c r="O213" s="92"/>
      <c r="P213" s="92"/>
      <c r="Q213" s="92"/>
      <c r="R213" s="92"/>
      <c r="S213" s="92"/>
      <c r="T213" s="92"/>
      <c r="U213" s="92"/>
      <c r="V213" s="92"/>
      <c r="W213" s="92"/>
      <c r="X213" s="92"/>
      <c r="Y213" s="92"/>
      <c r="Z213" s="92"/>
    </row>
    <row r="214" ht="14.25" customHeight="1">
      <c r="A214" s="414"/>
      <c r="B214" s="415"/>
      <c r="C214" s="415"/>
      <c r="D214" s="415"/>
      <c r="E214" s="414"/>
      <c r="F214" s="92"/>
      <c r="G214" s="92"/>
      <c r="H214" s="92"/>
      <c r="I214" s="92"/>
      <c r="J214" s="92"/>
      <c r="K214" s="92"/>
      <c r="L214" s="92"/>
      <c r="M214" s="92"/>
      <c r="N214" s="92"/>
      <c r="O214" s="92"/>
      <c r="P214" s="92"/>
      <c r="Q214" s="92"/>
      <c r="R214" s="92"/>
      <c r="S214" s="92"/>
      <c r="T214" s="92"/>
      <c r="U214" s="92"/>
      <c r="V214" s="92"/>
      <c r="W214" s="92"/>
      <c r="X214" s="92"/>
      <c r="Y214" s="92"/>
      <c r="Z214" s="92"/>
    </row>
    <row r="215" ht="14.25" customHeight="1">
      <c r="A215" s="414"/>
      <c r="B215" s="415"/>
      <c r="C215" s="415"/>
      <c r="D215" s="415"/>
      <c r="E215" s="414"/>
      <c r="F215" s="92"/>
      <c r="G215" s="92"/>
      <c r="H215" s="92"/>
      <c r="I215" s="92"/>
      <c r="J215" s="92"/>
      <c r="K215" s="92"/>
      <c r="L215" s="92"/>
      <c r="M215" s="92"/>
      <c r="N215" s="92"/>
      <c r="O215" s="92"/>
      <c r="P215" s="92"/>
      <c r="Q215" s="92"/>
      <c r="R215" s="92"/>
      <c r="S215" s="92"/>
      <c r="T215" s="92"/>
      <c r="U215" s="92"/>
      <c r="V215" s="92"/>
      <c r="W215" s="92"/>
      <c r="X215" s="92"/>
      <c r="Y215" s="92"/>
      <c r="Z215" s="92"/>
    </row>
    <row r="216" ht="14.25" customHeight="1">
      <c r="A216" s="414"/>
      <c r="B216" s="415"/>
      <c r="C216" s="415"/>
      <c r="D216" s="415"/>
      <c r="E216" s="414"/>
      <c r="F216" s="92"/>
      <c r="G216" s="92"/>
      <c r="H216" s="92"/>
      <c r="I216" s="92"/>
      <c r="J216" s="92"/>
      <c r="K216" s="92"/>
      <c r="L216" s="92"/>
      <c r="M216" s="92"/>
      <c r="N216" s="92"/>
      <c r="O216" s="92"/>
      <c r="P216" s="92"/>
      <c r="Q216" s="92"/>
      <c r="R216" s="92"/>
      <c r="S216" s="92"/>
      <c r="T216" s="92"/>
      <c r="U216" s="92"/>
      <c r="V216" s="92"/>
      <c r="W216" s="92"/>
      <c r="X216" s="92"/>
      <c r="Y216" s="92"/>
      <c r="Z216" s="92"/>
    </row>
    <row r="217" ht="14.25" customHeight="1">
      <c r="A217" s="414"/>
      <c r="B217" s="415"/>
      <c r="C217" s="415"/>
      <c r="D217" s="415"/>
      <c r="E217" s="414"/>
      <c r="F217" s="92"/>
      <c r="G217" s="92"/>
      <c r="H217" s="92"/>
      <c r="I217" s="92"/>
      <c r="J217" s="92"/>
      <c r="K217" s="92"/>
      <c r="L217" s="92"/>
      <c r="M217" s="92"/>
      <c r="N217" s="92"/>
      <c r="O217" s="92"/>
      <c r="P217" s="92"/>
      <c r="Q217" s="92"/>
      <c r="R217" s="92"/>
      <c r="S217" s="92"/>
      <c r="T217" s="92"/>
      <c r="U217" s="92"/>
      <c r="V217" s="92"/>
      <c r="W217" s="92"/>
      <c r="X217" s="92"/>
      <c r="Y217" s="92"/>
      <c r="Z217" s="92"/>
    </row>
    <row r="218" ht="14.25" customHeight="1">
      <c r="A218" s="414"/>
      <c r="B218" s="415"/>
      <c r="C218" s="415"/>
      <c r="D218" s="415"/>
      <c r="E218" s="414"/>
      <c r="F218" s="92"/>
      <c r="G218" s="92"/>
      <c r="H218" s="92"/>
      <c r="I218" s="92"/>
      <c r="J218" s="92"/>
      <c r="K218" s="92"/>
      <c r="L218" s="92"/>
      <c r="M218" s="92"/>
      <c r="N218" s="92"/>
      <c r="O218" s="92"/>
      <c r="P218" s="92"/>
      <c r="Q218" s="92"/>
      <c r="R218" s="92"/>
      <c r="S218" s="92"/>
      <c r="T218" s="92"/>
      <c r="U218" s="92"/>
      <c r="V218" s="92"/>
      <c r="W218" s="92"/>
      <c r="X218" s="92"/>
      <c r="Y218" s="92"/>
      <c r="Z218" s="92"/>
    </row>
    <row r="219" ht="14.25" customHeight="1">
      <c r="A219" s="414"/>
      <c r="B219" s="415"/>
      <c r="C219" s="415"/>
      <c r="D219" s="415"/>
      <c r="E219" s="414"/>
      <c r="F219" s="92"/>
      <c r="G219" s="92"/>
      <c r="H219" s="92"/>
      <c r="I219" s="92"/>
      <c r="J219" s="92"/>
      <c r="K219" s="92"/>
      <c r="L219" s="92"/>
      <c r="M219" s="92"/>
      <c r="N219" s="92"/>
      <c r="O219" s="92"/>
      <c r="P219" s="92"/>
      <c r="Q219" s="92"/>
      <c r="R219" s="92"/>
      <c r="S219" s="92"/>
      <c r="T219" s="92"/>
      <c r="U219" s="92"/>
      <c r="V219" s="92"/>
      <c r="W219" s="92"/>
      <c r="X219" s="92"/>
      <c r="Y219" s="92"/>
      <c r="Z219" s="92"/>
    </row>
    <row r="220" ht="14.25" customHeight="1">
      <c r="A220" s="414"/>
      <c r="B220" s="415"/>
      <c r="C220" s="415"/>
      <c r="D220" s="415"/>
      <c r="E220" s="414"/>
      <c r="F220" s="92"/>
      <c r="G220" s="92"/>
      <c r="H220" s="92"/>
      <c r="I220" s="92"/>
      <c r="J220" s="92"/>
      <c r="K220" s="92"/>
      <c r="L220" s="92"/>
      <c r="M220" s="92"/>
      <c r="N220" s="92"/>
      <c r="O220" s="92"/>
      <c r="P220" s="92"/>
      <c r="Q220" s="92"/>
      <c r="R220" s="92"/>
      <c r="S220" s="92"/>
      <c r="T220" s="92"/>
      <c r="U220" s="92"/>
      <c r="V220" s="92"/>
      <c r="W220" s="92"/>
      <c r="X220" s="92"/>
      <c r="Y220" s="92"/>
      <c r="Z220" s="92"/>
    </row>
    <row r="221" ht="14.25" customHeight="1">
      <c r="A221" s="414"/>
      <c r="B221" s="415"/>
      <c r="C221" s="415"/>
      <c r="D221" s="415"/>
      <c r="E221" s="414"/>
      <c r="F221" s="92"/>
      <c r="G221" s="92"/>
      <c r="H221" s="92"/>
      <c r="I221" s="92"/>
      <c r="J221" s="92"/>
      <c r="K221" s="92"/>
      <c r="L221" s="92"/>
      <c r="M221" s="92"/>
      <c r="N221" s="92"/>
      <c r="O221" s="92"/>
      <c r="P221" s="92"/>
      <c r="Q221" s="92"/>
      <c r="R221" s="92"/>
      <c r="S221" s="92"/>
      <c r="T221" s="92"/>
      <c r="U221" s="92"/>
      <c r="V221" s="92"/>
      <c r="W221" s="92"/>
      <c r="X221" s="92"/>
      <c r="Y221" s="92"/>
      <c r="Z221" s="92"/>
    </row>
    <row r="222" ht="14.25" customHeight="1">
      <c r="A222" s="414"/>
      <c r="B222" s="415"/>
      <c r="C222" s="415"/>
      <c r="D222" s="415"/>
      <c r="E222" s="414"/>
      <c r="F222" s="92"/>
      <c r="G222" s="92"/>
      <c r="H222" s="92"/>
      <c r="I222" s="92"/>
      <c r="J222" s="92"/>
      <c r="K222" s="92"/>
      <c r="L222" s="92"/>
      <c r="M222" s="92"/>
      <c r="N222" s="92"/>
      <c r="O222" s="92"/>
      <c r="P222" s="92"/>
      <c r="Q222" s="92"/>
      <c r="R222" s="92"/>
      <c r="S222" s="92"/>
      <c r="T222" s="92"/>
      <c r="U222" s="92"/>
      <c r="V222" s="92"/>
      <c r="W222" s="92"/>
      <c r="X222" s="92"/>
      <c r="Y222" s="92"/>
      <c r="Z222" s="92"/>
    </row>
    <row r="223" ht="14.25" customHeight="1">
      <c r="A223" s="414"/>
      <c r="B223" s="415"/>
      <c r="C223" s="415"/>
      <c r="D223" s="415"/>
      <c r="E223" s="414"/>
      <c r="F223" s="92"/>
      <c r="G223" s="92"/>
      <c r="H223" s="92"/>
      <c r="I223" s="92"/>
      <c r="J223" s="92"/>
      <c r="K223" s="92"/>
      <c r="L223" s="92"/>
      <c r="M223" s="92"/>
      <c r="N223" s="92"/>
      <c r="O223" s="92"/>
      <c r="P223" s="92"/>
      <c r="Q223" s="92"/>
      <c r="R223" s="92"/>
      <c r="S223" s="92"/>
      <c r="T223" s="92"/>
      <c r="U223" s="92"/>
      <c r="V223" s="92"/>
      <c r="W223" s="92"/>
      <c r="X223" s="92"/>
      <c r="Y223" s="92"/>
      <c r="Z223" s="92"/>
    </row>
    <row r="224" ht="14.25" customHeight="1">
      <c r="A224" s="414"/>
      <c r="B224" s="415"/>
      <c r="C224" s="415"/>
      <c r="D224" s="415"/>
      <c r="E224" s="414"/>
      <c r="F224" s="92"/>
      <c r="G224" s="92"/>
      <c r="H224" s="92"/>
      <c r="I224" s="92"/>
      <c r="J224" s="92"/>
      <c r="K224" s="92"/>
      <c r="L224" s="92"/>
      <c r="M224" s="92"/>
      <c r="N224" s="92"/>
      <c r="O224" s="92"/>
      <c r="P224" s="92"/>
      <c r="Q224" s="92"/>
      <c r="R224" s="92"/>
      <c r="S224" s="92"/>
      <c r="T224" s="92"/>
      <c r="U224" s="92"/>
      <c r="V224" s="92"/>
      <c r="W224" s="92"/>
      <c r="X224" s="92"/>
      <c r="Y224" s="92"/>
      <c r="Z224" s="92"/>
    </row>
    <row r="225" ht="14.25" customHeight="1">
      <c r="A225" s="414"/>
      <c r="B225" s="415"/>
      <c r="C225" s="415"/>
      <c r="D225" s="415"/>
      <c r="E225" s="414"/>
      <c r="F225" s="92"/>
      <c r="G225" s="92"/>
      <c r="H225" s="92"/>
      <c r="I225" s="92"/>
      <c r="J225" s="92"/>
      <c r="K225" s="92"/>
      <c r="L225" s="92"/>
      <c r="M225" s="92"/>
      <c r="N225" s="92"/>
      <c r="O225" s="92"/>
      <c r="P225" s="92"/>
      <c r="Q225" s="92"/>
      <c r="R225" s="92"/>
      <c r="S225" s="92"/>
      <c r="T225" s="92"/>
      <c r="U225" s="92"/>
      <c r="V225" s="92"/>
      <c r="W225" s="92"/>
      <c r="X225" s="92"/>
      <c r="Y225" s="92"/>
      <c r="Z225" s="92"/>
    </row>
    <row r="226" ht="14.25" customHeight="1">
      <c r="A226" s="414"/>
      <c r="B226" s="415"/>
      <c r="C226" s="415"/>
      <c r="D226" s="415"/>
      <c r="E226" s="414"/>
      <c r="F226" s="92"/>
      <c r="G226" s="92"/>
      <c r="H226" s="92"/>
      <c r="I226" s="92"/>
      <c r="J226" s="92"/>
      <c r="K226" s="92"/>
      <c r="L226" s="92"/>
      <c r="M226" s="92"/>
      <c r="N226" s="92"/>
      <c r="O226" s="92"/>
      <c r="P226" s="92"/>
      <c r="Q226" s="92"/>
      <c r="R226" s="92"/>
      <c r="S226" s="92"/>
      <c r="T226" s="92"/>
      <c r="U226" s="92"/>
      <c r="V226" s="92"/>
      <c r="W226" s="92"/>
      <c r="X226" s="92"/>
      <c r="Y226" s="92"/>
      <c r="Z226" s="92"/>
    </row>
    <row r="227" ht="14.25" customHeight="1">
      <c r="A227" s="414"/>
      <c r="B227" s="415"/>
      <c r="C227" s="415"/>
      <c r="D227" s="415"/>
      <c r="E227" s="414"/>
      <c r="F227" s="92"/>
      <c r="G227" s="92"/>
      <c r="H227" s="92"/>
      <c r="I227" s="92"/>
      <c r="J227" s="92"/>
      <c r="K227" s="92"/>
      <c r="L227" s="92"/>
      <c r="M227" s="92"/>
      <c r="N227" s="92"/>
      <c r="O227" s="92"/>
      <c r="P227" s="92"/>
      <c r="Q227" s="92"/>
      <c r="R227" s="92"/>
      <c r="S227" s="92"/>
      <c r="T227" s="92"/>
      <c r="U227" s="92"/>
      <c r="V227" s="92"/>
      <c r="W227" s="92"/>
      <c r="X227" s="92"/>
      <c r="Y227" s="92"/>
      <c r="Z227" s="92"/>
    </row>
    <row r="228" ht="14.25" customHeight="1">
      <c r="A228" s="414"/>
      <c r="B228" s="415"/>
      <c r="C228" s="415"/>
      <c r="D228" s="415"/>
      <c r="E228" s="414"/>
      <c r="F228" s="92"/>
      <c r="G228" s="92"/>
      <c r="H228" s="92"/>
      <c r="I228" s="92"/>
      <c r="J228" s="92"/>
      <c r="K228" s="92"/>
      <c r="L228" s="92"/>
      <c r="M228" s="92"/>
      <c r="N228" s="92"/>
      <c r="O228" s="92"/>
      <c r="P228" s="92"/>
      <c r="Q228" s="92"/>
      <c r="R228" s="92"/>
      <c r="S228" s="92"/>
      <c r="T228" s="92"/>
      <c r="U228" s="92"/>
      <c r="V228" s="92"/>
      <c r="W228" s="92"/>
      <c r="X228" s="92"/>
      <c r="Y228" s="92"/>
      <c r="Z228" s="92"/>
    </row>
    <row r="229" ht="14.25" customHeight="1">
      <c r="A229" s="414"/>
      <c r="B229" s="415"/>
      <c r="C229" s="415"/>
      <c r="D229" s="415"/>
      <c r="E229" s="414"/>
      <c r="F229" s="92"/>
      <c r="G229" s="92"/>
      <c r="H229" s="92"/>
      <c r="I229" s="92"/>
      <c r="J229" s="92"/>
      <c r="K229" s="92"/>
      <c r="L229" s="92"/>
      <c r="M229" s="92"/>
      <c r="N229" s="92"/>
      <c r="O229" s="92"/>
      <c r="P229" s="92"/>
      <c r="Q229" s="92"/>
      <c r="R229" s="92"/>
      <c r="S229" s="92"/>
      <c r="T229" s="92"/>
      <c r="U229" s="92"/>
      <c r="V229" s="92"/>
      <c r="W229" s="92"/>
      <c r="X229" s="92"/>
      <c r="Y229" s="92"/>
      <c r="Z229" s="92"/>
    </row>
    <row r="230" ht="14.25" customHeight="1">
      <c r="A230" s="414"/>
      <c r="B230" s="415"/>
      <c r="C230" s="415"/>
      <c r="D230" s="415"/>
      <c r="E230" s="414"/>
      <c r="F230" s="92"/>
      <c r="G230" s="92"/>
      <c r="H230" s="92"/>
      <c r="I230" s="92"/>
      <c r="J230" s="92"/>
      <c r="K230" s="92"/>
      <c r="L230" s="92"/>
      <c r="M230" s="92"/>
      <c r="N230" s="92"/>
      <c r="O230" s="92"/>
      <c r="P230" s="92"/>
      <c r="Q230" s="92"/>
      <c r="R230" s="92"/>
      <c r="S230" s="92"/>
      <c r="T230" s="92"/>
      <c r="U230" s="92"/>
      <c r="V230" s="92"/>
      <c r="W230" s="92"/>
      <c r="X230" s="92"/>
      <c r="Y230" s="92"/>
      <c r="Z230" s="92"/>
    </row>
    <row r="231" ht="14.25" customHeight="1">
      <c r="A231" s="414"/>
      <c r="B231" s="415"/>
      <c r="C231" s="415"/>
      <c r="D231" s="415"/>
      <c r="E231" s="414"/>
      <c r="F231" s="92"/>
      <c r="G231" s="92"/>
      <c r="H231" s="92"/>
      <c r="I231" s="92"/>
      <c r="J231" s="92"/>
      <c r="K231" s="92"/>
      <c r="L231" s="92"/>
      <c r="M231" s="92"/>
      <c r="N231" s="92"/>
      <c r="O231" s="92"/>
      <c r="P231" s="92"/>
      <c r="Q231" s="92"/>
      <c r="R231" s="92"/>
      <c r="S231" s="92"/>
      <c r="T231" s="92"/>
      <c r="U231" s="92"/>
      <c r="V231" s="92"/>
      <c r="W231" s="92"/>
      <c r="X231" s="92"/>
      <c r="Y231" s="92"/>
      <c r="Z231" s="92"/>
    </row>
    <row r="232" ht="14.25" customHeight="1">
      <c r="A232" s="414"/>
      <c r="B232" s="415"/>
      <c r="C232" s="415"/>
      <c r="D232" s="415"/>
      <c r="E232" s="414"/>
      <c r="F232" s="92"/>
      <c r="G232" s="92"/>
      <c r="H232" s="92"/>
      <c r="I232" s="92"/>
      <c r="J232" s="92"/>
      <c r="K232" s="92"/>
      <c r="L232" s="92"/>
      <c r="M232" s="92"/>
      <c r="N232" s="92"/>
      <c r="O232" s="92"/>
      <c r="P232" s="92"/>
      <c r="Q232" s="92"/>
      <c r="R232" s="92"/>
      <c r="S232" s="92"/>
      <c r="T232" s="92"/>
      <c r="U232" s="92"/>
      <c r="V232" s="92"/>
      <c r="W232" s="92"/>
      <c r="X232" s="92"/>
      <c r="Y232" s="92"/>
      <c r="Z232" s="92"/>
    </row>
    <row r="233" ht="14.25" customHeight="1">
      <c r="A233" s="414"/>
      <c r="B233" s="415"/>
      <c r="C233" s="415"/>
      <c r="D233" s="415"/>
      <c r="E233" s="414"/>
      <c r="F233" s="92"/>
      <c r="G233" s="92"/>
      <c r="H233" s="92"/>
      <c r="I233" s="92"/>
      <c r="J233" s="92"/>
      <c r="K233" s="92"/>
      <c r="L233" s="92"/>
      <c r="M233" s="92"/>
      <c r="N233" s="92"/>
      <c r="O233" s="92"/>
      <c r="P233" s="92"/>
      <c r="Q233" s="92"/>
      <c r="R233" s="92"/>
      <c r="S233" s="92"/>
      <c r="T233" s="92"/>
      <c r="U233" s="92"/>
      <c r="V233" s="92"/>
      <c r="W233" s="92"/>
      <c r="X233" s="92"/>
      <c r="Y233" s="92"/>
      <c r="Z233" s="92"/>
    </row>
    <row r="234" ht="14.25" customHeight="1">
      <c r="A234" s="414"/>
      <c r="B234" s="415"/>
      <c r="C234" s="415"/>
      <c r="D234" s="415"/>
      <c r="E234" s="414"/>
      <c r="F234" s="92"/>
      <c r="G234" s="92"/>
      <c r="H234" s="92"/>
      <c r="I234" s="92"/>
      <c r="J234" s="92"/>
      <c r="K234" s="92"/>
      <c r="L234" s="92"/>
      <c r="M234" s="92"/>
      <c r="N234" s="92"/>
      <c r="O234" s="92"/>
      <c r="P234" s="92"/>
      <c r="Q234" s="92"/>
      <c r="R234" s="92"/>
      <c r="S234" s="92"/>
      <c r="T234" s="92"/>
      <c r="U234" s="92"/>
      <c r="V234" s="92"/>
      <c r="W234" s="92"/>
      <c r="X234" s="92"/>
      <c r="Y234" s="92"/>
      <c r="Z234" s="92"/>
    </row>
    <row r="235" ht="14.25" customHeight="1">
      <c r="A235" s="414"/>
      <c r="B235" s="415"/>
      <c r="C235" s="415"/>
      <c r="D235" s="415"/>
      <c r="E235" s="414"/>
      <c r="F235" s="92"/>
      <c r="G235" s="92"/>
      <c r="H235" s="92"/>
      <c r="I235" s="92"/>
      <c r="J235" s="92"/>
      <c r="K235" s="92"/>
      <c r="L235" s="92"/>
      <c r="M235" s="92"/>
      <c r="N235" s="92"/>
      <c r="O235" s="92"/>
      <c r="P235" s="92"/>
      <c r="Q235" s="92"/>
      <c r="R235" s="92"/>
      <c r="S235" s="92"/>
      <c r="T235" s="92"/>
      <c r="U235" s="92"/>
      <c r="V235" s="92"/>
      <c r="W235" s="92"/>
      <c r="X235" s="92"/>
      <c r="Y235" s="92"/>
      <c r="Z235" s="92"/>
    </row>
    <row r="236" ht="14.25" customHeight="1">
      <c r="A236" s="414"/>
      <c r="B236" s="415"/>
      <c r="C236" s="415"/>
      <c r="D236" s="415"/>
      <c r="E236" s="414"/>
      <c r="F236" s="92"/>
      <c r="G236" s="92"/>
      <c r="H236" s="92"/>
      <c r="I236" s="92"/>
      <c r="J236" s="92"/>
      <c r="K236" s="92"/>
      <c r="L236" s="92"/>
      <c r="M236" s="92"/>
      <c r="N236" s="92"/>
      <c r="O236" s="92"/>
      <c r="P236" s="92"/>
      <c r="Q236" s="92"/>
      <c r="R236" s="92"/>
      <c r="S236" s="92"/>
      <c r="T236" s="92"/>
      <c r="U236" s="92"/>
      <c r="V236" s="92"/>
      <c r="W236" s="92"/>
      <c r="X236" s="92"/>
      <c r="Y236" s="92"/>
      <c r="Z236" s="92"/>
    </row>
    <row r="237" ht="14.25" customHeight="1">
      <c r="A237" s="414"/>
      <c r="B237" s="415"/>
      <c r="C237" s="415"/>
      <c r="D237" s="415"/>
      <c r="E237" s="414"/>
      <c r="F237" s="92"/>
      <c r="G237" s="92"/>
      <c r="H237" s="92"/>
      <c r="I237" s="92"/>
      <c r="J237" s="92"/>
      <c r="K237" s="92"/>
      <c r="L237" s="92"/>
      <c r="M237" s="92"/>
      <c r="N237" s="92"/>
      <c r="O237" s="92"/>
      <c r="P237" s="92"/>
      <c r="Q237" s="92"/>
      <c r="R237" s="92"/>
      <c r="S237" s="92"/>
      <c r="T237" s="92"/>
      <c r="U237" s="92"/>
      <c r="V237" s="92"/>
      <c r="W237" s="92"/>
      <c r="X237" s="92"/>
      <c r="Y237" s="92"/>
      <c r="Z237" s="92"/>
    </row>
    <row r="238" ht="14.25" customHeight="1">
      <c r="A238" s="414"/>
      <c r="B238" s="415"/>
      <c r="C238" s="415"/>
      <c r="D238" s="415"/>
      <c r="E238" s="414"/>
      <c r="F238" s="92"/>
      <c r="G238" s="92"/>
      <c r="H238" s="92"/>
      <c r="I238" s="92"/>
      <c r="J238" s="92"/>
      <c r="K238" s="92"/>
      <c r="L238" s="92"/>
      <c r="M238" s="92"/>
      <c r="N238" s="92"/>
      <c r="O238" s="92"/>
      <c r="P238" s="92"/>
      <c r="Q238" s="92"/>
      <c r="R238" s="92"/>
      <c r="S238" s="92"/>
      <c r="T238" s="92"/>
      <c r="U238" s="92"/>
      <c r="V238" s="92"/>
      <c r="W238" s="92"/>
      <c r="X238" s="92"/>
      <c r="Y238" s="92"/>
      <c r="Z238" s="92"/>
    </row>
    <row r="239" ht="14.25" customHeight="1">
      <c r="A239" s="414"/>
      <c r="B239" s="415"/>
      <c r="C239" s="415"/>
      <c r="D239" s="415"/>
      <c r="E239" s="414"/>
      <c r="F239" s="92"/>
      <c r="G239" s="92"/>
      <c r="H239" s="92"/>
      <c r="I239" s="92"/>
      <c r="J239" s="92"/>
      <c r="K239" s="92"/>
      <c r="L239" s="92"/>
      <c r="M239" s="92"/>
      <c r="N239" s="92"/>
      <c r="O239" s="92"/>
      <c r="P239" s="92"/>
      <c r="Q239" s="92"/>
      <c r="R239" s="92"/>
      <c r="S239" s="92"/>
      <c r="T239" s="92"/>
      <c r="U239" s="92"/>
      <c r="V239" s="92"/>
      <c r="W239" s="92"/>
      <c r="X239" s="92"/>
      <c r="Y239" s="92"/>
      <c r="Z239" s="92"/>
    </row>
    <row r="240" ht="14.25" customHeight="1">
      <c r="A240" s="414"/>
      <c r="B240" s="415"/>
      <c r="C240" s="415"/>
      <c r="D240" s="415"/>
      <c r="E240" s="414"/>
      <c r="F240" s="92"/>
      <c r="G240" s="92"/>
      <c r="H240" s="92"/>
      <c r="I240" s="92"/>
      <c r="J240" s="92"/>
      <c r="K240" s="92"/>
      <c r="L240" s="92"/>
      <c r="M240" s="92"/>
      <c r="N240" s="92"/>
      <c r="O240" s="92"/>
      <c r="P240" s="92"/>
      <c r="Q240" s="92"/>
      <c r="R240" s="92"/>
      <c r="S240" s="92"/>
      <c r="T240" s="92"/>
      <c r="U240" s="92"/>
      <c r="V240" s="92"/>
      <c r="W240" s="92"/>
      <c r="X240" s="92"/>
      <c r="Y240" s="92"/>
      <c r="Z240" s="92"/>
    </row>
    <row r="241" ht="14.25" customHeight="1">
      <c r="A241" s="414"/>
      <c r="B241" s="415"/>
      <c r="C241" s="415"/>
      <c r="D241" s="415"/>
      <c r="E241" s="414"/>
      <c r="F241" s="92"/>
      <c r="G241" s="92"/>
      <c r="H241" s="92"/>
      <c r="I241" s="92"/>
      <c r="J241" s="92"/>
      <c r="K241" s="92"/>
      <c r="L241" s="92"/>
      <c r="M241" s="92"/>
      <c r="N241" s="92"/>
      <c r="O241" s="92"/>
      <c r="P241" s="92"/>
      <c r="Q241" s="92"/>
      <c r="R241" s="92"/>
      <c r="S241" s="92"/>
      <c r="T241" s="92"/>
      <c r="U241" s="92"/>
      <c r="V241" s="92"/>
      <c r="W241" s="92"/>
      <c r="X241" s="92"/>
      <c r="Y241" s="92"/>
      <c r="Z241" s="92"/>
    </row>
    <row r="242" ht="14.25" customHeight="1">
      <c r="A242" s="414"/>
      <c r="B242" s="415"/>
      <c r="C242" s="415"/>
      <c r="D242" s="415"/>
      <c r="E242" s="414"/>
      <c r="F242" s="92"/>
      <c r="G242" s="92"/>
      <c r="H242" s="92"/>
      <c r="I242" s="92"/>
      <c r="J242" s="92"/>
      <c r="K242" s="92"/>
      <c r="L242" s="92"/>
      <c r="M242" s="92"/>
      <c r="N242" s="92"/>
      <c r="O242" s="92"/>
      <c r="P242" s="92"/>
      <c r="Q242" s="92"/>
      <c r="R242" s="92"/>
      <c r="S242" s="92"/>
      <c r="T242" s="92"/>
      <c r="U242" s="92"/>
      <c r="V242" s="92"/>
      <c r="W242" s="92"/>
      <c r="X242" s="92"/>
      <c r="Y242" s="92"/>
      <c r="Z242" s="92"/>
    </row>
    <row r="243" ht="14.25" customHeight="1">
      <c r="A243" s="414"/>
      <c r="B243" s="415"/>
      <c r="C243" s="415"/>
      <c r="D243" s="415"/>
      <c r="E243" s="414"/>
      <c r="F243" s="92"/>
      <c r="G243" s="92"/>
      <c r="H243" s="92"/>
      <c r="I243" s="92"/>
      <c r="J243" s="92"/>
      <c r="K243" s="92"/>
      <c r="L243" s="92"/>
      <c r="M243" s="92"/>
      <c r="N243" s="92"/>
      <c r="O243" s="92"/>
      <c r="P243" s="92"/>
      <c r="Q243" s="92"/>
      <c r="R243" s="92"/>
      <c r="S243" s="92"/>
      <c r="T243" s="92"/>
      <c r="U243" s="92"/>
      <c r="V243" s="92"/>
      <c r="W243" s="92"/>
      <c r="X243" s="92"/>
      <c r="Y243" s="92"/>
      <c r="Z243" s="92"/>
    </row>
    <row r="244" ht="14.25" customHeight="1">
      <c r="A244" s="414"/>
      <c r="B244" s="415"/>
      <c r="C244" s="415"/>
      <c r="D244" s="415"/>
      <c r="E244" s="414"/>
      <c r="F244" s="92"/>
      <c r="G244" s="92"/>
      <c r="H244" s="92"/>
      <c r="I244" s="92"/>
      <c r="J244" s="92"/>
      <c r="K244" s="92"/>
      <c r="L244" s="92"/>
      <c r="M244" s="92"/>
      <c r="N244" s="92"/>
      <c r="O244" s="92"/>
      <c r="P244" s="92"/>
      <c r="Q244" s="92"/>
      <c r="R244" s="92"/>
      <c r="S244" s="92"/>
      <c r="T244" s="92"/>
      <c r="U244" s="92"/>
      <c r="V244" s="92"/>
      <c r="W244" s="92"/>
      <c r="X244" s="92"/>
      <c r="Y244" s="92"/>
      <c r="Z244" s="92"/>
    </row>
    <row r="245" ht="14.25" customHeight="1">
      <c r="A245" s="414"/>
      <c r="B245" s="415"/>
      <c r="C245" s="415"/>
      <c r="D245" s="415"/>
      <c r="E245" s="414"/>
      <c r="F245" s="92"/>
      <c r="G245" s="92"/>
      <c r="H245" s="92"/>
      <c r="I245" s="92"/>
      <c r="J245" s="92"/>
      <c r="K245" s="92"/>
      <c r="L245" s="92"/>
      <c r="M245" s="92"/>
      <c r="N245" s="92"/>
      <c r="O245" s="92"/>
      <c r="P245" s="92"/>
      <c r="Q245" s="92"/>
      <c r="R245" s="92"/>
      <c r="S245" s="92"/>
      <c r="T245" s="92"/>
      <c r="U245" s="92"/>
      <c r="V245" s="92"/>
      <c r="W245" s="92"/>
      <c r="X245" s="92"/>
      <c r="Y245" s="92"/>
      <c r="Z245" s="92"/>
    </row>
    <row r="246" ht="14.25" customHeight="1">
      <c r="A246" s="414"/>
      <c r="B246" s="415"/>
      <c r="C246" s="415"/>
      <c r="D246" s="415"/>
      <c r="E246" s="414"/>
      <c r="F246" s="92"/>
      <c r="G246" s="92"/>
      <c r="H246" s="92"/>
      <c r="I246" s="92"/>
      <c r="J246" s="92"/>
      <c r="K246" s="92"/>
      <c r="L246" s="92"/>
      <c r="M246" s="92"/>
      <c r="N246" s="92"/>
      <c r="O246" s="92"/>
      <c r="P246" s="92"/>
      <c r="Q246" s="92"/>
      <c r="R246" s="92"/>
      <c r="S246" s="92"/>
      <c r="T246" s="92"/>
      <c r="U246" s="92"/>
      <c r="V246" s="92"/>
      <c r="W246" s="92"/>
      <c r="X246" s="92"/>
      <c r="Y246" s="92"/>
      <c r="Z246" s="92"/>
    </row>
    <row r="247" ht="14.25" customHeight="1">
      <c r="A247" s="414"/>
      <c r="B247" s="415"/>
      <c r="C247" s="415"/>
      <c r="D247" s="415"/>
      <c r="E247" s="414"/>
      <c r="F247" s="92"/>
      <c r="G247" s="92"/>
      <c r="H247" s="92"/>
      <c r="I247" s="92"/>
      <c r="J247" s="92"/>
      <c r="K247" s="92"/>
      <c r="L247" s="92"/>
      <c r="M247" s="92"/>
      <c r="N247" s="92"/>
      <c r="O247" s="92"/>
      <c r="P247" s="92"/>
      <c r="Q247" s="92"/>
      <c r="R247" s="92"/>
      <c r="S247" s="92"/>
      <c r="T247" s="92"/>
      <c r="U247" s="92"/>
      <c r="V247" s="92"/>
      <c r="W247" s="92"/>
      <c r="X247" s="92"/>
      <c r="Y247" s="92"/>
      <c r="Z247" s="92"/>
    </row>
    <row r="248" ht="14.25" customHeight="1">
      <c r="A248" s="414"/>
      <c r="B248" s="415"/>
      <c r="C248" s="415"/>
      <c r="D248" s="415"/>
      <c r="E248" s="414"/>
      <c r="F248" s="92"/>
      <c r="G248" s="92"/>
      <c r="H248" s="92"/>
      <c r="I248" s="92"/>
      <c r="J248" s="92"/>
      <c r="K248" s="92"/>
      <c r="L248" s="92"/>
      <c r="M248" s="92"/>
      <c r="N248" s="92"/>
      <c r="O248" s="92"/>
      <c r="P248" s="92"/>
      <c r="Q248" s="92"/>
      <c r="R248" s="92"/>
      <c r="S248" s="92"/>
      <c r="T248" s="92"/>
      <c r="U248" s="92"/>
      <c r="V248" s="92"/>
      <c r="W248" s="92"/>
      <c r="X248" s="92"/>
      <c r="Y248" s="92"/>
      <c r="Z248" s="92"/>
    </row>
    <row r="249" ht="14.25" customHeight="1">
      <c r="A249" s="414"/>
      <c r="B249" s="415"/>
      <c r="C249" s="415"/>
      <c r="D249" s="415"/>
      <c r="E249" s="414"/>
      <c r="F249" s="92"/>
      <c r="G249" s="92"/>
      <c r="H249" s="92"/>
      <c r="I249" s="92"/>
      <c r="J249" s="92"/>
      <c r="K249" s="92"/>
      <c r="L249" s="92"/>
      <c r="M249" s="92"/>
      <c r="N249" s="92"/>
      <c r="O249" s="92"/>
      <c r="P249" s="92"/>
      <c r="Q249" s="92"/>
      <c r="R249" s="92"/>
      <c r="S249" s="92"/>
      <c r="T249" s="92"/>
      <c r="U249" s="92"/>
      <c r="V249" s="92"/>
      <c r="W249" s="92"/>
      <c r="X249" s="92"/>
      <c r="Y249" s="92"/>
      <c r="Z249" s="92"/>
    </row>
    <row r="250" ht="14.25" customHeight="1">
      <c r="A250" s="414"/>
      <c r="B250" s="415"/>
      <c r="C250" s="415"/>
      <c r="D250" s="415"/>
      <c r="E250" s="414"/>
      <c r="F250" s="92"/>
      <c r="G250" s="92"/>
      <c r="H250" s="92"/>
      <c r="I250" s="92"/>
      <c r="J250" s="92"/>
      <c r="K250" s="92"/>
      <c r="L250" s="92"/>
      <c r="M250" s="92"/>
      <c r="N250" s="92"/>
      <c r="O250" s="92"/>
      <c r="P250" s="92"/>
      <c r="Q250" s="92"/>
      <c r="R250" s="92"/>
      <c r="S250" s="92"/>
      <c r="T250" s="92"/>
      <c r="U250" s="92"/>
      <c r="V250" s="92"/>
      <c r="W250" s="92"/>
      <c r="X250" s="92"/>
      <c r="Y250" s="92"/>
      <c r="Z250" s="92"/>
    </row>
    <row r="251" ht="14.25" customHeight="1">
      <c r="A251" s="414"/>
      <c r="B251" s="415"/>
      <c r="C251" s="415"/>
      <c r="D251" s="415"/>
      <c r="E251" s="414"/>
      <c r="F251" s="92"/>
      <c r="G251" s="92"/>
      <c r="H251" s="92"/>
      <c r="I251" s="92"/>
      <c r="J251" s="92"/>
      <c r="K251" s="92"/>
      <c r="L251" s="92"/>
      <c r="M251" s="92"/>
      <c r="N251" s="92"/>
      <c r="O251" s="92"/>
      <c r="P251" s="92"/>
      <c r="Q251" s="92"/>
      <c r="R251" s="92"/>
      <c r="S251" s="92"/>
      <c r="T251" s="92"/>
      <c r="U251" s="92"/>
      <c r="V251" s="92"/>
      <c r="W251" s="92"/>
      <c r="X251" s="92"/>
      <c r="Y251" s="92"/>
      <c r="Z251" s="92"/>
    </row>
    <row r="252" ht="14.25" customHeight="1">
      <c r="A252" s="414"/>
      <c r="B252" s="415"/>
      <c r="C252" s="415"/>
      <c r="D252" s="415"/>
      <c r="E252" s="414"/>
      <c r="F252" s="92"/>
      <c r="G252" s="92"/>
      <c r="H252" s="92"/>
      <c r="I252" s="92"/>
      <c r="J252" s="92"/>
      <c r="K252" s="92"/>
      <c r="L252" s="92"/>
      <c r="M252" s="92"/>
      <c r="N252" s="92"/>
      <c r="O252" s="92"/>
      <c r="P252" s="92"/>
      <c r="Q252" s="92"/>
      <c r="R252" s="92"/>
      <c r="S252" s="92"/>
      <c r="T252" s="92"/>
      <c r="U252" s="92"/>
      <c r="V252" s="92"/>
      <c r="W252" s="92"/>
      <c r="X252" s="92"/>
      <c r="Y252" s="92"/>
      <c r="Z252" s="92"/>
    </row>
    <row r="253" ht="14.25" customHeight="1">
      <c r="A253" s="414"/>
      <c r="B253" s="415"/>
      <c r="C253" s="415"/>
      <c r="D253" s="415"/>
      <c r="E253" s="414"/>
      <c r="F253" s="92"/>
      <c r="G253" s="92"/>
      <c r="H253" s="92"/>
      <c r="I253" s="92"/>
      <c r="J253" s="92"/>
      <c r="K253" s="92"/>
      <c r="L253" s="92"/>
      <c r="M253" s="92"/>
      <c r="N253" s="92"/>
      <c r="O253" s="92"/>
      <c r="P253" s="92"/>
      <c r="Q253" s="92"/>
      <c r="R253" s="92"/>
      <c r="S253" s="92"/>
      <c r="T253" s="92"/>
      <c r="U253" s="92"/>
      <c r="V253" s="92"/>
      <c r="W253" s="92"/>
      <c r="X253" s="92"/>
      <c r="Y253" s="92"/>
      <c r="Z253" s="92"/>
    </row>
    <row r="254" ht="14.25" customHeight="1">
      <c r="A254" s="414"/>
      <c r="B254" s="415"/>
      <c r="C254" s="415"/>
      <c r="D254" s="415"/>
      <c r="E254" s="414"/>
      <c r="F254" s="92"/>
      <c r="G254" s="92"/>
      <c r="H254" s="92"/>
      <c r="I254" s="92"/>
      <c r="J254" s="92"/>
      <c r="K254" s="92"/>
      <c r="L254" s="92"/>
      <c r="M254" s="92"/>
      <c r="N254" s="92"/>
      <c r="O254" s="92"/>
      <c r="P254" s="92"/>
      <c r="Q254" s="92"/>
      <c r="R254" s="92"/>
      <c r="S254" s="92"/>
      <c r="T254" s="92"/>
      <c r="U254" s="92"/>
      <c r="V254" s="92"/>
      <c r="W254" s="92"/>
      <c r="X254" s="92"/>
      <c r="Y254" s="92"/>
      <c r="Z254" s="92"/>
    </row>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4">
    <mergeCell ref="A14:A15"/>
    <mergeCell ref="A16:A17"/>
    <mergeCell ref="A18:A19"/>
    <mergeCell ref="A20:A21"/>
    <mergeCell ref="A22:A23"/>
    <mergeCell ref="A25:A26"/>
    <mergeCell ref="A27:A28"/>
    <mergeCell ref="A49:A50"/>
    <mergeCell ref="A51:A52"/>
    <mergeCell ref="A53:A54"/>
    <mergeCell ref="A29:A30"/>
    <mergeCell ref="A31:A32"/>
    <mergeCell ref="A34:A35"/>
    <mergeCell ref="A36:A37"/>
    <mergeCell ref="A38:A39"/>
    <mergeCell ref="A40:A41"/>
    <mergeCell ref="A42:A43"/>
    <mergeCell ref="A9:A10"/>
    <mergeCell ref="B9:B10"/>
    <mergeCell ref="C9:E9"/>
    <mergeCell ref="F9:F10"/>
    <mergeCell ref="A12:A13"/>
    <mergeCell ref="F12:F13"/>
    <mergeCell ref="F14:F15"/>
    <mergeCell ref="E12:E13"/>
    <mergeCell ref="E14:E15"/>
    <mergeCell ref="E16:E17"/>
    <mergeCell ref="F16:F17"/>
    <mergeCell ref="E18:E19"/>
    <mergeCell ref="F18:F19"/>
    <mergeCell ref="F20:F21"/>
    <mergeCell ref="E20:E21"/>
    <mergeCell ref="E22:E23"/>
    <mergeCell ref="E25:E26"/>
    <mergeCell ref="E27:E28"/>
    <mergeCell ref="E29:E30"/>
    <mergeCell ref="E31:E32"/>
    <mergeCell ref="E34:E35"/>
    <mergeCell ref="F38:F39"/>
    <mergeCell ref="F40:F41"/>
    <mergeCell ref="F42:F43"/>
    <mergeCell ref="F45:F46"/>
    <mergeCell ref="F47:F48"/>
    <mergeCell ref="F49:F50"/>
    <mergeCell ref="F51:F52"/>
    <mergeCell ref="F53:F54"/>
    <mergeCell ref="F22:F23"/>
    <mergeCell ref="F25:F26"/>
    <mergeCell ref="F27:F28"/>
    <mergeCell ref="F29:F30"/>
    <mergeCell ref="F31:F32"/>
    <mergeCell ref="F34:F35"/>
    <mergeCell ref="F36:F37"/>
    <mergeCell ref="A45:A46"/>
    <mergeCell ref="A47:A48"/>
    <mergeCell ref="E51:E52"/>
    <mergeCell ref="E53:E54"/>
    <mergeCell ref="E36:E37"/>
    <mergeCell ref="E38:E39"/>
    <mergeCell ref="E40:E41"/>
    <mergeCell ref="E42:E43"/>
    <mergeCell ref="E45:E46"/>
    <mergeCell ref="E47:E48"/>
    <mergeCell ref="E49:E50"/>
  </mergeCells>
  <hyperlinks>
    <hyperlink r:id="rId1" ref="E12"/>
    <hyperlink r:id="rId2" ref="E14"/>
    <hyperlink r:id="rId3" ref="E16"/>
    <hyperlink r:id="rId4" ref="E18"/>
    <hyperlink r:id="rId5" ref="E20"/>
    <hyperlink r:id="rId6" ref="E22"/>
    <hyperlink r:id="rId7" ref="E25"/>
    <hyperlink r:id="rId8" ref="E27"/>
    <hyperlink r:id="rId9" ref="E29"/>
    <hyperlink r:id="rId10" ref="E31"/>
    <hyperlink r:id="rId11" ref="E34"/>
    <hyperlink r:id="rId12" ref="E36"/>
    <hyperlink r:id="rId13" ref="E38"/>
    <hyperlink r:id="rId14" ref="E40"/>
    <hyperlink r:id="rId15" ref="E45"/>
    <hyperlink r:id="rId16" ref="E47"/>
    <hyperlink r:id="rId17" ref="E49"/>
    <hyperlink r:id="rId18" ref="E51"/>
  </hyperlinks>
  <printOptions horizontalCentered="1"/>
  <pageMargins bottom="2.0" footer="0.0" header="0.0" left="0.7" right="0.7" top="0.75"/>
  <pageSetup paperSize="5" orientation="portrait"/>
  <rowBreaks count="1" manualBreakCount="1">
    <brk id="40" man="1"/>
  </rowBreaks>
  <drawing r:id="rId19"/>
</worksheet>
</file>